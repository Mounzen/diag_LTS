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erso\motk\backend\data\"/>
    </mc:Choice>
  </mc:AlternateContent>
  <xr:revisionPtr revIDLastSave="0" documentId="13_ncr:1_{CB4A8EA1-3AF1-4677-A499-2F1805949775}" xr6:coauthVersionLast="47" xr6:coauthVersionMax="47" xr10:uidLastSave="{00000000-0000-0000-0000-000000000000}"/>
  <bookViews>
    <workbookView xWindow="4800" yWindow="1068" windowWidth="17280" windowHeight="8880" firstSheet="3" activeTab="5" xr2:uid="{00000000-000D-0000-FFFF-FFFF00000000}"/>
  </bookViews>
  <sheets>
    <sheet name="Dossier_Projet" sheetId="1" r:id="rId1"/>
    <sheet name="Architecture_Technique" sheetId="2" r:id="rId2"/>
    <sheet name="Parametres" sheetId="3" r:id="rId3"/>
    <sheet name="Contacts_Activation" sheetId="6" r:id="rId4"/>
    <sheet name="Referentiels" sheetId="4" r:id="rId5"/>
    <sheet name="LTS_Parc" sheetId="5" r:id="rId6"/>
    <sheet name="Logements" sheetId="17" r:id="rId7"/>
    <sheet name="Occupants" sheetId="18" r:id="rId8"/>
    <sheet name="Impayes" sheetId="19" r:id="rId9"/>
    <sheet name="Gestion_Locative" sheetId="7" r:id="rId10"/>
    <sheet name="Diagnostics" sheetId="16" r:id="rId11"/>
    <sheet name="Ventes" sheetId="8" r:id="rId12"/>
    <sheet name="Travaux" sheetId="9" r:id="rId13"/>
    <sheet name="Marches" sheetId="10" r:id="rId14"/>
    <sheet name="Entreprises_Activation" sheetId="11" r:id="rId15"/>
    <sheet name="Notifications" sheetId="12" r:id="rId16"/>
    <sheet name="Historique_Actions" sheetId="13" r:id="rId17"/>
    <sheet name="Utilisateurs" sheetId="20" r:id="rId18"/>
    <sheet name="Lexique_Travaux" sheetId="22" r:id="rId19"/>
    <sheet name="Pilotage" sheetId="14" r:id="rId20"/>
    <sheet name="Mode_emploi" sheetId="15" r:id="rId21"/>
  </sheets>
  <definedNames>
    <definedName name="_xlnm._FilterDatabase" localSheetId="1" hidden="1">Architecture_Technique!$A$1:$H$12</definedName>
    <definedName name="_xlnm._FilterDatabase" localSheetId="3" hidden="1">Contacts_Activation!$A$1:$AD$529</definedName>
    <definedName name="_xlnm._FilterDatabase" localSheetId="10" hidden="1">Diagnostics!$A$1:$H$1</definedName>
    <definedName name="_xlnm._FilterDatabase" localSheetId="14" hidden="1">Entreprises_Activation!$A$1:$S$121</definedName>
    <definedName name="_xlnm._FilterDatabase" localSheetId="9" hidden="1">Gestion_Locative!$A$1:$S$529</definedName>
    <definedName name="_xlnm._FilterDatabase" localSheetId="16" hidden="1">Historique_Actions!$A$1:$E$1</definedName>
    <definedName name="_xlnm._FilterDatabase" localSheetId="8" hidden="1">Impayes!$A$1:$E$529</definedName>
    <definedName name="_xlnm._FilterDatabase" localSheetId="18" hidden="1">Lexique_Travaux!$A$1:$D$1</definedName>
    <definedName name="_xlnm._FilterDatabase" localSheetId="6" hidden="1">Logements!$A$1:$I$1</definedName>
    <definedName name="_xlnm._FilterDatabase" localSheetId="5" hidden="1">LTS_Parc!$A$1:$X$529</definedName>
    <definedName name="_xlnm._FilterDatabase" localSheetId="13" hidden="1">Marches!$A$1:$Q$121</definedName>
    <definedName name="_xlnm._FilterDatabase" localSheetId="15" hidden="1">Notifications!$A$1:$G$1</definedName>
    <definedName name="_xlnm._FilterDatabase" localSheetId="7" hidden="1">Occupants!$A$1:$M$529</definedName>
    <definedName name="_xlnm._FilterDatabase" localSheetId="12" hidden="1">Travaux!$A$1:$AL$251</definedName>
    <definedName name="_xlnm._FilterDatabase" localSheetId="17" hidden="1">Utilisateurs!$A$1:$D$1</definedName>
    <definedName name="_xlnm._FilterDatabase" localSheetId="11" hidden="1">Ventes!$A$1:$AR$529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4" l="1"/>
  <c r="B11" i="14"/>
  <c r="B8" i="14"/>
  <c r="H7" i="14"/>
  <c r="G7" i="14"/>
  <c r="F7" i="14"/>
  <c r="B7" i="14"/>
  <c r="H6" i="14"/>
  <c r="G6" i="14"/>
  <c r="F6" i="14"/>
  <c r="B6" i="14"/>
  <c r="H5" i="14"/>
  <c r="G5" i="14"/>
  <c r="F5" i="14"/>
  <c r="B5" i="14"/>
  <c r="H4" i="14"/>
  <c r="G4" i="14"/>
  <c r="F4" i="14"/>
  <c r="B4" i="14"/>
  <c r="R121" i="11"/>
  <c r="Q121" i="11"/>
  <c r="R120" i="11"/>
  <c r="Q120" i="11"/>
  <c r="R119" i="11"/>
  <c r="Q119" i="11"/>
  <c r="R118" i="11"/>
  <c r="Q118" i="11"/>
  <c r="R117" i="11"/>
  <c r="Q117" i="11"/>
  <c r="R116" i="11"/>
  <c r="Q116" i="11"/>
  <c r="R115" i="11"/>
  <c r="Q115" i="11"/>
  <c r="R114" i="11"/>
  <c r="Q114" i="11"/>
  <c r="R113" i="11"/>
  <c r="Q113" i="11"/>
  <c r="R112" i="11"/>
  <c r="Q112" i="11"/>
  <c r="R111" i="11"/>
  <c r="Q111" i="11"/>
  <c r="R110" i="11"/>
  <c r="Q110" i="11"/>
  <c r="R109" i="11"/>
  <c r="Q109" i="11"/>
  <c r="R108" i="11"/>
  <c r="Q108" i="11"/>
  <c r="R107" i="11"/>
  <c r="Q107" i="11"/>
  <c r="R106" i="11"/>
  <c r="Q106" i="11"/>
  <c r="R105" i="11"/>
  <c r="Q105" i="11"/>
  <c r="R104" i="11"/>
  <c r="Q104" i="11"/>
  <c r="R103" i="11"/>
  <c r="Q103" i="11"/>
  <c r="R102" i="11"/>
  <c r="Q102" i="11"/>
  <c r="R101" i="11"/>
  <c r="Q101" i="11"/>
  <c r="R100" i="11"/>
  <c r="Q100" i="11"/>
  <c r="R99" i="11"/>
  <c r="Q99" i="11"/>
  <c r="R98" i="11"/>
  <c r="Q98" i="11"/>
  <c r="R97" i="11"/>
  <c r="Q97" i="11"/>
  <c r="R96" i="11"/>
  <c r="Q96" i="11"/>
  <c r="R95" i="11"/>
  <c r="Q95" i="11"/>
  <c r="R94" i="11"/>
  <c r="Q94" i="11"/>
  <c r="R93" i="11"/>
  <c r="Q93" i="11"/>
  <c r="R92" i="11"/>
  <c r="Q92" i="11"/>
  <c r="R91" i="11"/>
  <c r="Q91" i="11"/>
  <c r="R90" i="11"/>
  <c r="Q90" i="11"/>
  <c r="R89" i="11"/>
  <c r="Q89" i="11"/>
  <c r="R88" i="11"/>
  <c r="Q88" i="11"/>
  <c r="R87" i="11"/>
  <c r="Q87" i="11"/>
  <c r="R86" i="11"/>
  <c r="Q86" i="11"/>
  <c r="R85" i="11"/>
  <c r="Q85" i="11"/>
  <c r="R84" i="11"/>
  <c r="Q84" i="11"/>
  <c r="R83" i="11"/>
  <c r="Q83" i="11"/>
  <c r="R82" i="11"/>
  <c r="Q82" i="11"/>
  <c r="R81" i="11"/>
  <c r="Q81" i="11"/>
  <c r="R80" i="11"/>
  <c r="Q80" i="11"/>
  <c r="R79" i="11"/>
  <c r="Q79" i="11"/>
  <c r="R78" i="11"/>
  <c r="Q78" i="11"/>
  <c r="R77" i="11"/>
  <c r="Q77" i="11"/>
  <c r="R76" i="11"/>
  <c r="Q76" i="11"/>
  <c r="R75" i="11"/>
  <c r="Q75" i="11"/>
  <c r="R74" i="11"/>
  <c r="Q74" i="11"/>
  <c r="R73" i="11"/>
  <c r="Q73" i="11"/>
  <c r="R72" i="11"/>
  <c r="Q72" i="11"/>
  <c r="R71" i="11"/>
  <c r="Q71" i="11"/>
  <c r="R70" i="11"/>
  <c r="Q70" i="11"/>
  <c r="R69" i="11"/>
  <c r="Q69" i="11"/>
  <c r="R68" i="11"/>
  <c r="Q68" i="11"/>
  <c r="R67" i="11"/>
  <c r="Q67" i="11"/>
  <c r="R66" i="11"/>
  <c r="Q66" i="11"/>
  <c r="R65" i="11"/>
  <c r="Q65" i="11"/>
  <c r="R64" i="11"/>
  <c r="Q64" i="11"/>
  <c r="R63" i="11"/>
  <c r="Q63" i="11"/>
  <c r="R62" i="11"/>
  <c r="Q62" i="11"/>
  <c r="R61" i="11"/>
  <c r="Q61" i="11"/>
  <c r="R60" i="11"/>
  <c r="Q60" i="11"/>
  <c r="R59" i="11"/>
  <c r="Q59" i="11"/>
  <c r="R58" i="11"/>
  <c r="Q58" i="11"/>
  <c r="R57" i="11"/>
  <c r="Q57" i="11"/>
  <c r="R56" i="11"/>
  <c r="Q56" i="11"/>
  <c r="R55" i="11"/>
  <c r="Q55" i="11"/>
  <c r="R54" i="11"/>
  <c r="Q54" i="11"/>
  <c r="R53" i="11"/>
  <c r="Q53" i="11"/>
  <c r="R52" i="11"/>
  <c r="Q52" i="11"/>
  <c r="R51" i="11"/>
  <c r="Q51" i="11"/>
  <c r="R50" i="11"/>
  <c r="Q50" i="11"/>
  <c r="R49" i="11"/>
  <c r="Q49" i="11"/>
  <c r="R48" i="11"/>
  <c r="Q48" i="11"/>
  <c r="R47" i="11"/>
  <c r="Q47" i="11"/>
  <c r="R46" i="11"/>
  <c r="Q46" i="11"/>
  <c r="R45" i="11"/>
  <c r="Q45" i="11"/>
  <c r="R44" i="11"/>
  <c r="Q44" i="11"/>
  <c r="R43" i="11"/>
  <c r="Q43" i="11"/>
  <c r="R42" i="11"/>
  <c r="Q42" i="11"/>
  <c r="R41" i="11"/>
  <c r="Q41" i="11"/>
  <c r="R40" i="11"/>
  <c r="Q40" i="11"/>
  <c r="R39" i="11"/>
  <c r="Q39" i="11"/>
  <c r="R38" i="11"/>
  <c r="Q38" i="11"/>
  <c r="R37" i="11"/>
  <c r="Q37" i="11"/>
  <c r="R36" i="11"/>
  <c r="Q36" i="11"/>
  <c r="R35" i="11"/>
  <c r="Q35" i="11"/>
  <c r="R34" i="11"/>
  <c r="Q34" i="11"/>
  <c r="R33" i="11"/>
  <c r="Q33" i="11"/>
  <c r="R32" i="11"/>
  <c r="Q32" i="11"/>
  <c r="R31" i="11"/>
  <c r="Q31" i="11"/>
  <c r="R30" i="11"/>
  <c r="Q30" i="11"/>
  <c r="R29" i="11"/>
  <c r="Q29" i="11"/>
  <c r="R28" i="11"/>
  <c r="Q28" i="11"/>
  <c r="R27" i="11"/>
  <c r="Q27" i="11"/>
  <c r="R26" i="11"/>
  <c r="Q26" i="11"/>
  <c r="R25" i="11"/>
  <c r="Q25" i="11"/>
  <c r="R24" i="11"/>
  <c r="Q24" i="11"/>
  <c r="R23" i="11"/>
  <c r="Q23" i="11"/>
  <c r="R22" i="11"/>
  <c r="Q22" i="11"/>
  <c r="R21" i="11"/>
  <c r="Q21" i="11"/>
  <c r="R20" i="11"/>
  <c r="Q20" i="11"/>
  <c r="R19" i="11"/>
  <c r="Q19" i="11"/>
  <c r="R18" i="11"/>
  <c r="Q18" i="11"/>
  <c r="R17" i="11"/>
  <c r="Q17" i="11"/>
  <c r="R16" i="11"/>
  <c r="Q16" i="11"/>
  <c r="R15" i="11"/>
  <c r="Q15" i="11"/>
  <c r="R14" i="11"/>
  <c r="Q14" i="11"/>
  <c r="R13" i="11"/>
  <c r="Q13" i="11"/>
  <c r="R12" i="11"/>
  <c r="Q12" i="11"/>
  <c r="R11" i="11"/>
  <c r="Q11" i="11"/>
  <c r="R10" i="11"/>
  <c r="Q10" i="11"/>
  <c r="R9" i="11"/>
  <c r="Q9" i="11"/>
  <c r="R8" i="11"/>
  <c r="Q8" i="11"/>
  <c r="R7" i="11"/>
  <c r="Q7" i="11"/>
  <c r="R6" i="11"/>
  <c r="Q6" i="11"/>
  <c r="R5" i="11"/>
  <c r="Q5" i="11"/>
  <c r="R4" i="11"/>
  <c r="Q4" i="11"/>
  <c r="R3" i="11"/>
  <c r="Q3" i="11"/>
  <c r="R2" i="11"/>
  <c r="Q2" i="11"/>
  <c r="AK251" i="9"/>
  <c r="AJ251" i="9"/>
  <c r="AK250" i="9"/>
  <c r="AJ250" i="9"/>
  <c r="AK249" i="9"/>
  <c r="AJ249" i="9"/>
  <c r="AK248" i="9"/>
  <c r="AJ248" i="9"/>
  <c r="AK247" i="9"/>
  <c r="AJ247" i="9"/>
  <c r="AK246" i="9"/>
  <c r="AJ246" i="9"/>
  <c r="AK245" i="9"/>
  <c r="AJ245" i="9"/>
  <c r="AK244" i="9"/>
  <c r="AJ244" i="9"/>
  <c r="AK243" i="9"/>
  <c r="AJ243" i="9"/>
  <c r="AK242" i="9"/>
  <c r="AJ242" i="9"/>
  <c r="AK241" i="9"/>
  <c r="AJ241" i="9"/>
  <c r="AK240" i="9"/>
  <c r="AJ240" i="9"/>
  <c r="AK239" i="9"/>
  <c r="AJ239" i="9"/>
  <c r="AK238" i="9"/>
  <c r="AJ238" i="9"/>
  <c r="AK237" i="9"/>
  <c r="AJ237" i="9"/>
  <c r="AK236" i="9"/>
  <c r="AJ236" i="9"/>
  <c r="AK235" i="9"/>
  <c r="AJ235" i="9"/>
  <c r="AK234" i="9"/>
  <c r="AJ234" i="9"/>
  <c r="AK233" i="9"/>
  <c r="AJ233" i="9"/>
  <c r="AK232" i="9"/>
  <c r="AJ232" i="9"/>
  <c r="AK231" i="9"/>
  <c r="AJ231" i="9"/>
  <c r="AK230" i="9"/>
  <c r="AJ230" i="9"/>
  <c r="AK229" i="9"/>
  <c r="AJ229" i="9"/>
  <c r="AK228" i="9"/>
  <c r="AJ228" i="9"/>
  <c r="AK227" i="9"/>
  <c r="AJ227" i="9"/>
  <c r="AK226" i="9"/>
  <c r="AJ226" i="9"/>
  <c r="AK225" i="9"/>
  <c r="AJ225" i="9"/>
  <c r="AK224" i="9"/>
  <c r="AJ224" i="9"/>
  <c r="AK223" i="9"/>
  <c r="AJ223" i="9"/>
  <c r="AK222" i="9"/>
  <c r="AJ222" i="9"/>
  <c r="AK221" i="9"/>
  <c r="AJ221" i="9"/>
  <c r="AK220" i="9"/>
  <c r="AJ220" i="9"/>
  <c r="AK219" i="9"/>
  <c r="AJ219" i="9"/>
  <c r="AK218" i="9"/>
  <c r="AJ218" i="9"/>
  <c r="AK217" i="9"/>
  <c r="AJ217" i="9"/>
  <c r="AK216" i="9"/>
  <c r="AJ216" i="9"/>
  <c r="AK215" i="9"/>
  <c r="AJ215" i="9"/>
  <c r="AK214" i="9"/>
  <c r="AJ214" i="9"/>
  <c r="AK213" i="9"/>
  <c r="AJ213" i="9"/>
  <c r="AK212" i="9"/>
  <c r="AJ212" i="9"/>
  <c r="AK211" i="9"/>
  <c r="AJ211" i="9"/>
  <c r="AK210" i="9"/>
  <c r="AJ210" i="9"/>
  <c r="AK209" i="9"/>
  <c r="AJ209" i="9"/>
  <c r="AK208" i="9"/>
  <c r="AJ208" i="9"/>
  <c r="AK207" i="9"/>
  <c r="AJ207" i="9"/>
  <c r="AK206" i="9"/>
  <c r="AJ206" i="9"/>
  <c r="AK205" i="9"/>
  <c r="AJ205" i="9"/>
  <c r="AK204" i="9"/>
  <c r="AJ204" i="9"/>
  <c r="AK203" i="9"/>
  <c r="AJ203" i="9"/>
  <c r="AK202" i="9"/>
  <c r="AJ202" i="9"/>
  <c r="AK201" i="9"/>
  <c r="AJ201" i="9"/>
  <c r="AK200" i="9"/>
  <c r="AJ200" i="9"/>
  <c r="AK199" i="9"/>
  <c r="AJ199" i="9"/>
  <c r="AK198" i="9"/>
  <c r="AJ198" i="9"/>
  <c r="AK197" i="9"/>
  <c r="AJ197" i="9"/>
  <c r="AK196" i="9"/>
  <c r="AJ196" i="9"/>
  <c r="AK195" i="9"/>
  <c r="AJ195" i="9"/>
  <c r="AK194" i="9"/>
  <c r="AJ194" i="9"/>
  <c r="AK193" i="9"/>
  <c r="AJ193" i="9"/>
  <c r="AK192" i="9"/>
  <c r="AJ192" i="9"/>
  <c r="AK191" i="9"/>
  <c r="AJ191" i="9"/>
  <c r="AK190" i="9"/>
  <c r="AJ190" i="9"/>
  <c r="AK189" i="9"/>
  <c r="AJ189" i="9"/>
  <c r="AK188" i="9"/>
  <c r="AJ188" i="9"/>
  <c r="AK187" i="9"/>
  <c r="AJ187" i="9"/>
  <c r="AK186" i="9"/>
  <c r="AJ186" i="9"/>
  <c r="AK185" i="9"/>
  <c r="AJ185" i="9"/>
  <c r="AK184" i="9"/>
  <c r="AJ184" i="9"/>
  <c r="AK183" i="9"/>
  <c r="AJ183" i="9"/>
  <c r="AK182" i="9"/>
  <c r="AJ182" i="9"/>
  <c r="AK181" i="9"/>
  <c r="AJ181" i="9"/>
  <c r="AK180" i="9"/>
  <c r="AJ180" i="9"/>
  <c r="AK179" i="9"/>
  <c r="AJ179" i="9"/>
  <c r="AK178" i="9"/>
  <c r="AJ178" i="9"/>
  <c r="AK177" i="9"/>
  <c r="AJ177" i="9"/>
  <c r="AK176" i="9"/>
  <c r="AJ176" i="9"/>
  <c r="AK175" i="9"/>
  <c r="AJ175" i="9"/>
  <c r="AK174" i="9"/>
  <c r="AJ174" i="9"/>
  <c r="AK173" i="9"/>
  <c r="AJ173" i="9"/>
  <c r="AK172" i="9"/>
  <c r="AJ172" i="9"/>
  <c r="AK171" i="9"/>
  <c r="AJ171" i="9"/>
  <c r="AK170" i="9"/>
  <c r="AJ170" i="9"/>
  <c r="AK169" i="9"/>
  <c r="AJ169" i="9"/>
  <c r="AK168" i="9"/>
  <c r="AJ168" i="9"/>
  <c r="AK167" i="9"/>
  <c r="AJ167" i="9"/>
  <c r="AK166" i="9"/>
  <c r="AJ166" i="9"/>
  <c r="AK165" i="9"/>
  <c r="AJ165" i="9"/>
  <c r="AK164" i="9"/>
  <c r="AJ164" i="9"/>
  <c r="AK163" i="9"/>
  <c r="AJ163" i="9"/>
  <c r="AK162" i="9"/>
  <c r="AJ162" i="9"/>
  <c r="AK161" i="9"/>
  <c r="AJ161" i="9"/>
  <c r="AK160" i="9"/>
  <c r="AJ160" i="9"/>
  <c r="AK159" i="9"/>
  <c r="AJ159" i="9"/>
  <c r="AK158" i="9"/>
  <c r="AJ158" i="9"/>
  <c r="AK157" i="9"/>
  <c r="AJ157" i="9"/>
  <c r="AK156" i="9"/>
  <c r="AJ156" i="9"/>
  <c r="AK155" i="9"/>
  <c r="AJ155" i="9"/>
  <c r="AK154" i="9"/>
  <c r="AJ154" i="9"/>
  <c r="AK153" i="9"/>
  <c r="AJ153" i="9"/>
  <c r="AK152" i="9"/>
  <c r="AJ152" i="9"/>
  <c r="AK151" i="9"/>
  <c r="AJ151" i="9"/>
  <c r="AK150" i="9"/>
  <c r="AJ150" i="9"/>
  <c r="AK149" i="9"/>
  <c r="AJ149" i="9"/>
  <c r="AK148" i="9"/>
  <c r="AJ148" i="9"/>
  <c r="AK147" i="9"/>
  <c r="AJ147" i="9"/>
  <c r="AK146" i="9"/>
  <c r="AJ146" i="9"/>
  <c r="AK145" i="9"/>
  <c r="AJ145" i="9"/>
  <c r="AK144" i="9"/>
  <c r="AJ144" i="9"/>
  <c r="AK143" i="9"/>
  <c r="AJ143" i="9"/>
  <c r="AK142" i="9"/>
  <c r="AJ142" i="9"/>
  <c r="AK141" i="9"/>
  <c r="AJ141" i="9"/>
  <c r="AK140" i="9"/>
  <c r="AJ140" i="9"/>
  <c r="AK139" i="9"/>
  <c r="AJ139" i="9"/>
  <c r="AK138" i="9"/>
  <c r="AJ138" i="9"/>
  <c r="AK137" i="9"/>
  <c r="AJ137" i="9"/>
  <c r="AK136" i="9"/>
  <c r="AJ136" i="9"/>
  <c r="AK135" i="9"/>
  <c r="AJ135" i="9"/>
  <c r="AK134" i="9"/>
  <c r="AJ134" i="9"/>
  <c r="AK133" i="9"/>
  <c r="AJ133" i="9"/>
  <c r="AK132" i="9"/>
  <c r="AJ132" i="9"/>
  <c r="AK131" i="9"/>
  <c r="AJ131" i="9"/>
  <c r="AK130" i="9"/>
  <c r="AJ130" i="9"/>
  <c r="AK129" i="9"/>
  <c r="AJ129" i="9"/>
  <c r="AK128" i="9"/>
  <c r="AJ128" i="9"/>
  <c r="AK127" i="9"/>
  <c r="AJ127" i="9"/>
  <c r="AK126" i="9"/>
  <c r="AJ126" i="9"/>
  <c r="AK125" i="9"/>
  <c r="AJ125" i="9"/>
  <c r="AK124" i="9"/>
  <c r="AJ124" i="9"/>
  <c r="AK123" i="9"/>
  <c r="AJ123" i="9"/>
  <c r="AK122" i="9"/>
  <c r="AJ122" i="9"/>
  <c r="AK121" i="9"/>
  <c r="AJ121" i="9"/>
  <c r="AK120" i="9"/>
  <c r="AJ120" i="9"/>
  <c r="AK119" i="9"/>
  <c r="AJ119" i="9"/>
  <c r="AK118" i="9"/>
  <c r="AJ118" i="9"/>
  <c r="AK117" i="9"/>
  <c r="AJ117" i="9"/>
  <c r="AK116" i="9"/>
  <c r="AJ116" i="9"/>
  <c r="AK115" i="9"/>
  <c r="AJ115" i="9"/>
  <c r="AK114" i="9"/>
  <c r="AJ114" i="9"/>
  <c r="AK113" i="9"/>
  <c r="AJ113" i="9"/>
  <c r="AK112" i="9"/>
  <c r="AJ112" i="9"/>
  <c r="AK111" i="9"/>
  <c r="AJ111" i="9"/>
  <c r="AK110" i="9"/>
  <c r="AJ110" i="9"/>
  <c r="AK109" i="9"/>
  <c r="AJ109" i="9"/>
  <c r="AK108" i="9"/>
  <c r="AJ108" i="9"/>
  <c r="AK107" i="9"/>
  <c r="AJ107" i="9"/>
  <c r="AK106" i="9"/>
  <c r="AJ106" i="9"/>
  <c r="AK105" i="9"/>
  <c r="AJ105" i="9"/>
  <c r="AK104" i="9"/>
  <c r="AJ104" i="9"/>
  <c r="AK103" i="9"/>
  <c r="AJ103" i="9"/>
  <c r="AK102" i="9"/>
  <c r="AJ102" i="9"/>
  <c r="AK101" i="9"/>
  <c r="AJ101" i="9"/>
  <c r="AK100" i="9"/>
  <c r="AJ100" i="9"/>
  <c r="AK99" i="9"/>
  <c r="AJ99" i="9"/>
  <c r="AK98" i="9"/>
  <c r="AJ98" i="9"/>
  <c r="AK97" i="9"/>
  <c r="AJ97" i="9"/>
  <c r="AK96" i="9"/>
  <c r="AJ96" i="9"/>
  <c r="AK95" i="9"/>
  <c r="AJ95" i="9"/>
  <c r="AK94" i="9"/>
  <c r="AJ94" i="9"/>
  <c r="AK93" i="9"/>
  <c r="AJ93" i="9"/>
  <c r="AK92" i="9"/>
  <c r="AJ92" i="9"/>
  <c r="AK91" i="9"/>
  <c r="AJ91" i="9"/>
  <c r="AK90" i="9"/>
  <c r="AJ90" i="9"/>
  <c r="AK89" i="9"/>
  <c r="AJ89" i="9"/>
  <c r="AK88" i="9"/>
  <c r="AJ88" i="9"/>
  <c r="AK87" i="9"/>
  <c r="AJ87" i="9"/>
  <c r="AK86" i="9"/>
  <c r="AJ86" i="9"/>
  <c r="AK85" i="9"/>
  <c r="AJ85" i="9"/>
  <c r="AK84" i="9"/>
  <c r="AJ84" i="9"/>
  <c r="AK83" i="9"/>
  <c r="AJ83" i="9"/>
  <c r="AK82" i="9"/>
  <c r="AJ82" i="9"/>
  <c r="AK81" i="9"/>
  <c r="AJ81" i="9"/>
  <c r="AK80" i="9"/>
  <c r="AJ80" i="9"/>
  <c r="AK79" i="9"/>
  <c r="AJ79" i="9"/>
  <c r="AK78" i="9"/>
  <c r="AJ78" i="9"/>
  <c r="AK77" i="9"/>
  <c r="AJ77" i="9"/>
  <c r="AK76" i="9"/>
  <c r="AJ76" i="9"/>
  <c r="AK75" i="9"/>
  <c r="AJ75" i="9"/>
  <c r="AK74" i="9"/>
  <c r="AJ74" i="9"/>
  <c r="AK73" i="9"/>
  <c r="AJ73" i="9"/>
  <c r="AK72" i="9"/>
  <c r="AJ72" i="9"/>
  <c r="AK71" i="9"/>
  <c r="AJ71" i="9"/>
  <c r="AK70" i="9"/>
  <c r="AJ70" i="9"/>
  <c r="AK69" i="9"/>
  <c r="AJ69" i="9"/>
  <c r="AK68" i="9"/>
  <c r="AJ68" i="9"/>
  <c r="AK67" i="9"/>
  <c r="AJ67" i="9"/>
  <c r="AK66" i="9"/>
  <c r="AJ66" i="9"/>
  <c r="AK65" i="9"/>
  <c r="AJ65" i="9"/>
  <c r="AK64" i="9"/>
  <c r="AJ64" i="9"/>
  <c r="AK63" i="9"/>
  <c r="AJ63" i="9"/>
  <c r="AK62" i="9"/>
  <c r="AJ62" i="9"/>
  <c r="AK61" i="9"/>
  <c r="AJ61" i="9"/>
  <c r="AK60" i="9"/>
  <c r="AJ60" i="9"/>
  <c r="AK59" i="9"/>
  <c r="AJ59" i="9"/>
  <c r="AK58" i="9"/>
  <c r="AJ58" i="9"/>
  <c r="AK57" i="9"/>
  <c r="AJ57" i="9"/>
  <c r="AK56" i="9"/>
  <c r="AJ56" i="9"/>
  <c r="AK55" i="9"/>
  <c r="AJ55" i="9"/>
  <c r="AK54" i="9"/>
  <c r="AJ54" i="9"/>
  <c r="AK53" i="9"/>
  <c r="AJ53" i="9"/>
  <c r="AK52" i="9"/>
  <c r="AJ52" i="9"/>
  <c r="AK51" i="9"/>
  <c r="AJ51" i="9"/>
  <c r="AK50" i="9"/>
  <c r="AJ50" i="9"/>
  <c r="AK49" i="9"/>
  <c r="AJ49" i="9"/>
  <c r="AK48" i="9"/>
  <c r="AJ48" i="9"/>
  <c r="AK47" i="9"/>
  <c r="AJ47" i="9"/>
  <c r="AK46" i="9"/>
  <c r="AJ46" i="9"/>
  <c r="AK45" i="9"/>
  <c r="AJ45" i="9"/>
  <c r="AK44" i="9"/>
  <c r="AJ44" i="9"/>
  <c r="AK43" i="9"/>
  <c r="AJ43" i="9"/>
  <c r="AK42" i="9"/>
  <c r="AJ42" i="9"/>
  <c r="AK41" i="9"/>
  <c r="AJ41" i="9"/>
  <c r="AK40" i="9"/>
  <c r="AJ40" i="9"/>
  <c r="AK39" i="9"/>
  <c r="AJ39" i="9"/>
  <c r="AK38" i="9"/>
  <c r="AJ38" i="9"/>
  <c r="AK37" i="9"/>
  <c r="AJ37" i="9"/>
  <c r="AK36" i="9"/>
  <c r="AJ36" i="9"/>
  <c r="AK35" i="9"/>
  <c r="AJ35" i="9"/>
  <c r="AK34" i="9"/>
  <c r="AJ34" i="9"/>
  <c r="AK33" i="9"/>
  <c r="AJ33" i="9"/>
  <c r="AK32" i="9"/>
  <c r="AJ32" i="9"/>
  <c r="AK31" i="9"/>
  <c r="AJ31" i="9"/>
  <c r="AK30" i="9"/>
  <c r="AJ30" i="9"/>
  <c r="AK29" i="9"/>
  <c r="AJ29" i="9"/>
  <c r="AK28" i="9"/>
  <c r="AJ28" i="9"/>
  <c r="AK27" i="9"/>
  <c r="AJ27" i="9"/>
  <c r="AK26" i="9"/>
  <c r="AJ26" i="9"/>
  <c r="AK25" i="9"/>
  <c r="AJ25" i="9"/>
  <c r="AK24" i="9"/>
  <c r="AJ24" i="9"/>
  <c r="AK23" i="9"/>
  <c r="AJ23" i="9"/>
  <c r="AK22" i="9"/>
  <c r="AJ22" i="9"/>
  <c r="AK21" i="9"/>
  <c r="AJ21" i="9"/>
  <c r="AK20" i="9"/>
  <c r="AJ20" i="9"/>
  <c r="AK19" i="9"/>
  <c r="AJ19" i="9"/>
  <c r="AK18" i="9"/>
  <c r="AJ18" i="9"/>
  <c r="AK17" i="9"/>
  <c r="AJ17" i="9"/>
  <c r="AK16" i="9"/>
  <c r="AJ16" i="9"/>
  <c r="AK15" i="9"/>
  <c r="AJ15" i="9"/>
  <c r="AK14" i="9"/>
  <c r="AJ14" i="9"/>
  <c r="AK13" i="9"/>
  <c r="AJ13" i="9"/>
  <c r="AK12" i="9"/>
  <c r="AJ12" i="9"/>
  <c r="AK11" i="9"/>
  <c r="AJ11" i="9"/>
  <c r="AK10" i="9"/>
  <c r="AJ10" i="9"/>
  <c r="AK9" i="9"/>
  <c r="AJ9" i="9"/>
  <c r="AK8" i="9"/>
  <c r="AJ8" i="9"/>
  <c r="AK7" i="9"/>
  <c r="AJ7" i="9"/>
  <c r="AK6" i="9"/>
  <c r="AJ6" i="9"/>
  <c r="AK5" i="9"/>
  <c r="AJ5" i="9"/>
  <c r="AK4" i="9"/>
  <c r="AJ4" i="9"/>
  <c r="AK3" i="9"/>
  <c r="AJ3" i="9"/>
  <c r="AK2" i="9"/>
  <c r="AJ2" i="9"/>
  <c r="AE529" i="8"/>
  <c r="AD529" i="8"/>
  <c r="W529" i="8"/>
  <c r="T529" i="8"/>
  <c r="Q529" i="8"/>
  <c r="AE528" i="8"/>
  <c r="AD528" i="8"/>
  <c r="W528" i="8"/>
  <c r="T528" i="8"/>
  <c r="Q528" i="8"/>
  <c r="AE527" i="8"/>
  <c r="AD527" i="8"/>
  <c r="W527" i="8"/>
  <c r="T527" i="8"/>
  <c r="Q527" i="8"/>
  <c r="AE526" i="8"/>
  <c r="AD526" i="8"/>
  <c r="W526" i="8"/>
  <c r="T526" i="8"/>
  <c r="Q526" i="8"/>
  <c r="V526" i="8" s="1"/>
  <c r="AE525" i="8"/>
  <c r="AD525" i="8"/>
  <c r="W525" i="8"/>
  <c r="T525" i="8"/>
  <c r="Q525" i="8"/>
  <c r="V525" i="8" s="1"/>
  <c r="AE524" i="8"/>
  <c r="AD524" i="8"/>
  <c r="W524" i="8"/>
  <c r="T524" i="8"/>
  <c r="Q524" i="8"/>
  <c r="V524" i="8" s="1"/>
  <c r="AE523" i="8"/>
  <c r="AD523" i="8"/>
  <c r="W523" i="8"/>
  <c r="T523" i="8"/>
  <c r="Q523" i="8"/>
  <c r="V523" i="8" s="1"/>
  <c r="AE522" i="8"/>
  <c r="AD522" i="8"/>
  <c r="W522" i="8"/>
  <c r="T522" i="8"/>
  <c r="Q522" i="8"/>
  <c r="AE521" i="8"/>
  <c r="AD521" i="8"/>
  <c r="W521" i="8"/>
  <c r="V521" i="8"/>
  <c r="T521" i="8"/>
  <c r="Q521" i="8"/>
  <c r="AE520" i="8"/>
  <c r="AD520" i="8"/>
  <c r="W520" i="8"/>
  <c r="T520" i="8"/>
  <c r="Q520" i="8"/>
  <c r="AE519" i="8"/>
  <c r="AD519" i="8"/>
  <c r="W519" i="8"/>
  <c r="T519" i="8"/>
  <c r="Q519" i="8"/>
  <c r="AE518" i="8"/>
  <c r="AD518" i="8"/>
  <c r="W518" i="8"/>
  <c r="T518" i="8"/>
  <c r="Q518" i="8"/>
  <c r="V518" i="8" s="1"/>
  <c r="AE517" i="8"/>
  <c r="AD517" i="8"/>
  <c r="W517" i="8"/>
  <c r="T517" i="8"/>
  <c r="Q517" i="8"/>
  <c r="V517" i="8" s="1"/>
  <c r="AE516" i="8"/>
  <c r="AD516" i="8"/>
  <c r="W516" i="8"/>
  <c r="T516" i="8"/>
  <c r="Q516" i="8"/>
  <c r="AE515" i="8"/>
  <c r="AD515" i="8"/>
  <c r="W515" i="8"/>
  <c r="T515" i="8"/>
  <c r="Q515" i="8"/>
  <c r="AE514" i="8"/>
  <c r="AD514" i="8"/>
  <c r="W514" i="8"/>
  <c r="T514" i="8"/>
  <c r="Q514" i="8"/>
  <c r="AE513" i="8"/>
  <c r="AD513" i="8"/>
  <c r="W513" i="8"/>
  <c r="T513" i="8"/>
  <c r="Q513" i="8"/>
  <c r="AE512" i="8"/>
  <c r="AD512" i="8"/>
  <c r="W512" i="8"/>
  <c r="T512" i="8"/>
  <c r="Q512" i="8"/>
  <c r="AE511" i="8"/>
  <c r="AD511" i="8"/>
  <c r="W511" i="8"/>
  <c r="T511" i="8"/>
  <c r="Q511" i="8"/>
  <c r="V511" i="8" s="1"/>
  <c r="AE510" i="8"/>
  <c r="AD510" i="8"/>
  <c r="W510" i="8"/>
  <c r="T510" i="8"/>
  <c r="Q510" i="8"/>
  <c r="V510" i="8" s="1"/>
  <c r="AE509" i="8"/>
  <c r="AD509" i="8"/>
  <c r="W509" i="8"/>
  <c r="T509" i="8"/>
  <c r="Q509" i="8"/>
  <c r="AE508" i="8"/>
  <c r="AD508" i="8"/>
  <c r="W508" i="8"/>
  <c r="T508" i="8"/>
  <c r="Q508" i="8"/>
  <c r="AE507" i="8"/>
  <c r="AD507" i="8"/>
  <c r="W507" i="8"/>
  <c r="T507" i="8"/>
  <c r="Q507" i="8"/>
  <c r="AE506" i="8"/>
  <c r="AD506" i="8"/>
  <c r="W506" i="8"/>
  <c r="T506" i="8"/>
  <c r="Q506" i="8"/>
  <c r="V506" i="8" s="1"/>
  <c r="AE505" i="8"/>
  <c r="AD505" i="8"/>
  <c r="W505" i="8"/>
  <c r="T505" i="8"/>
  <c r="Q505" i="8"/>
  <c r="V505" i="8" s="1"/>
  <c r="AE504" i="8"/>
  <c r="AD504" i="8"/>
  <c r="W504" i="8"/>
  <c r="T504" i="8"/>
  <c r="Q504" i="8"/>
  <c r="AE503" i="8"/>
  <c r="AD503" i="8"/>
  <c r="W503" i="8"/>
  <c r="T503" i="8"/>
  <c r="V503" i="8" s="1"/>
  <c r="Q503" i="8"/>
  <c r="AE502" i="8"/>
  <c r="AD502" i="8"/>
  <c r="W502" i="8"/>
  <c r="T502" i="8"/>
  <c r="Q502" i="8"/>
  <c r="AE501" i="8"/>
  <c r="AD501" i="8"/>
  <c r="W501" i="8"/>
  <c r="T501" i="8"/>
  <c r="V501" i="8" s="1"/>
  <c r="Q501" i="8"/>
  <c r="AE500" i="8"/>
  <c r="AD500" i="8"/>
  <c r="W500" i="8"/>
  <c r="T500" i="8"/>
  <c r="Q500" i="8"/>
  <c r="V500" i="8" s="1"/>
  <c r="AE499" i="8"/>
  <c r="AD499" i="8"/>
  <c r="W499" i="8"/>
  <c r="T499" i="8"/>
  <c r="Q499" i="8"/>
  <c r="V499" i="8" s="1"/>
  <c r="AE498" i="8"/>
  <c r="AD498" i="8"/>
  <c r="W498" i="8"/>
  <c r="T498" i="8"/>
  <c r="Q498" i="8"/>
  <c r="AE497" i="8"/>
  <c r="AD497" i="8"/>
  <c r="W497" i="8"/>
  <c r="T497" i="8"/>
  <c r="Q497" i="8"/>
  <c r="V497" i="8" s="1"/>
  <c r="AE496" i="8"/>
  <c r="AD496" i="8"/>
  <c r="W496" i="8"/>
  <c r="T496" i="8"/>
  <c r="Q496" i="8"/>
  <c r="AE495" i="8"/>
  <c r="AD495" i="8"/>
  <c r="W495" i="8"/>
  <c r="T495" i="8"/>
  <c r="V495" i="8" s="1"/>
  <c r="Q495" i="8"/>
  <c r="AE494" i="8"/>
  <c r="AD494" i="8"/>
  <c r="W494" i="8"/>
  <c r="T494" i="8"/>
  <c r="Q494" i="8"/>
  <c r="AE493" i="8"/>
  <c r="AD493" i="8"/>
  <c r="W493" i="8"/>
  <c r="T493" i="8"/>
  <c r="Q493" i="8"/>
  <c r="V493" i="8" s="1"/>
  <c r="AE492" i="8"/>
  <c r="AD492" i="8"/>
  <c r="W492" i="8"/>
  <c r="T492" i="8"/>
  <c r="Q492" i="8"/>
  <c r="AE491" i="8"/>
  <c r="AD491" i="8"/>
  <c r="W491" i="8"/>
  <c r="T491" i="8"/>
  <c r="Q491" i="8"/>
  <c r="AE490" i="8"/>
  <c r="AD490" i="8"/>
  <c r="W490" i="8"/>
  <c r="T490" i="8"/>
  <c r="Q490" i="8"/>
  <c r="AE489" i="8"/>
  <c r="AD489" i="8"/>
  <c r="W489" i="8"/>
  <c r="T489" i="8"/>
  <c r="V489" i="8" s="1"/>
  <c r="Q489" i="8"/>
  <c r="AE488" i="8"/>
  <c r="AD488" i="8"/>
  <c r="W488" i="8"/>
  <c r="T488" i="8"/>
  <c r="Q488" i="8"/>
  <c r="AE487" i="8"/>
  <c r="AD487" i="8"/>
  <c r="W487" i="8"/>
  <c r="T487" i="8"/>
  <c r="Q487" i="8"/>
  <c r="V487" i="8" s="1"/>
  <c r="AE486" i="8"/>
  <c r="AD486" i="8"/>
  <c r="W486" i="8"/>
  <c r="T486" i="8"/>
  <c r="Q486" i="8"/>
  <c r="AE485" i="8"/>
  <c r="AD485" i="8"/>
  <c r="W485" i="8"/>
  <c r="T485" i="8"/>
  <c r="V485" i="8" s="1"/>
  <c r="Q485" i="8"/>
  <c r="AE484" i="8"/>
  <c r="AD484" i="8"/>
  <c r="W484" i="8"/>
  <c r="T484" i="8"/>
  <c r="Q484" i="8"/>
  <c r="AE483" i="8"/>
  <c r="AD483" i="8"/>
  <c r="W483" i="8"/>
  <c r="T483" i="8"/>
  <c r="Q483" i="8"/>
  <c r="AE482" i="8"/>
  <c r="AD482" i="8"/>
  <c r="W482" i="8"/>
  <c r="T482" i="8"/>
  <c r="Q482" i="8"/>
  <c r="AE481" i="8"/>
  <c r="AD481" i="8"/>
  <c r="W481" i="8"/>
  <c r="T481" i="8"/>
  <c r="Q481" i="8"/>
  <c r="V481" i="8" s="1"/>
  <c r="AE480" i="8"/>
  <c r="AD480" i="8"/>
  <c r="W480" i="8"/>
  <c r="T480" i="8"/>
  <c r="Q480" i="8"/>
  <c r="V480" i="8" s="1"/>
  <c r="AE479" i="8"/>
  <c r="AD479" i="8"/>
  <c r="W479" i="8"/>
  <c r="T479" i="8"/>
  <c r="Q479" i="8"/>
  <c r="AE478" i="8"/>
  <c r="AD478" i="8"/>
  <c r="W478" i="8"/>
  <c r="T478" i="8"/>
  <c r="Q478" i="8"/>
  <c r="AE477" i="8"/>
  <c r="AD477" i="8"/>
  <c r="W477" i="8"/>
  <c r="T477" i="8"/>
  <c r="Q477" i="8"/>
  <c r="AE476" i="8"/>
  <c r="AD476" i="8"/>
  <c r="W476" i="8"/>
  <c r="T476" i="8"/>
  <c r="Q476" i="8"/>
  <c r="AE475" i="8"/>
  <c r="AD475" i="8"/>
  <c r="W475" i="8"/>
  <c r="T475" i="8"/>
  <c r="Q475" i="8"/>
  <c r="V475" i="8" s="1"/>
  <c r="AE474" i="8"/>
  <c r="AD474" i="8"/>
  <c r="W474" i="8"/>
  <c r="T474" i="8"/>
  <c r="Q474" i="8"/>
  <c r="V474" i="8" s="1"/>
  <c r="AE473" i="8"/>
  <c r="AD473" i="8"/>
  <c r="W473" i="8"/>
  <c r="T473" i="8"/>
  <c r="Q473" i="8"/>
  <c r="AE472" i="8"/>
  <c r="AD472" i="8"/>
  <c r="W472" i="8"/>
  <c r="T472" i="8"/>
  <c r="Q472" i="8"/>
  <c r="AE471" i="8"/>
  <c r="AD471" i="8"/>
  <c r="W471" i="8"/>
  <c r="T471" i="8"/>
  <c r="V471" i="8" s="1"/>
  <c r="Q471" i="8"/>
  <c r="AE470" i="8"/>
  <c r="AD470" i="8"/>
  <c r="W470" i="8"/>
  <c r="T470" i="8"/>
  <c r="Q470" i="8"/>
  <c r="AE469" i="8"/>
  <c r="AD469" i="8"/>
  <c r="W469" i="8"/>
  <c r="T469" i="8"/>
  <c r="Q469" i="8"/>
  <c r="V469" i="8" s="1"/>
  <c r="AE468" i="8"/>
  <c r="AD468" i="8"/>
  <c r="W468" i="8"/>
  <c r="T468" i="8"/>
  <c r="Q468" i="8"/>
  <c r="V468" i="8" s="1"/>
  <c r="AE467" i="8"/>
  <c r="AD467" i="8"/>
  <c r="W467" i="8"/>
  <c r="T467" i="8"/>
  <c r="Q467" i="8"/>
  <c r="V467" i="8" s="1"/>
  <c r="AE466" i="8"/>
  <c r="AD466" i="8"/>
  <c r="W466" i="8"/>
  <c r="T466" i="8"/>
  <c r="Q466" i="8"/>
  <c r="AE465" i="8"/>
  <c r="AD465" i="8"/>
  <c r="W465" i="8"/>
  <c r="T465" i="8"/>
  <c r="V465" i="8" s="1"/>
  <c r="Q465" i="8"/>
  <c r="AE464" i="8"/>
  <c r="AD464" i="8"/>
  <c r="W464" i="8"/>
  <c r="T464" i="8"/>
  <c r="Q464" i="8"/>
  <c r="AE463" i="8"/>
  <c r="AD463" i="8"/>
  <c r="W463" i="8"/>
  <c r="T463" i="8"/>
  <c r="Q463" i="8"/>
  <c r="V463" i="8" s="1"/>
  <c r="AE462" i="8"/>
  <c r="AD462" i="8"/>
  <c r="W462" i="8"/>
  <c r="T462" i="8"/>
  <c r="Q462" i="8"/>
  <c r="V462" i="8" s="1"/>
  <c r="AE461" i="8"/>
  <c r="AD461" i="8"/>
  <c r="W461" i="8"/>
  <c r="T461" i="8"/>
  <c r="Q461" i="8"/>
  <c r="AE460" i="8"/>
  <c r="AD460" i="8"/>
  <c r="W460" i="8"/>
  <c r="T460" i="8"/>
  <c r="Q460" i="8"/>
  <c r="AE459" i="8"/>
  <c r="AD459" i="8"/>
  <c r="W459" i="8"/>
  <c r="T459" i="8"/>
  <c r="Q459" i="8"/>
  <c r="AE458" i="8"/>
  <c r="AD458" i="8"/>
  <c r="W458" i="8"/>
  <c r="T458" i="8"/>
  <c r="Q458" i="8"/>
  <c r="AE457" i="8"/>
  <c r="AD457" i="8"/>
  <c r="W457" i="8"/>
  <c r="T457" i="8"/>
  <c r="Q457" i="8"/>
  <c r="AE456" i="8"/>
  <c r="AD456" i="8"/>
  <c r="W456" i="8"/>
  <c r="T456" i="8"/>
  <c r="Q456" i="8"/>
  <c r="V456" i="8" s="1"/>
  <c r="AE455" i="8"/>
  <c r="AD455" i="8"/>
  <c r="W455" i="8"/>
  <c r="T455" i="8"/>
  <c r="Q455" i="8"/>
  <c r="V455" i="8" s="1"/>
  <c r="AE454" i="8"/>
  <c r="AD454" i="8"/>
  <c r="W454" i="8"/>
  <c r="T454" i="8"/>
  <c r="Q454" i="8"/>
  <c r="AE453" i="8"/>
  <c r="AD453" i="8"/>
  <c r="W453" i="8"/>
  <c r="T453" i="8"/>
  <c r="V453" i="8" s="1"/>
  <c r="Q453" i="8"/>
  <c r="AE452" i="8"/>
  <c r="AD452" i="8"/>
  <c r="W452" i="8"/>
  <c r="T452" i="8"/>
  <c r="Q452" i="8"/>
  <c r="AE451" i="8"/>
  <c r="AD451" i="8"/>
  <c r="W451" i="8"/>
  <c r="T451" i="8"/>
  <c r="V451" i="8" s="1"/>
  <c r="Q451" i="8"/>
  <c r="AE450" i="8"/>
  <c r="AD450" i="8"/>
  <c r="W450" i="8"/>
  <c r="T450" i="8"/>
  <c r="Q450" i="8"/>
  <c r="V450" i="8" s="1"/>
  <c r="AE449" i="8"/>
  <c r="AD449" i="8"/>
  <c r="W449" i="8"/>
  <c r="T449" i="8"/>
  <c r="Q449" i="8"/>
  <c r="AE448" i="8"/>
  <c r="AD448" i="8"/>
  <c r="W448" i="8"/>
  <c r="T448" i="8"/>
  <c r="Q448" i="8"/>
  <c r="AE447" i="8"/>
  <c r="AD447" i="8"/>
  <c r="W447" i="8"/>
  <c r="T447" i="8"/>
  <c r="Q447" i="8"/>
  <c r="AE446" i="8"/>
  <c r="AD446" i="8"/>
  <c r="W446" i="8"/>
  <c r="T446" i="8"/>
  <c r="Q446" i="8"/>
  <c r="AE445" i="8"/>
  <c r="AD445" i="8"/>
  <c r="W445" i="8"/>
  <c r="T445" i="8"/>
  <c r="Q445" i="8"/>
  <c r="AE444" i="8"/>
  <c r="AD444" i="8"/>
  <c r="W444" i="8"/>
  <c r="T444" i="8"/>
  <c r="Q444" i="8"/>
  <c r="AE443" i="8"/>
  <c r="AD443" i="8"/>
  <c r="W443" i="8"/>
  <c r="T443" i="8"/>
  <c r="Q443" i="8"/>
  <c r="AE442" i="8"/>
  <c r="AD442" i="8"/>
  <c r="W442" i="8"/>
  <c r="T442" i="8"/>
  <c r="Q442" i="8"/>
  <c r="AE441" i="8"/>
  <c r="AD441" i="8"/>
  <c r="W441" i="8"/>
  <c r="T441" i="8"/>
  <c r="Q441" i="8"/>
  <c r="AE440" i="8"/>
  <c r="AD440" i="8"/>
  <c r="W440" i="8"/>
  <c r="T440" i="8"/>
  <c r="Q440" i="8"/>
  <c r="AE439" i="8"/>
  <c r="AD439" i="8"/>
  <c r="W439" i="8"/>
  <c r="T439" i="8"/>
  <c r="Q439" i="8"/>
  <c r="AE438" i="8"/>
  <c r="AD438" i="8"/>
  <c r="W438" i="8"/>
  <c r="T438" i="8"/>
  <c r="Q438" i="8"/>
  <c r="AE437" i="8"/>
  <c r="AD437" i="8"/>
  <c r="W437" i="8"/>
  <c r="T437" i="8"/>
  <c r="Q437" i="8"/>
  <c r="V437" i="8" s="1"/>
  <c r="AE436" i="8"/>
  <c r="AD436" i="8"/>
  <c r="W436" i="8"/>
  <c r="T436" i="8"/>
  <c r="Q436" i="8"/>
  <c r="V436" i="8" s="1"/>
  <c r="AE435" i="8"/>
  <c r="AD435" i="8"/>
  <c r="W435" i="8"/>
  <c r="T435" i="8"/>
  <c r="Q435" i="8"/>
  <c r="AE434" i="8"/>
  <c r="AD434" i="8"/>
  <c r="W434" i="8"/>
  <c r="T434" i="8"/>
  <c r="Q434" i="8"/>
  <c r="AE433" i="8"/>
  <c r="AD433" i="8"/>
  <c r="W433" i="8"/>
  <c r="T433" i="8"/>
  <c r="Q433" i="8"/>
  <c r="AE432" i="8"/>
  <c r="AD432" i="8"/>
  <c r="W432" i="8"/>
  <c r="T432" i="8"/>
  <c r="Q432" i="8"/>
  <c r="AE431" i="8"/>
  <c r="AD431" i="8"/>
  <c r="W431" i="8"/>
  <c r="T431" i="8"/>
  <c r="Q431" i="8"/>
  <c r="V431" i="8" s="1"/>
  <c r="AE430" i="8"/>
  <c r="AD430" i="8"/>
  <c r="W430" i="8"/>
  <c r="T430" i="8"/>
  <c r="Q430" i="8"/>
  <c r="AE429" i="8"/>
  <c r="AD429" i="8"/>
  <c r="W429" i="8"/>
  <c r="T429" i="8"/>
  <c r="Q429" i="8"/>
  <c r="AE428" i="8"/>
  <c r="AD428" i="8"/>
  <c r="W428" i="8"/>
  <c r="T428" i="8"/>
  <c r="Q428" i="8"/>
  <c r="V428" i="8" s="1"/>
  <c r="AE427" i="8"/>
  <c r="AD427" i="8"/>
  <c r="W427" i="8"/>
  <c r="T427" i="8"/>
  <c r="V427" i="8" s="1"/>
  <c r="Q427" i="8"/>
  <c r="AE426" i="8"/>
  <c r="AD426" i="8"/>
  <c r="W426" i="8"/>
  <c r="T426" i="8"/>
  <c r="Q426" i="8"/>
  <c r="AE425" i="8"/>
  <c r="AD425" i="8"/>
  <c r="W425" i="8"/>
  <c r="T425" i="8"/>
  <c r="Q425" i="8"/>
  <c r="AE424" i="8"/>
  <c r="AD424" i="8"/>
  <c r="W424" i="8"/>
  <c r="T424" i="8"/>
  <c r="Q424" i="8"/>
  <c r="AE423" i="8"/>
  <c r="AD423" i="8"/>
  <c r="W423" i="8"/>
  <c r="T423" i="8"/>
  <c r="Q423" i="8"/>
  <c r="AE422" i="8"/>
  <c r="AD422" i="8"/>
  <c r="W422" i="8"/>
  <c r="T422" i="8"/>
  <c r="Q422" i="8"/>
  <c r="V422" i="8" s="1"/>
  <c r="AE421" i="8"/>
  <c r="AD421" i="8"/>
  <c r="W421" i="8"/>
  <c r="T421" i="8"/>
  <c r="Q421" i="8"/>
  <c r="AE420" i="8"/>
  <c r="AD420" i="8"/>
  <c r="W420" i="8"/>
  <c r="T420" i="8"/>
  <c r="Q420" i="8"/>
  <c r="AE419" i="8"/>
  <c r="AD419" i="8"/>
  <c r="W419" i="8"/>
  <c r="T419" i="8"/>
  <c r="Q419" i="8"/>
  <c r="AE418" i="8"/>
  <c r="AD418" i="8"/>
  <c r="W418" i="8"/>
  <c r="T418" i="8"/>
  <c r="Q418" i="8"/>
  <c r="AE417" i="8"/>
  <c r="AD417" i="8"/>
  <c r="W417" i="8"/>
  <c r="T417" i="8"/>
  <c r="Q417" i="8"/>
  <c r="AE416" i="8"/>
  <c r="AD416" i="8"/>
  <c r="W416" i="8"/>
  <c r="T416" i="8"/>
  <c r="Q416" i="8"/>
  <c r="AE415" i="8"/>
  <c r="AD415" i="8"/>
  <c r="W415" i="8"/>
  <c r="T415" i="8"/>
  <c r="Q415" i="8"/>
  <c r="AE414" i="8"/>
  <c r="AD414" i="8"/>
  <c r="W414" i="8"/>
  <c r="T414" i="8"/>
  <c r="Q414" i="8"/>
  <c r="AE413" i="8"/>
  <c r="AD413" i="8"/>
  <c r="W413" i="8"/>
  <c r="T413" i="8"/>
  <c r="Q413" i="8"/>
  <c r="V413" i="8" s="1"/>
  <c r="AE412" i="8"/>
  <c r="AD412" i="8"/>
  <c r="W412" i="8"/>
  <c r="T412" i="8"/>
  <c r="Q412" i="8"/>
  <c r="AE411" i="8"/>
  <c r="AD411" i="8"/>
  <c r="W411" i="8"/>
  <c r="T411" i="8"/>
  <c r="Q411" i="8"/>
  <c r="AE410" i="8"/>
  <c r="AD410" i="8"/>
  <c r="W410" i="8"/>
  <c r="T410" i="8"/>
  <c r="Q410" i="8"/>
  <c r="AE409" i="8"/>
  <c r="AD409" i="8"/>
  <c r="W409" i="8"/>
  <c r="T409" i="8"/>
  <c r="Q409" i="8"/>
  <c r="AE408" i="8"/>
  <c r="AD408" i="8"/>
  <c r="W408" i="8"/>
  <c r="T408" i="8"/>
  <c r="Q408" i="8"/>
  <c r="AE407" i="8"/>
  <c r="AD407" i="8"/>
  <c r="W407" i="8"/>
  <c r="T407" i="8"/>
  <c r="Q407" i="8"/>
  <c r="V407" i="8" s="1"/>
  <c r="AE406" i="8"/>
  <c r="AD406" i="8"/>
  <c r="W406" i="8"/>
  <c r="T406" i="8"/>
  <c r="Q406" i="8"/>
  <c r="AE405" i="8"/>
  <c r="AD405" i="8"/>
  <c r="W405" i="8"/>
  <c r="T405" i="8"/>
  <c r="Q405" i="8"/>
  <c r="AE404" i="8"/>
  <c r="AD404" i="8"/>
  <c r="W404" i="8"/>
  <c r="T404" i="8"/>
  <c r="Q404" i="8"/>
  <c r="AE403" i="8"/>
  <c r="AD403" i="8"/>
  <c r="W403" i="8"/>
  <c r="T403" i="8"/>
  <c r="Q403" i="8"/>
  <c r="AE402" i="8"/>
  <c r="AD402" i="8"/>
  <c r="W402" i="8"/>
  <c r="T402" i="8"/>
  <c r="Q402" i="8"/>
  <c r="AE401" i="8"/>
  <c r="AD401" i="8"/>
  <c r="W401" i="8"/>
  <c r="T401" i="8"/>
  <c r="Q401" i="8"/>
  <c r="AE400" i="8"/>
  <c r="AD400" i="8"/>
  <c r="W400" i="8"/>
  <c r="T400" i="8"/>
  <c r="Q400" i="8"/>
  <c r="AE399" i="8"/>
  <c r="AD399" i="8"/>
  <c r="W399" i="8"/>
  <c r="T399" i="8"/>
  <c r="Q399" i="8"/>
  <c r="AE398" i="8"/>
  <c r="AD398" i="8"/>
  <c r="W398" i="8"/>
  <c r="T398" i="8"/>
  <c r="Q398" i="8"/>
  <c r="AE397" i="8"/>
  <c r="AD397" i="8"/>
  <c r="W397" i="8"/>
  <c r="T397" i="8"/>
  <c r="Q397" i="8"/>
  <c r="AE396" i="8"/>
  <c r="AD396" i="8"/>
  <c r="W396" i="8"/>
  <c r="T396" i="8"/>
  <c r="Q396" i="8"/>
  <c r="AE395" i="8"/>
  <c r="AD395" i="8"/>
  <c r="W395" i="8"/>
  <c r="T395" i="8"/>
  <c r="Q395" i="8"/>
  <c r="AE394" i="8"/>
  <c r="AD394" i="8"/>
  <c r="W394" i="8"/>
  <c r="T394" i="8"/>
  <c r="Q394" i="8"/>
  <c r="AE393" i="8"/>
  <c r="AD393" i="8"/>
  <c r="W393" i="8"/>
  <c r="T393" i="8"/>
  <c r="Q393" i="8"/>
  <c r="AE392" i="8"/>
  <c r="AD392" i="8"/>
  <c r="W392" i="8"/>
  <c r="T392" i="8"/>
  <c r="Q392" i="8"/>
  <c r="AE391" i="8"/>
  <c r="AD391" i="8"/>
  <c r="W391" i="8"/>
  <c r="T391" i="8"/>
  <c r="Q391" i="8"/>
  <c r="AE390" i="8"/>
  <c r="AD390" i="8"/>
  <c r="W390" i="8"/>
  <c r="T390" i="8"/>
  <c r="Q390" i="8"/>
  <c r="AE389" i="8"/>
  <c r="AD389" i="8"/>
  <c r="W389" i="8"/>
  <c r="T389" i="8"/>
  <c r="Q389" i="8"/>
  <c r="AE388" i="8"/>
  <c r="AD388" i="8"/>
  <c r="W388" i="8"/>
  <c r="T388" i="8"/>
  <c r="Q388" i="8"/>
  <c r="AE387" i="8"/>
  <c r="AD387" i="8"/>
  <c r="W387" i="8"/>
  <c r="T387" i="8"/>
  <c r="Q387" i="8"/>
  <c r="AE386" i="8"/>
  <c r="AD386" i="8"/>
  <c r="W386" i="8"/>
  <c r="T386" i="8"/>
  <c r="Q386" i="8"/>
  <c r="AE385" i="8"/>
  <c r="AD385" i="8"/>
  <c r="W385" i="8"/>
  <c r="T385" i="8"/>
  <c r="Q385" i="8"/>
  <c r="AE384" i="8"/>
  <c r="AD384" i="8"/>
  <c r="W384" i="8"/>
  <c r="T384" i="8"/>
  <c r="Q384" i="8"/>
  <c r="AE383" i="8"/>
  <c r="AD383" i="8"/>
  <c r="W383" i="8"/>
  <c r="T383" i="8"/>
  <c r="Q383" i="8"/>
  <c r="V383" i="8" s="1"/>
  <c r="AE382" i="8"/>
  <c r="AD382" i="8"/>
  <c r="W382" i="8"/>
  <c r="T382" i="8"/>
  <c r="Q382" i="8"/>
  <c r="AE381" i="8"/>
  <c r="AD381" i="8"/>
  <c r="W381" i="8"/>
  <c r="T381" i="8"/>
  <c r="Q381" i="8"/>
  <c r="AE380" i="8"/>
  <c r="AD380" i="8"/>
  <c r="W380" i="8"/>
  <c r="T380" i="8"/>
  <c r="Q380" i="8"/>
  <c r="AE379" i="8"/>
  <c r="AD379" i="8"/>
  <c r="W379" i="8"/>
  <c r="T379" i="8"/>
  <c r="Q379" i="8"/>
  <c r="AE378" i="8"/>
  <c r="AD378" i="8"/>
  <c r="W378" i="8"/>
  <c r="T378" i="8"/>
  <c r="Q378" i="8"/>
  <c r="AE377" i="8"/>
  <c r="AD377" i="8"/>
  <c r="W377" i="8"/>
  <c r="T377" i="8"/>
  <c r="Q377" i="8"/>
  <c r="AE376" i="8"/>
  <c r="AD376" i="8"/>
  <c r="W376" i="8"/>
  <c r="T376" i="8"/>
  <c r="Q376" i="8"/>
  <c r="AE375" i="8"/>
  <c r="AD375" i="8"/>
  <c r="W375" i="8"/>
  <c r="T375" i="8"/>
  <c r="Q375" i="8"/>
  <c r="AE374" i="8"/>
  <c r="AD374" i="8"/>
  <c r="W374" i="8"/>
  <c r="T374" i="8"/>
  <c r="Q374" i="8"/>
  <c r="AE373" i="8"/>
  <c r="AD373" i="8"/>
  <c r="W373" i="8"/>
  <c r="T373" i="8"/>
  <c r="Q373" i="8"/>
  <c r="AE372" i="8"/>
  <c r="AD372" i="8"/>
  <c r="W372" i="8"/>
  <c r="T372" i="8"/>
  <c r="Q372" i="8"/>
  <c r="AE371" i="8"/>
  <c r="AD371" i="8"/>
  <c r="W371" i="8"/>
  <c r="T371" i="8"/>
  <c r="Q371" i="8"/>
  <c r="V371" i="8" s="1"/>
  <c r="AE370" i="8"/>
  <c r="AD370" i="8"/>
  <c r="W370" i="8"/>
  <c r="T370" i="8"/>
  <c r="Q370" i="8"/>
  <c r="AE369" i="8"/>
  <c r="AD369" i="8"/>
  <c r="W369" i="8"/>
  <c r="T369" i="8"/>
  <c r="Q369" i="8"/>
  <c r="AE368" i="8"/>
  <c r="AD368" i="8"/>
  <c r="W368" i="8"/>
  <c r="T368" i="8"/>
  <c r="Q368" i="8"/>
  <c r="AE367" i="8"/>
  <c r="AD367" i="8"/>
  <c r="W367" i="8"/>
  <c r="T367" i="8"/>
  <c r="Q367" i="8"/>
  <c r="AE366" i="8"/>
  <c r="AD366" i="8"/>
  <c r="W366" i="8"/>
  <c r="T366" i="8"/>
  <c r="Q366" i="8"/>
  <c r="AE365" i="8"/>
  <c r="AD365" i="8"/>
  <c r="W365" i="8"/>
  <c r="T365" i="8"/>
  <c r="Q365" i="8"/>
  <c r="V365" i="8" s="1"/>
  <c r="AE364" i="8"/>
  <c r="AD364" i="8"/>
  <c r="W364" i="8"/>
  <c r="T364" i="8"/>
  <c r="Q364" i="8"/>
  <c r="V364" i="8" s="1"/>
  <c r="AE363" i="8"/>
  <c r="AD363" i="8"/>
  <c r="W363" i="8"/>
  <c r="T363" i="8"/>
  <c r="Q363" i="8"/>
  <c r="V363" i="8" s="1"/>
  <c r="AE362" i="8"/>
  <c r="AD362" i="8"/>
  <c r="W362" i="8"/>
  <c r="T362" i="8"/>
  <c r="Q362" i="8"/>
  <c r="AE361" i="8"/>
  <c r="AD361" i="8"/>
  <c r="W361" i="8"/>
  <c r="T361" i="8"/>
  <c r="Q361" i="8"/>
  <c r="AE360" i="8"/>
  <c r="AD360" i="8"/>
  <c r="W360" i="8"/>
  <c r="T360" i="8"/>
  <c r="Q360" i="8"/>
  <c r="AE359" i="8"/>
  <c r="AD359" i="8"/>
  <c r="W359" i="8"/>
  <c r="T359" i="8"/>
  <c r="Q359" i="8"/>
  <c r="V359" i="8" s="1"/>
  <c r="AE358" i="8"/>
  <c r="AD358" i="8"/>
  <c r="W358" i="8"/>
  <c r="T358" i="8"/>
  <c r="Q358" i="8"/>
  <c r="AE357" i="8"/>
  <c r="AD357" i="8"/>
  <c r="W357" i="8"/>
  <c r="T357" i="8"/>
  <c r="Q357" i="8"/>
  <c r="AE356" i="8"/>
  <c r="AD356" i="8"/>
  <c r="W356" i="8"/>
  <c r="T356" i="8"/>
  <c r="Q356" i="8"/>
  <c r="AE355" i="8"/>
  <c r="AD355" i="8"/>
  <c r="W355" i="8"/>
  <c r="T355" i="8"/>
  <c r="Q355" i="8"/>
  <c r="AE354" i="8"/>
  <c r="AD354" i="8"/>
  <c r="W354" i="8"/>
  <c r="T354" i="8"/>
  <c r="Q354" i="8"/>
  <c r="AE353" i="8"/>
  <c r="AD353" i="8"/>
  <c r="W353" i="8"/>
  <c r="T353" i="8"/>
  <c r="Q353" i="8"/>
  <c r="V353" i="8" s="1"/>
  <c r="AE352" i="8"/>
  <c r="AD352" i="8"/>
  <c r="W352" i="8"/>
  <c r="T352" i="8"/>
  <c r="Q352" i="8"/>
  <c r="V352" i="8" s="1"/>
  <c r="AE351" i="8"/>
  <c r="AD351" i="8"/>
  <c r="W351" i="8"/>
  <c r="T351" i="8"/>
  <c r="Q351" i="8"/>
  <c r="V351" i="8" s="1"/>
  <c r="AE350" i="8"/>
  <c r="AD350" i="8"/>
  <c r="W350" i="8"/>
  <c r="T350" i="8"/>
  <c r="Q350" i="8"/>
  <c r="AE349" i="8"/>
  <c r="AD349" i="8"/>
  <c r="W349" i="8"/>
  <c r="T349" i="8"/>
  <c r="Q349" i="8"/>
  <c r="AE348" i="8"/>
  <c r="AD348" i="8"/>
  <c r="W348" i="8"/>
  <c r="T348" i="8"/>
  <c r="Q348" i="8"/>
  <c r="AE347" i="8"/>
  <c r="AD347" i="8"/>
  <c r="W347" i="8"/>
  <c r="T347" i="8"/>
  <c r="Q347" i="8"/>
  <c r="V347" i="8" s="1"/>
  <c r="AE346" i="8"/>
  <c r="AD346" i="8"/>
  <c r="W346" i="8"/>
  <c r="T346" i="8"/>
  <c r="Q346" i="8"/>
  <c r="AE345" i="8"/>
  <c r="AD345" i="8"/>
  <c r="W345" i="8"/>
  <c r="T345" i="8"/>
  <c r="Q345" i="8"/>
  <c r="V345" i="8" s="1"/>
  <c r="AE344" i="8"/>
  <c r="AD344" i="8"/>
  <c r="W344" i="8"/>
  <c r="T344" i="8"/>
  <c r="Q344" i="8"/>
  <c r="AE343" i="8"/>
  <c r="AD343" i="8"/>
  <c r="W343" i="8"/>
  <c r="T343" i="8"/>
  <c r="Q343" i="8"/>
  <c r="AE342" i="8"/>
  <c r="AD342" i="8"/>
  <c r="W342" i="8"/>
  <c r="T342" i="8"/>
  <c r="Q342" i="8"/>
  <c r="AE341" i="8"/>
  <c r="AD341" i="8"/>
  <c r="W341" i="8"/>
  <c r="T341" i="8"/>
  <c r="Q341" i="8"/>
  <c r="V341" i="8" s="1"/>
  <c r="AE340" i="8"/>
  <c r="AD340" i="8"/>
  <c r="W340" i="8"/>
  <c r="T340" i="8"/>
  <c r="Q340" i="8"/>
  <c r="V340" i="8" s="1"/>
  <c r="AE339" i="8"/>
  <c r="AD339" i="8"/>
  <c r="W339" i="8"/>
  <c r="T339" i="8"/>
  <c r="Q339" i="8"/>
  <c r="V339" i="8" s="1"/>
  <c r="AE338" i="8"/>
  <c r="AD338" i="8"/>
  <c r="W338" i="8"/>
  <c r="T338" i="8"/>
  <c r="Q338" i="8"/>
  <c r="AE337" i="8"/>
  <c r="AD337" i="8"/>
  <c r="W337" i="8"/>
  <c r="T337" i="8"/>
  <c r="Q337" i="8"/>
  <c r="AE336" i="8"/>
  <c r="AD336" i="8"/>
  <c r="W336" i="8"/>
  <c r="T336" i="8"/>
  <c r="Q336" i="8"/>
  <c r="AE335" i="8"/>
  <c r="AD335" i="8"/>
  <c r="W335" i="8"/>
  <c r="T335" i="8"/>
  <c r="Q335" i="8"/>
  <c r="V335" i="8" s="1"/>
  <c r="AE334" i="8"/>
  <c r="AD334" i="8"/>
  <c r="W334" i="8"/>
  <c r="T334" i="8"/>
  <c r="Q334" i="8"/>
  <c r="AE333" i="8"/>
  <c r="AD333" i="8"/>
  <c r="W333" i="8"/>
  <c r="T333" i="8"/>
  <c r="Q333" i="8"/>
  <c r="AE332" i="8"/>
  <c r="AD332" i="8"/>
  <c r="W332" i="8"/>
  <c r="T332" i="8"/>
  <c r="Q332" i="8"/>
  <c r="AE331" i="8"/>
  <c r="AD331" i="8"/>
  <c r="W331" i="8"/>
  <c r="T331" i="8"/>
  <c r="Q331" i="8"/>
  <c r="AE330" i="8"/>
  <c r="AD330" i="8"/>
  <c r="W330" i="8"/>
  <c r="T330" i="8"/>
  <c r="Q330" i="8"/>
  <c r="AE329" i="8"/>
  <c r="AD329" i="8"/>
  <c r="W329" i="8"/>
  <c r="T329" i="8"/>
  <c r="Q329" i="8"/>
  <c r="V329" i="8" s="1"/>
  <c r="AE328" i="8"/>
  <c r="AD328" i="8"/>
  <c r="W328" i="8"/>
  <c r="T328" i="8"/>
  <c r="Q328" i="8"/>
  <c r="V328" i="8" s="1"/>
  <c r="AE327" i="8"/>
  <c r="AD327" i="8"/>
  <c r="W327" i="8"/>
  <c r="T327" i="8"/>
  <c r="Q327" i="8"/>
  <c r="V327" i="8" s="1"/>
  <c r="AE326" i="8"/>
  <c r="AD326" i="8"/>
  <c r="W326" i="8"/>
  <c r="T326" i="8"/>
  <c r="Q326" i="8"/>
  <c r="AE325" i="8"/>
  <c r="AD325" i="8"/>
  <c r="W325" i="8"/>
  <c r="T325" i="8"/>
  <c r="Q325" i="8"/>
  <c r="AE324" i="8"/>
  <c r="AD324" i="8"/>
  <c r="W324" i="8"/>
  <c r="T324" i="8"/>
  <c r="Q324" i="8"/>
  <c r="AE323" i="8"/>
  <c r="AD323" i="8"/>
  <c r="W323" i="8"/>
  <c r="T323" i="8"/>
  <c r="Q323" i="8"/>
  <c r="V323" i="8" s="1"/>
  <c r="AE322" i="8"/>
  <c r="AD322" i="8"/>
  <c r="W322" i="8"/>
  <c r="T322" i="8"/>
  <c r="Q322" i="8"/>
  <c r="AE321" i="8"/>
  <c r="AD321" i="8"/>
  <c r="W321" i="8"/>
  <c r="T321" i="8"/>
  <c r="Q321" i="8"/>
  <c r="AE320" i="8"/>
  <c r="AD320" i="8"/>
  <c r="W320" i="8"/>
  <c r="T320" i="8"/>
  <c r="Q320" i="8"/>
  <c r="AE319" i="8"/>
  <c r="AD319" i="8"/>
  <c r="W319" i="8"/>
  <c r="T319" i="8"/>
  <c r="Q319" i="8"/>
  <c r="AE318" i="8"/>
  <c r="AD318" i="8"/>
  <c r="W318" i="8"/>
  <c r="T318" i="8"/>
  <c r="Q318" i="8"/>
  <c r="AE317" i="8"/>
  <c r="AD317" i="8"/>
  <c r="W317" i="8"/>
  <c r="T317" i="8"/>
  <c r="Q317" i="8"/>
  <c r="V317" i="8" s="1"/>
  <c r="AE316" i="8"/>
  <c r="AD316" i="8"/>
  <c r="W316" i="8"/>
  <c r="T316" i="8"/>
  <c r="Q316" i="8"/>
  <c r="V316" i="8" s="1"/>
  <c r="AE315" i="8"/>
  <c r="AD315" i="8"/>
  <c r="W315" i="8"/>
  <c r="T315" i="8"/>
  <c r="Q315" i="8"/>
  <c r="V315" i="8" s="1"/>
  <c r="AE314" i="8"/>
  <c r="AD314" i="8"/>
  <c r="W314" i="8"/>
  <c r="T314" i="8"/>
  <c r="Q314" i="8"/>
  <c r="AE313" i="8"/>
  <c r="AD313" i="8"/>
  <c r="W313" i="8"/>
  <c r="T313" i="8"/>
  <c r="Q313" i="8"/>
  <c r="AE312" i="8"/>
  <c r="AD312" i="8"/>
  <c r="W312" i="8"/>
  <c r="T312" i="8"/>
  <c r="Q312" i="8"/>
  <c r="AE311" i="8"/>
  <c r="AD311" i="8"/>
  <c r="W311" i="8"/>
  <c r="T311" i="8"/>
  <c r="Q311" i="8"/>
  <c r="V311" i="8" s="1"/>
  <c r="AE310" i="8"/>
  <c r="AD310" i="8"/>
  <c r="W310" i="8"/>
  <c r="T310" i="8"/>
  <c r="Q310" i="8"/>
  <c r="AE309" i="8"/>
  <c r="AD309" i="8"/>
  <c r="W309" i="8"/>
  <c r="T309" i="8"/>
  <c r="Q309" i="8"/>
  <c r="AE308" i="8"/>
  <c r="AD308" i="8"/>
  <c r="W308" i="8"/>
  <c r="T308" i="8"/>
  <c r="Q308" i="8"/>
  <c r="AE307" i="8"/>
  <c r="AD307" i="8"/>
  <c r="W307" i="8"/>
  <c r="T307" i="8"/>
  <c r="Q307" i="8"/>
  <c r="AE306" i="8"/>
  <c r="AD306" i="8"/>
  <c r="W306" i="8"/>
  <c r="T306" i="8"/>
  <c r="Q306" i="8"/>
  <c r="AE305" i="8"/>
  <c r="AD305" i="8"/>
  <c r="W305" i="8"/>
  <c r="T305" i="8"/>
  <c r="Q305" i="8"/>
  <c r="AE304" i="8"/>
  <c r="AD304" i="8"/>
  <c r="W304" i="8"/>
  <c r="T304" i="8"/>
  <c r="Q304" i="8"/>
  <c r="V304" i="8" s="1"/>
  <c r="AE303" i="8"/>
  <c r="AD303" i="8"/>
  <c r="W303" i="8"/>
  <c r="T303" i="8"/>
  <c r="Q303" i="8"/>
  <c r="AE302" i="8"/>
  <c r="AD302" i="8"/>
  <c r="W302" i="8"/>
  <c r="T302" i="8"/>
  <c r="Q302" i="8"/>
  <c r="AE301" i="8"/>
  <c r="AD301" i="8"/>
  <c r="W301" i="8"/>
  <c r="T301" i="8"/>
  <c r="Q301" i="8"/>
  <c r="AE300" i="8"/>
  <c r="AD300" i="8"/>
  <c r="W300" i="8"/>
  <c r="T300" i="8"/>
  <c r="Q300" i="8"/>
  <c r="AE299" i="8"/>
  <c r="AD299" i="8"/>
  <c r="W299" i="8"/>
  <c r="T299" i="8"/>
  <c r="Q299" i="8"/>
  <c r="V299" i="8" s="1"/>
  <c r="AE298" i="8"/>
  <c r="AD298" i="8"/>
  <c r="W298" i="8"/>
  <c r="T298" i="8"/>
  <c r="Q298" i="8"/>
  <c r="AE297" i="8"/>
  <c r="AD297" i="8"/>
  <c r="W297" i="8"/>
  <c r="T297" i="8"/>
  <c r="Q297" i="8"/>
  <c r="AE296" i="8"/>
  <c r="AD296" i="8"/>
  <c r="W296" i="8"/>
  <c r="T296" i="8"/>
  <c r="Q296" i="8"/>
  <c r="AE295" i="8"/>
  <c r="AD295" i="8"/>
  <c r="W295" i="8"/>
  <c r="T295" i="8"/>
  <c r="Q295" i="8"/>
  <c r="AE294" i="8"/>
  <c r="AD294" i="8"/>
  <c r="W294" i="8"/>
  <c r="T294" i="8"/>
  <c r="Q294" i="8"/>
  <c r="AE293" i="8"/>
  <c r="AD293" i="8"/>
  <c r="W293" i="8"/>
  <c r="T293" i="8"/>
  <c r="Q293" i="8"/>
  <c r="AE292" i="8"/>
  <c r="AD292" i="8"/>
  <c r="W292" i="8"/>
  <c r="T292" i="8"/>
  <c r="Q292" i="8"/>
  <c r="V292" i="8" s="1"/>
  <c r="AE291" i="8"/>
  <c r="AD291" i="8"/>
  <c r="W291" i="8"/>
  <c r="T291" i="8"/>
  <c r="Q291" i="8"/>
  <c r="V291" i="8" s="1"/>
  <c r="AE290" i="8"/>
  <c r="AD290" i="8"/>
  <c r="W290" i="8"/>
  <c r="T290" i="8"/>
  <c r="Q290" i="8"/>
  <c r="AE289" i="8"/>
  <c r="AD289" i="8"/>
  <c r="W289" i="8"/>
  <c r="T289" i="8"/>
  <c r="Q289" i="8"/>
  <c r="AE288" i="8"/>
  <c r="AD288" i="8"/>
  <c r="W288" i="8"/>
  <c r="T288" i="8"/>
  <c r="Q288" i="8"/>
  <c r="AE287" i="8"/>
  <c r="AD287" i="8"/>
  <c r="W287" i="8"/>
  <c r="T287" i="8"/>
  <c r="Q287" i="8"/>
  <c r="V287" i="8" s="1"/>
  <c r="AE286" i="8"/>
  <c r="AD286" i="8"/>
  <c r="W286" i="8"/>
  <c r="T286" i="8"/>
  <c r="Q286" i="8"/>
  <c r="AE285" i="8"/>
  <c r="AD285" i="8"/>
  <c r="W285" i="8"/>
  <c r="T285" i="8"/>
  <c r="Q285" i="8"/>
  <c r="AE284" i="8"/>
  <c r="AD284" i="8"/>
  <c r="W284" i="8"/>
  <c r="T284" i="8"/>
  <c r="Q284" i="8"/>
  <c r="AE283" i="8"/>
  <c r="AD283" i="8"/>
  <c r="W283" i="8"/>
  <c r="T283" i="8"/>
  <c r="Q283" i="8"/>
  <c r="AE282" i="8"/>
  <c r="AD282" i="8"/>
  <c r="W282" i="8"/>
  <c r="T282" i="8"/>
  <c r="Q282" i="8"/>
  <c r="AE281" i="8"/>
  <c r="AD281" i="8"/>
  <c r="W281" i="8"/>
  <c r="T281" i="8"/>
  <c r="Q281" i="8"/>
  <c r="AE280" i="8"/>
  <c r="AD280" i="8"/>
  <c r="W280" i="8"/>
  <c r="T280" i="8"/>
  <c r="Q280" i="8"/>
  <c r="V280" i="8" s="1"/>
  <c r="AE279" i="8"/>
  <c r="AD279" i="8"/>
  <c r="W279" i="8"/>
  <c r="T279" i="8"/>
  <c r="Q279" i="8"/>
  <c r="V279" i="8" s="1"/>
  <c r="AE278" i="8"/>
  <c r="AD278" i="8"/>
  <c r="W278" i="8"/>
  <c r="T278" i="8"/>
  <c r="Q278" i="8"/>
  <c r="AE277" i="8"/>
  <c r="AD277" i="8"/>
  <c r="W277" i="8"/>
  <c r="T277" i="8"/>
  <c r="Q277" i="8"/>
  <c r="AE276" i="8"/>
  <c r="AD276" i="8"/>
  <c r="W276" i="8"/>
  <c r="T276" i="8"/>
  <c r="Q276" i="8"/>
  <c r="AE275" i="8"/>
  <c r="AD275" i="8"/>
  <c r="W275" i="8"/>
  <c r="T275" i="8"/>
  <c r="Q275" i="8"/>
  <c r="V275" i="8" s="1"/>
  <c r="AE274" i="8"/>
  <c r="AD274" i="8"/>
  <c r="W274" i="8"/>
  <c r="T274" i="8"/>
  <c r="Q274" i="8"/>
  <c r="AE273" i="8"/>
  <c r="AD273" i="8"/>
  <c r="W273" i="8"/>
  <c r="T273" i="8"/>
  <c r="Q273" i="8"/>
  <c r="AE272" i="8"/>
  <c r="AD272" i="8"/>
  <c r="W272" i="8"/>
  <c r="T272" i="8"/>
  <c r="Q272" i="8"/>
  <c r="AE271" i="8"/>
  <c r="AD271" i="8"/>
  <c r="W271" i="8"/>
  <c r="T271" i="8"/>
  <c r="Q271" i="8"/>
  <c r="AE270" i="8"/>
  <c r="AD270" i="8"/>
  <c r="W270" i="8"/>
  <c r="T270" i="8"/>
  <c r="Q270" i="8"/>
  <c r="AE269" i="8"/>
  <c r="AD269" i="8"/>
  <c r="W269" i="8"/>
  <c r="T269" i="8"/>
  <c r="Q269" i="8"/>
  <c r="AE268" i="8"/>
  <c r="AD268" i="8"/>
  <c r="W268" i="8"/>
  <c r="T268" i="8"/>
  <c r="Q268" i="8"/>
  <c r="V268" i="8" s="1"/>
  <c r="AE267" i="8"/>
  <c r="AD267" i="8"/>
  <c r="W267" i="8"/>
  <c r="T267" i="8"/>
  <c r="Q267" i="8"/>
  <c r="AE266" i="8"/>
  <c r="AD266" i="8"/>
  <c r="W266" i="8"/>
  <c r="T266" i="8"/>
  <c r="Q266" i="8"/>
  <c r="AE265" i="8"/>
  <c r="AD265" i="8"/>
  <c r="W265" i="8"/>
  <c r="T265" i="8"/>
  <c r="Q265" i="8"/>
  <c r="AE264" i="8"/>
  <c r="AD264" i="8"/>
  <c r="W264" i="8"/>
  <c r="T264" i="8"/>
  <c r="Q264" i="8"/>
  <c r="AE263" i="8"/>
  <c r="AD263" i="8"/>
  <c r="W263" i="8"/>
  <c r="T263" i="8"/>
  <c r="Q263" i="8"/>
  <c r="V263" i="8" s="1"/>
  <c r="AE262" i="8"/>
  <c r="AD262" i="8"/>
  <c r="W262" i="8"/>
  <c r="T262" i="8"/>
  <c r="Q262" i="8"/>
  <c r="AE261" i="8"/>
  <c r="AD261" i="8"/>
  <c r="W261" i="8"/>
  <c r="T261" i="8"/>
  <c r="Q261" i="8"/>
  <c r="AE260" i="8"/>
  <c r="AD260" i="8"/>
  <c r="W260" i="8"/>
  <c r="T260" i="8"/>
  <c r="Q260" i="8"/>
  <c r="AE259" i="8"/>
  <c r="AD259" i="8"/>
  <c r="W259" i="8"/>
  <c r="T259" i="8"/>
  <c r="Q259" i="8"/>
  <c r="AE258" i="8"/>
  <c r="AD258" i="8"/>
  <c r="W258" i="8"/>
  <c r="T258" i="8"/>
  <c r="Q258" i="8"/>
  <c r="AE257" i="8"/>
  <c r="AD257" i="8"/>
  <c r="W257" i="8"/>
  <c r="T257" i="8"/>
  <c r="Q257" i="8"/>
  <c r="AE256" i="8"/>
  <c r="AD256" i="8"/>
  <c r="W256" i="8"/>
  <c r="T256" i="8"/>
  <c r="Q256" i="8"/>
  <c r="V256" i="8" s="1"/>
  <c r="AE255" i="8"/>
  <c r="AD255" i="8"/>
  <c r="W255" i="8"/>
  <c r="T255" i="8"/>
  <c r="Q255" i="8"/>
  <c r="V255" i="8" s="1"/>
  <c r="AE254" i="8"/>
  <c r="AD254" i="8"/>
  <c r="W254" i="8"/>
  <c r="T254" i="8"/>
  <c r="Q254" i="8"/>
  <c r="AE253" i="8"/>
  <c r="AD253" i="8"/>
  <c r="W253" i="8"/>
  <c r="T253" i="8"/>
  <c r="Q253" i="8"/>
  <c r="AE252" i="8"/>
  <c r="AD252" i="8"/>
  <c r="W252" i="8"/>
  <c r="T252" i="8"/>
  <c r="Q252" i="8"/>
  <c r="AE251" i="8"/>
  <c r="AD251" i="8"/>
  <c r="W251" i="8"/>
  <c r="T251" i="8"/>
  <c r="Q251" i="8"/>
  <c r="V251" i="8" s="1"/>
  <c r="AE250" i="8"/>
  <c r="AD250" i="8"/>
  <c r="W250" i="8"/>
  <c r="T250" i="8"/>
  <c r="Q250" i="8"/>
  <c r="AE249" i="8"/>
  <c r="AD249" i="8"/>
  <c r="W249" i="8"/>
  <c r="T249" i="8"/>
  <c r="Q249" i="8"/>
  <c r="V249" i="8" s="1"/>
  <c r="AE248" i="8"/>
  <c r="AD248" i="8"/>
  <c r="W248" i="8"/>
  <c r="T248" i="8"/>
  <c r="Q248" i="8"/>
  <c r="AE247" i="8"/>
  <c r="AD247" i="8"/>
  <c r="W247" i="8"/>
  <c r="T247" i="8"/>
  <c r="Q247" i="8"/>
  <c r="AE246" i="8"/>
  <c r="AD246" i="8"/>
  <c r="W246" i="8"/>
  <c r="T246" i="8"/>
  <c r="Q246" i="8"/>
  <c r="AE245" i="8"/>
  <c r="AD245" i="8"/>
  <c r="W245" i="8"/>
  <c r="T245" i="8"/>
  <c r="Q245" i="8"/>
  <c r="AE244" i="8"/>
  <c r="AD244" i="8"/>
  <c r="W244" i="8"/>
  <c r="T244" i="8"/>
  <c r="Q244" i="8"/>
  <c r="V244" i="8" s="1"/>
  <c r="AE243" i="8"/>
  <c r="AD243" i="8"/>
  <c r="W243" i="8"/>
  <c r="T243" i="8"/>
  <c r="Q243" i="8"/>
  <c r="AE242" i="8"/>
  <c r="AD242" i="8"/>
  <c r="W242" i="8"/>
  <c r="T242" i="8"/>
  <c r="Q242" i="8"/>
  <c r="AE241" i="8"/>
  <c r="AD241" i="8"/>
  <c r="W241" i="8"/>
  <c r="T241" i="8"/>
  <c r="Q241" i="8"/>
  <c r="AE240" i="8"/>
  <c r="AD240" i="8"/>
  <c r="W240" i="8"/>
  <c r="T240" i="8"/>
  <c r="Q240" i="8"/>
  <c r="AE239" i="8"/>
  <c r="AD239" i="8"/>
  <c r="W239" i="8"/>
  <c r="T239" i="8"/>
  <c r="Q239" i="8"/>
  <c r="AE238" i="8"/>
  <c r="AD238" i="8"/>
  <c r="W238" i="8"/>
  <c r="T238" i="8"/>
  <c r="Q238" i="8"/>
  <c r="V238" i="8" s="1"/>
  <c r="AE237" i="8"/>
  <c r="AD237" i="8"/>
  <c r="W237" i="8"/>
  <c r="T237" i="8"/>
  <c r="Q237" i="8"/>
  <c r="V237" i="8" s="1"/>
  <c r="AE236" i="8"/>
  <c r="AD236" i="8"/>
  <c r="W236" i="8"/>
  <c r="T236" i="8"/>
  <c r="Q236" i="8"/>
  <c r="AE235" i="8"/>
  <c r="AD235" i="8"/>
  <c r="W235" i="8"/>
  <c r="T235" i="8"/>
  <c r="Q235" i="8"/>
  <c r="AE234" i="8"/>
  <c r="AD234" i="8"/>
  <c r="W234" i="8"/>
  <c r="T234" i="8"/>
  <c r="Q234" i="8"/>
  <c r="AE233" i="8"/>
  <c r="AD233" i="8"/>
  <c r="W233" i="8"/>
  <c r="T233" i="8"/>
  <c r="Q233" i="8"/>
  <c r="AE232" i="8"/>
  <c r="AD232" i="8"/>
  <c r="W232" i="8"/>
  <c r="T232" i="8"/>
  <c r="Q232" i="8"/>
  <c r="AE231" i="8"/>
  <c r="AD231" i="8"/>
  <c r="W231" i="8"/>
  <c r="T231" i="8"/>
  <c r="Q231" i="8"/>
  <c r="AE230" i="8"/>
  <c r="AD230" i="8"/>
  <c r="W230" i="8"/>
  <c r="T230" i="8"/>
  <c r="Q230" i="8"/>
  <c r="V230" i="8" s="1"/>
  <c r="AE229" i="8"/>
  <c r="AD229" i="8"/>
  <c r="W229" i="8"/>
  <c r="T229" i="8"/>
  <c r="Q229" i="8"/>
  <c r="AE228" i="8"/>
  <c r="AD228" i="8"/>
  <c r="W228" i="8"/>
  <c r="T228" i="8"/>
  <c r="Q228" i="8"/>
  <c r="AE227" i="8"/>
  <c r="AD227" i="8"/>
  <c r="W227" i="8"/>
  <c r="T227" i="8"/>
  <c r="Q227" i="8"/>
  <c r="AE226" i="8"/>
  <c r="AD226" i="8"/>
  <c r="W226" i="8"/>
  <c r="T226" i="8"/>
  <c r="Q226" i="8"/>
  <c r="AE225" i="8"/>
  <c r="AD225" i="8"/>
  <c r="W225" i="8"/>
  <c r="T225" i="8"/>
  <c r="Q225" i="8"/>
  <c r="V225" i="8" s="1"/>
  <c r="AE224" i="8"/>
  <c r="AD224" i="8"/>
  <c r="W224" i="8"/>
  <c r="T224" i="8"/>
  <c r="Q224" i="8"/>
  <c r="V224" i="8" s="1"/>
  <c r="AE223" i="8"/>
  <c r="AD223" i="8"/>
  <c r="W223" i="8"/>
  <c r="T223" i="8"/>
  <c r="Q223" i="8"/>
  <c r="AE222" i="8"/>
  <c r="AD222" i="8"/>
  <c r="W222" i="8"/>
  <c r="T222" i="8"/>
  <c r="Q222" i="8"/>
  <c r="AE221" i="8"/>
  <c r="AD221" i="8"/>
  <c r="W221" i="8"/>
  <c r="T221" i="8"/>
  <c r="Q221" i="8"/>
  <c r="AE220" i="8"/>
  <c r="AD220" i="8"/>
  <c r="W220" i="8"/>
  <c r="T220" i="8"/>
  <c r="Q220" i="8"/>
  <c r="V220" i="8" s="1"/>
  <c r="AE219" i="8"/>
  <c r="AD219" i="8"/>
  <c r="W219" i="8"/>
  <c r="T219" i="8"/>
  <c r="Q219" i="8"/>
  <c r="V219" i="8" s="1"/>
  <c r="AE218" i="8"/>
  <c r="AD218" i="8"/>
  <c r="W218" i="8"/>
  <c r="T218" i="8"/>
  <c r="Q218" i="8"/>
  <c r="AE217" i="8"/>
  <c r="AD217" i="8"/>
  <c r="W217" i="8"/>
  <c r="T217" i="8"/>
  <c r="V217" i="8" s="1"/>
  <c r="Q217" i="8"/>
  <c r="AE216" i="8"/>
  <c r="AD216" i="8"/>
  <c r="W216" i="8"/>
  <c r="T216" i="8"/>
  <c r="Q216" i="8"/>
  <c r="AE215" i="8"/>
  <c r="AD215" i="8"/>
  <c r="W215" i="8"/>
  <c r="T215" i="8"/>
  <c r="Q215" i="8"/>
  <c r="AE214" i="8"/>
  <c r="AD214" i="8"/>
  <c r="W214" i="8"/>
  <c r="T214" i="8"/>
  <c r="Q214" i="8"/>
  <c r="AE213" i="8"/>
  <c r="AD213" i="8"/>
  <c r="W213" i="8"/>
  <c r="T213" i="8"/>
  <c r="Q213" i="8"/>
  <c r="V213" i="8" s="1"/>
  <c r="AE212" i="8"/>
  <c r="AD212" i="8"/>
  <c r="W212" i="8"/>
  <c r="T212" i="8"/>
  <c r="Q212" i="8"/>
  <c r="V212" i="8" s="1"/>
  <c r="AE211" i="8"/>
  <c r="AD211" i="8"/>
  <c r="W211" i="8"/>
  <c r="T211" i="8"/>
  <c r="Q211" i="8"/>
  <c r="AE210" i="8"/>
  <c r="AD210" i="8"/>
  <c r="W210" i="8"/>
  <c r="T210" i="8"/>
  <c r="Q210" i="8"/>
  <c r="AE209" i="8"/>
  <c r="AD209" i="8"/>
  <c r="W209" i="8"/>
  <c r="T209" i="8"/>
  <c r="Q209" i="8"/>
  <c r="AE208" i="8"/>
  <c r="AD208" i="8"/>
  <c r="W208" i="8"/>
  <c r="T208" i="8"/>
  <c r="Q208" i="8"/>
  <c r="AE207" i="8"/>
  <c r="AD207" i="8"/>
  <c r="W207" i="8"/>
  <c r="T207" i="8"/>
  <c r="V207" i="8" s="1"/>
  <c r="Q207" i="8"/>
  <c r="AE206" i="8"/>
  <c r="AD206" i="8"/>
  <c r="W206" i="8"/>
  <c r="T206" i="8"/>
  <c r="Q206" i="8"/>
  <c r="AE205" i="8"/>
  <c r="AD205" i="8"/>
  <c r="W205" i="8"/>
  <c r="T205" i="8"/>
  <c r="Q205" i="8"/>
  <c r="V205" i="8" s="1"/>
  <c r="AE204" i="8"/>
  <c r="AD204" i="8"/>
  <c r="W204" i="8"/>
  <c r="T204" i="8"/>
  <c r="Q204" i="8"/>
  <c r="V204" i="8" s="1"/>
  <c r="AE203" i="8"/>
  <c r="AD203" i="8"/>
  <c r="W203" i="8"/>
  <c r="T203" i="8"/>
  <c r="V203" i="8" s="1"/>
  <c r="Q203" i="8"/>
  <c r="AE202" i="8"/>
  <c r="AD202" i="8"/>
  <c r="W202" i="8"/>
  <c r="T202" i="8"/>
  <c r="Q202" i="8"/>
  <c r="AE201" i="8"/>
  <c r="AD201" i="8"/>
  <c r="W201" i="8"/>
  <c r="T201" i="8"/>
  <c r="Q201" i="8"/>
  <c r="AE200" i="8"/>
  <c r="AD200" i="8"/>
  <c r="W200" i="8"/>
  <c r="T200" i="8"/>
  <c r="Q200" i="8"/>
  <c r="AE199" i="8"/>
  <c r="AD199" i="8"/>
  <c r="W199" i="8"/>
  <c r="T199" i="8"/>
  <c r="Q199" i="8"/>
  <c r="V199" i="8" s="1"/>
  <c r="AE198" i="8"/>
  <c r="AD198" i="8"/>
  <c r="W198" i="8"/>
  <c r="T198" i="8"/>
  <c r="Q198" i="8"/>
  <c r="V198" i="8" s="1"/>
  <c r="AE197" i="8"/>
  <c r="AD197" i="8"/>
  <c r="W197" i="8"/>
  <c r="T197" i="8"/>
  <c r="Q197" i="8"/>
  <c r="AE196" i="8"/>
  <c r="AD196" i="8"/>
  <c r="W196" i="8"/>
  <c r="T196" i="8"/>
  <c r="Q196" i="8"/>
  <c r="AE195" i="8"/>
  <c r="AD195" i="8"/>
  <c r="W195" i="8"/>
  <c r="T195" i="8"/>
  <c r="Q195" i="8"/>
  <c r="V195" i="8" s="1"/>
  <c r="AE194" i="8"/>
  <c r="AD194" i="8"/>
  <c r="W194" i="8"/>
  <c r="T194" i="8"/>
  <c r="Q194" i="8"/>
  <c r="AE193" i="8"/>
  <c r="AD193" i="8"/>
  <c r="W193" i="8"/>
  <c r="T193" i="8"/>
  <c r="Q193" i="8"/>
  <c r="AE192" i="8"/>
  <c r="AD192" i="8"/>
  <c r="W192" i="8"/>
  <c r="T192" i="8"/>
  <c r="Q192" i="8"/>
  <c r="AE191" i="8"/>
  <c r="AD191" i="8"/>
  <c r="W191" i="8"/>
  <c r="T191" i="8"/>
  <c r="Q191" i="8"/>
  <c r="V191" i="8" s="1"/>
  <c r="AE190" i="8"/>
  <c r="AD190" i="8"/>
  <c r="W190" i="8"/>
  <c r="T190" i="8"/>
  <c r="Q190" i="8"/>
  <c r="AE189" i="8"/>
  <c r="AD189" i="8"/>
  <c r="W189" i="8"/>
  <c r="T189" i="8"/>
  <c r="Q189" i="8"/>
  <c r="V189" i="8" s="1"/>
  <c r="AE188" i="8"/>
  <c r="AD188" i="8"/>
  <c r="W188" i="8"/>
  <c r="T188" i="8"/>
  <c r="Q188" i="8"/>
  <c r="V188" i="8" s="1"/>
  <c r="AE187" i="8"/>
  <c r="AD187" i="8"/>
  <c r="W187" i="8"/>
  <c r="T187" i="8"/>
  <c r="Q187" i="8"/>
  <c r="AE186" i="8"/>
  <c r="AD186" i="8"/>
  <c r="W186" i="8"/>
  <c r="T186" i="8"/>
  <c r="Q186" i="8"/>
  <c r="AE185" i="8"/>
  <c r="AD185" i="8"/>
  <c r="W185" i="8"/>
  <c r="T185" i="8"/>
  <c r="Q185" i="8"/>
  <c r="V185" i="8" s="1"/>
  <c r="AE184" i="8"/>
  <c r="AD184" i="8"/>
  <c r="W184" i="8"/>
  <c r="T184" i="8"/>
  <c r="Q184" i="8"/>
  <c r="V184" i="8" s="1"/>
  <c r="AE183" i="8"/>
  <c r="AD183" i="8"/>
  <c r="W183" i="8"/>
  <c r="T183" i="8"/>
  <c r="Q183" i="8"/>
  <c r="V183" i="8" s="1"/>
  <c r="AE182" i="8"/>
  <c r="AD182" i="8"/>
  <c r="W182" i="8"/>
  <c r="T182" i="8"/>
  <c r="Q182" i="8"/>
  <c r="AE181" i="8"/>
  <c r="AD181" i="8"/>
  <c r="W181" i="8"/>
  <c r="T181" i="8"/>
  <c r="Q181" i="8"/>
  <c r="V181" i="8" s="1"/>
  <c r="AE180" i="8"/>
  <c r="AD180" i="8"/>
  <c r="W180" i="8"/>
  <c r="T180" i="8"/>
  <c r="Q180" i="8"/>
  <c r="V180" i="8" s="1"/>
  <c r="AE179" i="8"/>
  <c r="AD179" i="8"/>
  <c r="W179" i="8"/>
  <c r="T179" i="8"/>
  <c r="V179" i="8" s="1"/>
  <c r="Q179" i="8"/>
  <c r="AE178" i="8"/>
  <c r="AD178" i="8"/>
  <c r="W178" i="8"/>
  <c r="T178" i="8"/>
  <c r="Q178" i="8"/>
  <c r="AE177" i="8"/>
  <c r="AD177" i="8"/>
  <c r="W177" i="8"/>
  <c r="T177" i="8"/>
  <c r="Q177" i="8"/>
  <c r="V177" i="8" s="1"/>
  <c r="AE176" i="8"/>
  <c r="AD176" i="8"/>
  <c r="W176" i="8"/>
  <c r="T176" i="8"/>
  <c r="Q176" i="8"/>
  <c r="AE175" i="8"/>
  <c r="AD175" i="8"/>
  <c r="W175" i="8"/>
  <c r="T175" i="8"/>
  <c r="Q175" i="8"/>
  <c r="V175" i="8" s="1"/>
  <c r="AE174" i="8"/>
  <c r="AD174" i="8"/>
  <c r="W174" i="8"/>
  <c r="T174" i="8"/>
  <c r="Q174" i="8"/>
  <c r="V174" i="8" s="1"/>
  <c r="AE173" i="8"/>
  <c r="AD173" i="8"/>
  <c r="W173" i="8"/>
  <c r="T173" i="8"/>
  <c r="Q173" i="8"/>
  <c r="AE172" i="8"/>
  <c r="AD172" i="8"/>
  <c r="W172" i="8"/>
  <c r="T172" i="8"/>
  <c r="Q172" i="8"/>
  <c r="AE171" i="8"/>
  <c r="AD171" i="8"/>
  <c r="W171" i="8"/>
  <c r="T171" i="8"/>
  <c r="V171" i="8" s="1"/>
  <c r="Q171" i="8"/>
  <c r="AE170" i="8"/>
  <c r="AD170" i="8"/>
  <c r="W170" i="8"/>
  <c r="T170" i="8"/>
  <c r="Q170" i="8"/>
  <c r="AE169" i="8"/>
  <c r="AD169" i="8"/>
  <c r="W169" i="8"/>
  <c r="T169" i="8"/>
  <c r="Q169" i="8"/>
  <c r="V169" i="8" s="1"/>
  <c r="AE168" i="8"/>
  <c r="AD168" i="8"/>
  <c r="W168" i="8"/>
  <c r="T168" i="8"/>
  <c r="Q168" i="8"/>
  <c r="AE167" i="8"/>
  <c r="AD167" i="8"/>
  <c r="W167" i="8"/>
  <c r="T167" i="8"/>
  <c r="Q167" i="8"/>
  <c r="V167" i="8" s="1"/>
  <c r="AE166" i="8"/>
  <c r="AD166" i="8"/>
  <c r="W166" i="8"/>
  <c r="T166" i="8"/>
  <c r="Q166" i="8"/>
  <c r="AE165" i="8"/>
  <c r="AD165" i="8"/>
  <c r="W165" i="8"/>
  <c r="V165" i="8"/>
  <c r="T165" i="8"/>
  <c r="Q165" i="8"/>
  <c r="AE164" i="8"/>
  <c r="AD164" i="8"/>
  <c r="W164" i="8"/>
  <c r="T164" i="8"/>
  <c r="Q164" i="8"/>
  <c r="AE163" i="8"/>
  <c r="AD163" i="8"/>
  <c r="W163" i="8"/>
  <c r="T163" i="8"/>
  <c r="Q163" i="8"/>
  <c r="V163" i="8" s="1"/>
  <c r="AE162" i="8"/>
  <c r="AD162" i="8"/>
  <c r="W162" i="8"/>
  <c r="T162" i="8"/>
  <c r="Q162" i="8"/>
  <c r="AE161" i="8"/>
  <c r="AD161" i="8"/>
  <c r="W161" i="8"/>
  <c r="T161" i="8"/>
  <c r="Q161" i="8"/>
  <c r="AE160" i="8"/>
  <c r="AD160" i="8"/>
  <c r="W160" i="8"/>
  <c r="T160" i="8"/>
  <c r="Q160" i="8"/>
  <c r="AE159" i="8"/>
  <c r="AD159" i="8"/>
  <c r="W159" i="8"/>
  <c r="V159" i="8"/>
  <c r="T159" i="8"/>
  <c r="Q159" i="8"/>
  <c r="AE158" i="8"/>
  <c r="AD158" i="8"/>
  <c r="W158" i="8"/>
  <c r="T158" i="8"/>
  <c r="Q158" i="8"/>
  <c r="AE157" i="8"/>
  <c r="AD157" i="8"/>
  <c r="W157" i="8"/>
  <c r="V157" i="8"/>
  <c r="T157" i="8"/>
  <c r="Q157" i="8"/>
  <c r="AE156" i="8"/>
  <c r="AD156" i="8"/>
  <c r="W156" i="8"/>
  <c r="T156" i="8"/>
  <c r="Q156" i="8"/>
  <c r="AE155" i="8"/>
  <c r="AD155" i="8"/>
  <c r="W155" i="8"/>
  <c r="T155" i="8"/>
  <c r="Q155" i="8"/>
  <c r="AE154" i="8"/>
  <c r="AD154" i="8"/>
  <c r="W154" i="8"/>
  <c r="T154" i="8"/>
  <c r="Q154" i="8"/>
  <c r="AE153" i="8"/>
  <c r="AD153" i="8"/>
  <c r="W153" i="8"/>
  <c r="T153" i="8"/>
  <c r="Q153" i="8"/>
  <c r="V153" i="8" s="1"/>
  <c r="AE152" i="8"/>
  <c r="AD152" i="8"/>
  <c r="W152" i="8"/>
  <c r="T152" i="8"/>
  <c r="Q152" i="8"/>
  <c r="AE151" i="8"/>
  <c r="AD151" i="8"/>
  <c r="W151" i="8"/>
  <c r="T151" i="8"/>
  <c r="Q151" i="8"/>
  <c r="AE150" i="8"/>
  <c r="AD150" i="8"/>
  <c r="W150" i="8"/>
  <c r="T150" i="8"/>
  <c r="Q150" i="8"/>
  <c r="AE149" i="8"/>
  <c r="AD149" i="8"/>
  <c r="W149" i="8"/>
  <c r="T149" i="8"/>
  <c r="V149" i="8" s="1"/>
  <c r="Q149" i="8"/>
  <c r="AE148" i="8"/>
  <c r="AD148" i="8"/>
  <c r="W148" i="8"/>
  <c r="T148" i="8"/>
  <c r="Q148" i="8"/>
  <c r="AE147" i="8"/>
  <c r="AD147" i="8"/>
  <c r="W147" i="8"/>
  <c r="T147" i="8"/>
  <c r="Q147" i="8"/>
  <c r="V147" i="8" s="1"/>
  <c r="AE146" i="8"/>
  <c r="AD146" i="8"/>
  <c r="W146" i="8"/>
  <c r="T146" i="8"/>
  <c r="Q146" i="8"/>
  <c r="AE145" i="8"/>
  <c r="AD145" i="8"/>
  <c r="W145" i="8"/>
  <c r="T145" i="8"/>
  <c r="Q145" i="8"/>
  <c r="V145" i="8" s="1"/>
  <c r="AE144" i="8"/>
  <c r="AD144" i="8"/>
  <c r="W144" i="8"/>
  <c r="T144" i="8"/>
  <c r="Q144" i="8"/>
  <c r="AE143" i="8"/>
  <c r="AD143" i="8"/>
  <c r="W143" i="8"/>
  <c r="T143" i="8"/>
  <c r="Q143" i="8"/>
  <c r="AE142" i="8"/>
  <c r="AD142" i="8"/>
  <c r="W142" i="8"/>
  <c r="T142" i="8"/>
  <c r="Q142" i="8"/>
  <c r="AE141" i="8"/>
  <c r="AD141" i="8"/>
  <c r="W141" i="8"/>
  <c r="T141" i="8"/>
  <c r="V141" i="8" s="1"/>
  <c r="Q141" i="8"/>
  <c r="AE140" i="8"/>
  <c r="AD140" i="8"/>
  <c r="W140" i="8"/>
  <c r="T140" i="8"/>
  <c r="Q140" i="8"/>
  <c r="V140" i="8" s="1"/>
  <c r="AE139" i="8"/>
  <c r="AD139" i="8"/>
  <c r="W139" i="8"/>
  <c r="T139" i="8"/>
  <c r="Q139" i="8"/>
  <c r="AE138" i="8"/>
  <c r="AD138" i="8"/>
  <c r="W138" i="8"/>
  <c r="T138" i="8"/>
  <c r="Q138" i="8"/>
  <c r="V138" i="8" s="1"/>
  <c r="AE137" i="8"/>
  <c r="AD137" i="8"/>
  <c r="W137" i="8"/>
  <c r="T137" i="8"/>
  <c r="Q137" i="8"/>
  <c r="V137" i="8" s="1"/>
  <c r="AE136" i="8"/>
  <c r="AD136" i="8"/>
  <c r="W136" i="8"/>
  <c r="T136" i="8"/>
  <c r="Q136" i="8"/>
  <c r="AE135" i="8"/>
  <c r="AD135" i="8"/>
  <c r="W135" i="8"/>
  <c r="V135" i="8"/>
  <c r="T135" i="8"/>
  <c r="Q135" i="8"/>
  <c r="AE134" i="8"/>
  <c r="AD134" i="8"/>
  <c r="W134" i="8"/>
  <c r="T134" i="8"/>
  <c r="Q134" i="8"/>
  <c r="AE133" i="8"/>
  <c r="AD133" i="8"/>
  <c r="W133" i="8"/>
  <c r="T133" i="8"/>
  <c r="V133" i="8" s="1"/>
  <c r="Q133" i="8"/>
  <c r="AE132" i="8"/>
  <c r="AD132" i="8"/>
  <c r="W132" i="8"/>
  <c r="T132" i="8"/>
  <c r="Q132" i="8"/>
  <c r="V132" i="8" s="1"/>
  <c r="AE131" i="8"/>
  <c r="AD131" i="8"/>
  <c r="W131" i="8"/>
  <c r="T131" i="8"/>
  <c r="Q131" i="8"/>
  <c r="AE130" i="8"/>
  <c r="AD130" i="8"/>
  <c r="W130" i="8"/>
  <c r="T130" i="8"/>
  <c r="Q130" i="8"/>
  <c r="AE129" i="8"/>
  <c r="AD129" i="8"/>
  <c r="W129" i="8"/>
  <c r="T129" i="8"/>
  <c r="Q129" i="8"/>
  <c r="AE128" i="8"/>
  <c r="AD128" i="8"/>
  <c r="W128" i="8"/>
  <c r="T128" i="8"/>
  <c r="Q128" i="8"/>
  <c r="AE127" i="8"/>
  <c r="AD127" i="8"/>
  <c r="W127" i="8"/>
  <c r="T127" i="8"/>
  <c r="Q127" i="8"/>
  <c r="AE126" i="8"/>
  <c r="AD126" i="8"/>
  <c r="W126" i="8"/>
  <c r="T126" i="8"/>
  <c r="Q126" i="8"/>
  <c r="V126" i="8" s="1"/>
  <c r="AE125" i="8"/>
  <c r="AD125" i="8"/>
  <c r="W125" i="8"/>
  <c r="T125" i="8"/>
  <c r="Q125" i="8"/>
  <c r="V125" i="8" s="1"/>
  <c r="AE124" i="8"/>
  <c r="AD124" i="8"/>
  <c r="W124" i="8"/>
  <c r="T124" i="8"/>
  <c r="Q124" i="8"/>
  <c r="AE123" i="8"/>
  <c r="AD123" i="8"/>
  <c r="W123" i="8"/>
  <c r="T123" i="8"/>
  <c r="Q123" i="8"/>
  <c r="V123" i="8" s="1"/>
  <c r="AE122" i="8"/>
  <c r="AD122" i="8"/>
  <c r="W122" i="8"/>
  <c r="T122" i="8"/>
  <c r="Q122" i="8"/>
  <c r="AE121" i="8"/>
  <c r="AD121" i="8"/>
  <c r="W121" i="8"/>
  <c r="T121" i="8"/>
  <c r="Q121" i="8"/>
  <c r="V121" i="8" s="1"/>
  <c r="AE120" i="8"/>
  <c r="AD120" i="8"/>
  <c r="W120" i="8"/>
  <c r="T120" i="8"/>
  <c r="Q120" i="8"/>
  <c r="AE119" i="8"/>
  <c r="AD119" i="8"/>
  <c r="W119" i="8"/>
  <c r="T119" i="8"/>
  <c r="Q119" i="8"/>
  <c r="AE118" i="8"/>
  <c r="AD118" i="8"/>
  <c r="W118" i="8"/>
  <c r="T118" i="8"/>
  <c r="Q118" i="8"/>
  <c r="AE117" i="8"/>
  <c r="AD117" i="8"/>
  <c r="W117" i="8"/>
  <c r="T117" i="8"/>
  <c r="Q117" i="8"/>
  <c r="V117" i="8" s="1"/>
  <c r="AE116" i="8"/>
  <c r="AD116" i="8"/>
  <c r="W116" i="8"/>
  <c r="T116" i="8"/>
  <c r="Q116" i="8"/>
  <c r="V116" i="8" s="1"/>
  <c r="AE115" i="8"/>
  <c r="AD115" i="8"/>
  <c r="W115" i="8"/>
  <c r="T115" i="8"/>
  <c r="Q115" i="8"/>
  <c r="V115" i="8" s="1"/>
  <c r="AE114" i="8"/>
  <c r="AD114" i="8"/>
  <c r="W114" i="8"/>
  <c r="T114" i="8"/>
  <c r="Q114" i="8"/>
  <c r="AE113" i="8"/>
  <c r="AD113" i="8"/>
  <c r="W113" i="8"/>
  <c r="T113" i="8"/>
  <c r="Q113" i="8"/>
  <c r="AE112" i="8"/>
  <c r="AD112" i="8"/>
  <c r="W112" i="8"/>
  <c r="T112" i="8"/>
  <c r="Q112" i="8"/>
  <c r="AE111" i="8"/>
  <c r="AD111" i="8"/>
  <c r="W111" i="8"/>
  <c r="T111" i="8"/>
  <c r="V111" i="8" s="1"/>
  <c r="Q111" i="8"/>
  <c r="AE110" i="8"/>
  <c r="AD110" i="8"/>
  <c r="W110" i="8"/>
  <c r="T110" i="8"/>
  <c r="Q110" i="8"/>
  <c r="AE109" i="8"/>
  <c r="AD109" i="8"/>
  <c r="W109" i="8"/>
  <c r="T109" i="8"/>
  <c r="Q109" i="8"/>
  <c r="V109" i="8" s="1"/>
  <c r="AE108" i="8"/>
  <c r="AD108" i="8"/>
  <c r="W108" i="8"/>
  <c r="T108" i="8"/>
  <c r="Q108" i="8"/>
  <c r="V108" i="8" s="1"/>
  <c r="AE107" i="8"/>
  <c r="AD107" i="8"/>
  <c r="W107" i="8"/>
  <c r="T107" i="8"/>
  <c r="Q107" i="8"/>
  <c r="AE106" i="8"/>
  <c r="AD106" i="8"/>
  <c r="W106" i="8"/>
  <c r="T106" i="8"/>
  <c r="Q106" i="8"/>
  <c r="AE105" i="8"/>
  <c r="AD105" i="8"/>
  <c r="W105" i="8"/>
  <c r="T105" i="8"/>
  <c r="Q105" i="8"/>
  <c r="V105" i="8" s="1"/>
  <c r="AE104" i="8"/>
  <c r="AD104" i="8"/>
  <c r="W104" i="8"/>
  <c r="T104" i="8"/>
  <c r="Q104" i="8"/>
  <c r="AE103" i="8"/>
  <c r="AD103" i="8"/>
  <c r="W103" i="8"/>
  <c r="T103" i="8"/>
  <c r="Q103" i="8"/>
  <c r="V103" i="8" s="1"/>
  <c r="AE102" i="8"/>
  <c r="AD102" i="8"/>
  <c r="W102" i="8"/>
  <c r="T102" i="8"/>
  <c r="Q102" i="8"/>
  <c r="V102" i="8" s="1"/>
  <c r="AE101" i="8"/>
  <c r="AD101" i="8"/>
  <c r="W101" i="8"/>
  <c r="T101" i="8"/>
  <c r="Q101" i="8"/>
  <c r="V101" i="8" s="1"/>
  <c r="AE100" i="8"/>
  <c r="AD100" i="8"/>
  <c r="W100" i="8"/>
  <c r="T100" i="8"/>
  <c r="Q100" i="8"/>
  <c r="AE99" i="8"/>
  <c r="AD99" i="8"/>
  <c r="W99" i="8"/>
  <c r="T99" i="8"/>
  <c r="Q99" i="8"/>
  <c r="V99" i="8" s="1"/>
  <c r="AE98" i="8"/>
  <c r="AD98" i="8"/>
  <c r="W98" i="8"/>
  <c r="T98" i="8"/>
  <c r="Q98" i="8"/>
  <c r="AE97" i="8"/>
  <c r="AD97" i="8"/>
  <c r="W97" i="8"/>
  <c r="T97" i="8"/>
  <c r="Q97" i="8"/>
  <c r="AE96" i="8"/>
  <c r="AD96" i="8"/>
  <c r="W96" i="8"/>
  <c r="T96" i="8"/>
  <c r="Q96" i="8"/>
  <c r="AE95" i="8"/>
  <c r="AD95" i="8"/>
  <c r="W95" i="8"/>
  <c r="T95" i="8"/>
  <c r="Q95" i="8"/>
  <c r="V95" i="8" s="1"/>
  <c r="AE94" i="8"/>
  <c r="AD94" i="8"/>
  <c r="W94" i="8"/>
  <c r="T94" i="8"/>
  <c r="Q94" i="8"/>
  <c r="AE93" i="8"/>
  <c r="AD93" i="8"/>
  <c r="W93" i="8"/>
  <c r="T93" i="8"/>
  <c r="Q93" i="8"/>
  <c r="V93" i="8" s="1"/>
  <c r="AE92" i="8"/>
  <c r="AD92" i="8"/>
  <c r="W92" i="8"/>
  <c r="T92" i="8"/>
  <c r="Q92" i="8"/>
  <c r="V92" i="8" s="1"/>
  <c r="AE91" i="8"/>
  <c r="AD91" i="8"/>
  <c r="W91" i="8"/>
  <c r="T91" i="8"/>
  <c r="Q91" i="8"/>
  <c r="V91" i="8" s="1"/>
  <c r="AE90" i="8"/>
  <c r="AD90" i="8"/>
  <c r="W90" i="8"/>
  <c r="T90" i="8"/>
  <c r="Q90" i="8"/>
  <c r="AE89" i="8"/>
  <c r="AD89" i="8"/>
  <c r="W89" i="8"/>
  <c r="T89" i="8"/>
  <c r="Q89" i="8"/>
  <c r="AE88" i="8"/>
  <c r="AD88" i="8"/>
  <c r="W88" i="8"/>
  <c r="T88" i="8"/>
  <c r="Q88" i="8"/>
  <c r="AE87" i="8"/>
  <c r="AD87" i="8"/>
  <c r="W87" i="8"/>
  <c r="T87" i="8"/>
  <c r="Q87" i="8"/>
  <c r="V87" i="8" s="1"/>
  <c r="AE86" i="8"/>
  <c r="AD86" i="8"/>
  <c r="W86" i="8"/>
  <c r="T86" i="8"/>
  <c r="Q86" i="8"/>
  <c r="AE85" i="8"/>
  <c r="AD85" i="8"/>
  <c r="W85" i="8"/>
  <c r="T85" i="8"/>
  <c r="Q85" i="8"/>
  <c r="V85" i="8" s="1"/>
  <c r="AE84" i="8"/>
  <c r="AD84" i="8"/>
  <c r="W84" i="8"/>
  <c r="T84" i="8"/>
  <c r="Q84" i="8"/>
  <c r="V84" i="8" s="1"/>
  <c r="AE83" i="8"/>
  <c r="AD83" i="8"/>
  <c r="W83" i="8"/>
  <c r="T83" i="8"/>
  <c r="V83" i="8" s="1"/>
  <c r="Q83" i="8"/>
  <c r="AE82" i="8"/>
  <c r="AD82" i="8"/>
  <c r="W82" i="8"/>
  <c r="T82" i="8"/>
  <c r="Q82" i="8"/>
  <c r="AE81" i="8"/>
  <c r="AD81" i="8"/>
  <c r="W81" i="8"/>
  <c r="T81" i="8"/>
  <c r="Q81" i="8"/>
  <c r="AE80" i="8"/>
  <c r="AD80" i="8"/>
  <c r="W80" i="8"/>
  <c r="T80" i="8"/>
  <c r="Q80" i="8"/>
  <c r="AE79" i="8"/>
  <c r="AD79" i="8"/>
  <c r="W79" i="8"/>
  <c r="T79" i="8"/>
  <c r="Q79" i="8"/>
  <c r="V79" i="8" s="1"/>
  <c r="AE78" i="8"/>
  <c r="AD78" i="8"/>
  <c r="W78" i="8"/>
  <c r="T78" i="8"/>
  <c r="Q78" i="8"/>
  <c r="AE77" i="8"/>
  <c r="AD77" i="8"/>
  <c r="W77" i="8"/>
  <c r="T77" i="8"/>
  <c r="Q77" i="8"/>
  <c r="AE76" i="8"/>
  <c r="AD76" i="8"/>
  <c r="W76" i="8"/>
  <c r="T76" i="8"/>
  <c r="Q76" i="8"/>
  <c r="AE75" i="8"/>
  <c r="AD75" i="8"/>
  <c r="W75" i="8"/>
  <c r="T75" i="8"/>
  <c r="Q75" i="8"/>
  <c r="AE74" i="8"/>
  <c r="AD74" i="8"/>
  <c r="W74" i="8"/>
  <c r="T74" i="8"/>
  <c r="Q74" i="8"/>
  <c r="AE73" i="8"/>
  <c r="AD73" i="8"/>
  <c r="W73" i="8"/>
  <c r="T73" i="8"/>
  <c r="Q73" i="8"/>
  <c r="AE72" i="8"/>
  <c r="AD72" i="8"/>
  <c r="W72" i="8"/>
  <c r="T72" i="8"/>
  <c r="Q72" i="8"/>
  <c r="AE71" i="8"/>
  <c r="AD71" i="8"/>
  <c r="W71" i="8"/>
  <c r="T71" i="8"/>
  <c r="Q71" i="8"/>
  <c r="AE70" i="8"/>
  <c r="AD70" i="8"/>
  <c r="W70" i="8"/>
  <c r="T70" i="8"/>
  <c r="Q70" i="8"/>
  <c r="AE69" i="8"/>
  <c r="AD69" i="8"/>
  <c r="W69" i="8"/>
  <c r="V69" i="8"/>
  <c r="T69" i="8"/>
  <c r="Q69" i="8"/>
  <c r="AE68" i="8"/>
  <c r="AD68" i="8"/>
  <c r="W68" i="8"/>
  <c r="T68" i="8"/>
  <c r="Q68" i="8"/>
  <c r="AE67" i="8"/>
  <c r="AD67" i="8"/>
  <c r="W67" i="8"/>
  <c r="T67" i="8"/>
  <c r="Q67" i="8"/>
  <c r="AE66" i="8"/>
  <c r="AD66" i="8"/>
  <c r="W66" i="8"/>
  <c r="T66" i="8"/>
  <c r="Q66" i="8"/>
  <c r="V66" i="8" s="1"/>
  <c r="AE65" i="8"/>
  <c r="AD65" i="8"/>
  <c r="W65" i="8"/>
  <c r="T65" i="8"/>
  <c r="Q65" i="8"/>
  <c r="V65" i="8" s="1"/>
  <c r="AE64" i="8"/>
  <c r="AD64" i="8"/>
  <c r="W64" i="8"/>
  <c r="T64" i="8"/>
  <c r="Q64" i="8"/>
  <c r="AE63" i="8"/>
  <c r="AD63" i="8"/>
  <c r="W63" i="8"/>
  <c r="T63" i="8"/>
  <c r="Q63" i="8"/>
  <c r="V63" i="8" s="1"/>
  <c r="AE62" i="8"/>
  <c r="AD62" i="8"/>
  <c r="W62" i="8"/>
  <c r="T62" i="8"/>
  <c r="Q62" i="8"/>
  <c r="AE61" i="8"/>
  <c r="AD61" i="8"/>
  <c r="W61" i="8"/>
  <c r="V61" i="8"/>
  <c r="T61" i="8"/>
  <c r="Q61" i="8"/>
  <c r="AE60" i="8"/>
  <c r="AD60" i="8"/>
  <c r="W60" i="8"/>
  <c r="T60" i="8"/>
  <c r="Q60" i="8"/>
  <c r="AE59" i="8"/>
  <c r="AD59" i="8"/>
  <c r="W59" i="8"/>
  <c r="T59" i="8"/>
  <c r="Q59" i="8"/>
  <c r="AE58" i="8"/>
  <c r="AD58" i="8"/>
  <c r="W58" i="8"/>
  <c r="T58" i="8"/>
  <c r="Q58" i="8"/>
  <c r="AE57" i="8"/>
  <c r="AD57" i="8"/>
  <c r="W57" i="8"/>
  <c r="T57" i="8"/>
  <c r="Q57" i="8"/>
  <c r="V57" i="8" s="1"/>
  <c r="AE56" i="8"/>
  <c r="AD56" i="8"/>
  <c r="W56" i="8"/>
  <c r="T56" i="8"/>
  <c r="Q56" i="8"/>
  <c r="V56" i="8" s="1"/>
  <c r="AE55" i="8"/>
  <c r="AD55" i="8"/>
  <c r="W55" i="8"/>
  <c r="T55" i="8"/>
  <c r="Q55" i="8"/>
  <c r="AE54" i="8"/>
  <c r="AD54" i="8"/>
  <c r="W54" i="8"/>
  <c r="T54" i="8"/>
  <c r="Q54" i="8"/>
  <c r="AE53" i="8"/>
  <c r="AD53" i="8"/>
  <c r="W53" i="8"/>
  <c r="T53" i="8"/>
  <c r="Q53" i="8"/>
  <c r="AE52" i="8"/>
  <c r="AD52" i="8"/>
  <c r="W52" i="8"/>
  <c r="T52" i="8"/>
  <c r="Q52" i="8"/>
  <c r="AE51" i="8"/>
  <c r="AD51" i="8"/>
  <c r="W51" i="8"/>
  <c r="T51" i="8"/>
  <c r="Q51" i="8"/>
  <c r="AE50" i="8"/>
  <c r="AD50" i="8"/>
  <c r="W50" i="8"/>
  <c r="T50" i="8"/>
  <c r="Q50" i="8"/>
  <c r="AE49" i="8"/>
  <c r="AD49" i="8"/>
  <c r="W49" i="8"/>
  <c r="T49" i="8"/>
  <c r="Q49" i="8"/>
  <c r="AE48" i="8"/>
  <c r="AD48" i="8"/>
  <c r="W48" i="8"/>
  <c r="T48" i="8"/>
  <c r="Q48" i="8"/>
  <c r="AE47" i="8"/>
  <c r="AD47" i="8"/>
  <c r="W47" i="8"/>
  <c r="T47" i="8"/>
  <c r="Q47" i="8"/>
  <c r="AE46" i="8"/>
  <c r="AD46" i="8"/>
  <c r="W46" i="8"/>
  <c r="T46" i="8"/>
  <c r="Q46" i="8"/>
  <c r="AE45" i="8"/>
  <c r="AD45" i="8"/>
  <c r="W45" i="8"/>
  <c r="T45" i="8"/>
  <c r="Q45" i="8"/>
  <c r="AE44" i="8"/>
  <c r="AD44" i="8"/>
  <c r="W44" i="8"/>
  <c r="T44" i="8"/>
  <c r="Q44" i="8"/>
  <c r="V44" i="8" s="1"/>
  <c r="AE43" i="8"/>
  <c r="AD43" i="8"/>
  <c r="W43" i="8"/>
  <c r="T43" i="8"/>
  <c r="Q43" i="8"/>
  <c r="AE42" i="8"/>
  <c r="AD42" i="8"/>
  <c r="W42" i="8"/>
  <c r="T42" i="8"/>
  <c r="Q42" i="8"/>
  <c r="AE41" i="8"/>
  <c r="AD41" i="8"/>
  <c r="W41" i="8"/>
  <c r="T41" i="8"/>
  <c r="Q41" i="8"/>
  <c r="AE40" i="8"/>
  <c r="AD40" i="8"/>
  <c r="W40" i="8"/>
  <c r="T40" i="8"/>
  <c r="Q40" i="8"/>
  <c r="AE39" i="8"/>
  <c r="AD39" i="8"/>
  <c r="W39" i="8"/>
  <c r="T39" i="8"/>
  <c r="Q39" i="8"/>
  <c r="AE38" i="8"/>
  <c r="AD38" i="8"/>
  <c r="W38" i="8"/>
  <c r="T38" i="8"/>
  <c r="Q38" i="8"/>
  <c r="AE37" i="8"/>
  <c r="AD37" i="8"/>
  <c r="W37" i="8"/>
  <c r="T37" i="8"/>
  <c r="Q37" i="8"/>
  <c r="AE36" i="8"/>
  <c r="AD36" i="8"/>
  <c r="W36" i="8"/>
  <c r="T36" i="8"/>
  <c r="Q36" i="8"/>
  <c r="AE35" i="8"/>
  <c r="AD35" i="8"/>
  <c r="W35" i="8"/>
  <c r="T35" i="8"/>
  <c r="Q35" i="8"/>
  <c r="AE34" i="8"/>
  <c r="AD34" i="8"/>
  <c r="W34" i="8"/>
  <c r="T34" i="8"/>
  <c r="Q34" i="8"/>
  <c r="AE33" i="8"/>
  <c r="AD33" i="8"/>
  <c r="W33" i="8"/>
  <c r="T33" i="8"/>
  <c r="Q33" i="8"/>
  <c r="AE32" i="8"/>
  <c r="AD32" i="8"/>
  <c r="W32" i="8"/>
  <c r="T32" i="8"/>
  <c r="Q32" i="8"/>
  <c r="V32" i="8" s="1"/>
  <c r="AE31" i="8"/>
  <c r="AD31" i="8"/>
  <c r="W31" i="8"/>
  <c r="T31" i="8"/>
  <c r="Q31" i="8"/>
  <c r="AE30" i="8"/>
  <c r="AD30" i="8"/>
  <c r="W30" i="8"/>
  <c r="T30" i="8"/>
  <c r="Q30" i="8"/>
  <c r="AE29" i="8"/>
  <c r="AD29" i="8"/>
  <c r="W29" i="8"/>
  <c r="T29" i="8"/>
  <c r="Q29" i="8"/>
  <c r="AE28" i="8"/>
  <c r="AD28" i="8"/>
  <c r="W28" i="8"/>
  <c r="T28" i="8"/>
  <c r="Q28" i="8"/>
  <c r="AE27" i="8"/>
  <c r="AD27" i="8"/>
  <c r="W27" i="8"/>
  <c r="T27" i="8"/>
  <c r="Q27" i="8"/>
  <c r="AE26" i="8"/>
  <c r="AD26" i="8"/>
  <c r="W26" i="8"/>
  <c r="T26" i="8"/>
  <c r="Q26" i="8"/>
  <c r="V26" i="8" s="1"/>
  <c r="AE25" i="8"/>
  <c r="AD25" i="8"/>
  <c r="W25" i="8"/>
  <c r="T25" i="8"/>
  <c r="Q25" i="8"/>
  <c r="AE24" i="8"/>
  <c r="AD24" i="8"/>
  <c r="W24" i="8"/>
  <c r="T24" i="8"/>
  <c r="Q24" i="8"/>
  <c r="AE23" i="8"/>
  <c r="AD23" i="8"/>
  <c r="W23" i="8"/>
  <c r="T23" i="8"/>
  <c r="Q23" i="8"/>
  <c r="AE22" i="8"/>
  <c r="AD22" i="8"/>
  <c r="W22" i="8"/>
  <c r="T22" i="8"/>
  <c r="Q22" i="8"/>
  <c r="AE21" i="8"/>
  <c r="AD21" i="8"/>
  <c r="W21" i="8"/>
  <c r="T21" i="8"/>
  <c r="Q21" i="8"/>
  <c r="V21" i="8" s="1"/>
  <c r="AE20" i="8"/>
  <c r="AD20" i="8"/>
  <c r="W20" i="8"/>
  <c r="T20" i="8"/>
  <c r="Q20" i="8"/>
  <c r="V20" i="8" s="1"/>
  <c r="AE19" i="8"/>
  <c r="AD19" i="8"/>
  <c r="W19" i="8"/>
  <c r="T19" i="8"/>
  <c r="Q19" i="8"/>
  <c r="AE18" i="8"/>
  <c r="AD18" i="8"/>
  <c r="W18" i="8"/>
  <c r="T18" i="8"/>
  <c r="Q18" i="8"/>
  <c r="AE17" i="8"/>
  <c r="AD17" i="8"/>
  <c r="W17" i="8"/>
  <c r="T17" i="8"/>
  <c r="Q17" i="8"/>
  <c r="AE16" i="8"/>
  <c r="AD16" i="8"/>
  <c r="W16" i="8"/>
  <c r="T16" i="8"/>
  <c r="Q16" i="8"/>
  <c r="AE15" i="8"/>
  <c r="AD15" i="8"/>
  <c r="W15" i="8"/>
  <c r="T15" i="8"/>
  <c r="Q15" i="8"/>
  <c r="AE14" i="8"/>
  <c r="AD14" i="8"/>
  <c r="W14" i="8"/>
  <c r="T14" i="8"/>
  <c r="Q14" i="8"/>
  <c r="V14" i="8" s="1"/>
  <c r="AE13" i="8"/>
  <c r="AD13" i="8"/>
  <c r="W13" i="8"/>
  <c r="T13" i="8"/>
  <c r="Q13" i="8"/>
  <c r="AE12" i="8"/>
  <c r="AD12" i="8"/>
  <c r="W12" i="8"/>
  <c r="T12" i="8"/>
  <c r="Q12" i="8"/>
  <c r="AE11" i="8"/>
  <c r="AD11" i="8"/>
  <c r="W11" i="8"/>
  <c r="T11" i="8"/>
  <c r="Q11" i="8"/>
  <c r="AE10" i="8"/>
  <c r="AD10" i="8"/>
  <c r="W10" i="8"/>
  <c r="T10" i="8"/>
  <c r="Q10" i="8"/>
  <c r="AE9" i="8"/>
  <c r="AD9" i="8"/>
  <c r="W9" i="8"/>
  <c r="T9" i="8"/>
  <c r="Q9" i="8"/>
  <c r="V9" i="8" s="1"/>
  <c r="AE8" i="8"/>
  <c r="AD8" i="8"/>
  <c r="W8" i="8"/>
  <c r="T8" i="8"/>
  <c r="Q8" i="8"/>
  <c r="V8" i="8" s="1"/>
  <c r="AE7" i="8"/>
  <c r="AD7" i="8"/>
  <c r="W7" i="8"/>
  <c r="T7" i="8"/>
  <c r="Q7" i="8"/>
  <c r="AE6" i="8"/>
  <c r="AD6" i="8"/>
  <c r="W6" i="8"/>
  <c r="T6" i="8"/>
  <c r="Q6" i="8"/>
  <c r="AE5" i="8"/>
  <c r="AD5" i="8"/>
  <c r="W5" i="8"/>
  <c r="T5" i="8"/>
  <c r="Q5" i="8"/>
  <c r="AE4" i="8"/>
  <c r="AD4" i="8"/>
  <c r="W4" i="8"/>
  <c r="T4" i="8"/>
  <c r="Q4" i="8"/>
  <c r="AE3" i="8"/>
  <c r="AD3" i="8"/>
  <c r="W3" i="8"/>
  <c r="T3" i="8"/>
  <c r="Q3" i="8"/>
  <c r="AE2" i="8"/>
  <c r="AD2" i="8"/>
  <c r="W2" i="8"/>
  <c r="T2" i="8"/>
  <c r="Q2" i="8"/>
  <c r="V2" i="8" s="1"/>
  <c r="O529" i="7"/>
  <c r="O528" i="7"/>
  <c r="O527" i="7"/>
  <c r="O526" i="7"/>
  <c r="O525" i="7"/>
  <c r="O524" i="7"/>
  <c r="O523" i="7"/>
  <c r="O522" i="7"/>
  <c r="O521" i="7"/>
  <c r="O520" i="7"/>
  <c r="O519" i="7"/>
  <c r="O518" i="7"/>
  <c r="O517" i="7"/>
  <c r="O516" i="7"/>
  <c r="O515" i="7"/>
  <c r="O514" i="7"/>
  <c r="O513" i="7"/>
  <c r="O512" i="7"/>
  <c r="O511" i="7"/>
  <c r="O510" i="7"/>
  <c r="O509" i="7"/>
  <c r="O508" i="7"/>
  <c r="O507" i="7"/>
  <c r="O506" i="7"/>
  <c r="O505" i="7"/>
  <c r="O504" i="7"/>
  <c r="O503" i="7"/>
  <c r="O502" i="7"/>
  <c r="O501" i="7"/>
  <c r="O500" i="7"/>
  <c r="O499" i="7"/>
  <c r="O498" i="7"/>
  <c r="O497" i="7"/>
  <c r="O496" i="7"/>
  <c r="O495" i="7"/>
  <c r="O494" i="7"/>
  <c r="O493" i="7"/>
  <c r="O492" i="7"/>
  <c r="O491" i="7"/>
  <c r="O490" i="7"/>
  <c r="O489" i="7"/>
  <c r="O488" i="7"/>
  <c r="O487" i="7"/>
  <c r="O486" i="7"/>
  <c r="O485" i="7"/>
  <c r="O484" i="7"/>
  <c r="O483" i="7"/>
  <c r="O482" i="7"/>
  <c r="O481" i="7"/>
  <c r="O480" i="7"/>
  <c r="O479" i="7"/>
  <c r="O478" i="7"/>
  <c r="O477" i="7"/>
  <c r="O476" i="7"/>
  <c r="O475" i="7"/>
  <c r="O474" i="7"/>
  <c r="O473" i="7"/>
  <c r="O472" i="7"/>
  <c r="O471" i="7"/>
  <c r="O470" i="7"/>
  <c r="O469" i="7"/>
  <c r="O468" i="7"/>
  <c r="O467" i="7"/>
  <c r="O466" i="7"/>
  <c r="O465" i="7"/>
  <c r="O464" i="7"/>
  <c r="O463" i="7"/>
  <c r="O462" i="7"/>
  <c r="O461" i="7"/>
  <c r="O460" i="7"/>
  <c r="O459" i="7"/>
  <c r="O458" i="7"/>
  <c r="O457" i="7"/>
  <c r="O456" i="7"/>
  <c r="O455" i="7"/>
  <c r="O454" i="7"/>
  <c r="O453" i="7"/>
  <c r="O452" i="7"/>
  <c r="O451" i="7"/>
  <c r="O450" i="7"/>
  <c r="O449" i="7"/>
  <c r="O448" i="7"/>
  <c r="O447" i="7"/>
  <c r="O446" i="7"/>
  <c r="O445" i="7"/>
  <c r="O444" i="7"/>
  <c r="O443" i="7"/>
  <c r="O442" i="7"/>
  <c r="O441" i="7"/>
  <c r="O440" i="7"/>
  <c r="O439" i="7"/>
  <c r="O438" i="7"/>
  <c r="O437" i="7"/>
  <c r="O436" i="7"/>
  <c r="O435" i="7"/>
  <c r="O434" i="7"/>
  <c r="O433" i="7"/>
  <c r="O432" i="7"/>
  <c r="O431" i="7"/>
  <c r="O430" i="7"/>
  <c r="O429" i="7"/>
  <c r="O428" i="7"/>
  <c r="O427" i="7"/>
  <c r="O426" i="7"/>
  <c r="O425" i="7"/>
  <c r="O424" i="7"/>
  <c r="O423" i="7"/>
  <c r="O422" i="7"/>
  <c r="O421" i="7"/>
  <c r="O420" i="7"/>
  <c r="O419" i="7"/>
  <c r="O418" i="7"/>
  <c r="O417" i="7"/>
  <c r="O416" i="7"/>
  <c r="O415" i="7"/>
  <c r="O414" i="7"/>
  <c r="O413" i="7"/>
  <c r="O412" i="7"/>
  <c r="O411" i="7"/>
  <c r="O410" i="7"/>
  <c r="O409" i="7"/>
  <c r="O408" i="7"/>
  <c r="O407" i="7"/>
  <c r="O406" i="7"/>
  <c r="O405" i="7"/>
  <c r="O404" i="7"/>
  <c r="O403" i="7"/>
  <c r="O402" i="7"/>
  <c r="O401" i="7"/>
  <c r="O400" i="7"/>
  <c r="O399" i="7"/>
  <c r="O398" i="7"/>
  <c r="O397" i="7"/>
  <c r="O396" i="7"/>
  <c r="O395" i="7"/>
  <c r="O394" i="7"/>
  <c r="O393" i="7"/>
  <c r="O392" i="7"/>
  <c r="O391" i="7"/>
  <c r="O390" i="7"/>
  <c r="O389" i="7"/>
  <c r="O388" i="7"/>
  <c r="O387" i="7"/>
  <c r="O386" i="7"/>
  <c r="O385" i="7"/>
  <c r="O384" i="7"/>
  <c r="O383" i="7"/>
  <c r="O382" i="7"/>
  <c r="O381" i="7"/>
  <c r="O380" i="7"/>
  <c r="O379" i="7"/>
  <c r="O378" i="7"/>
  <c r="O377" i="7"/>
  <c r="O376" i="7"/>
  <c r="O375" i="7"/>
  <c r="O374" i="7"/>
  <c r="O373" i="7"/>
  <c r="O372" i="7"/>
  <c r="O371" i="7"/>
  <c r="O370" i="7"/>
  <c r="O369" i="7"/>
  <c r="O368" i="7"/>
  <c r="O367" i="7"/>
  <c r="O366" i="7"/>
  <c r="O365" i="7"/>
  <c r="O364" i="7"/>
  <c r="O363" i="7"/>
  <c r="O362" i="7"/>
  <c r="O361" i="7"/>
  <c r="O360" i="7"/>
  <c r="O359" i="7"/>
  <c r="O358" i="7"/>
  <c r="O357" i="7"/>
  <c r="O356" i="7"/>
  <c r="O355" i="7"/>
  <c r="O354" i="7"/>
  <c r="O353" i="7"/>
  <c r="O352" i="7"/>
  <c r="O351" i="7"/>
  <c r="O350" i="7"/>
  <c r="O349" i="7"/>
  <c r="O348" i="7"/>
  <c r="O347" i="7"/>
  <c r="O346" i="7"/>
  <c r="O345" i="7"/>
  <c r="O344" i="7"/>
  <c r="O343" i="7"/>
  <c r="O342" i="7"/>
  <c r="O341" i="7"/>
  <c r="O340" i="7"/>
  <c r="O339" i="7"/>
  <c r="O338" i="7"/>
  <c r="O337" i="7"/>
  <c r="O336" i="7"/>
  <c r="O335" i="7"/>
  <c r="O334" i="7"/>
  <c r="O333" i="7"/>
  <c r="O332" i="7"/>
  <c r="O331" i="7"/>
  <c r="O330" i="7"/>
  <c r="O329" i="7"/>
  <c r="O328" i="7"/>
  <c r="O327" i="7"/>
  <c r="O326" i="7"/>
  <c r="O325" i="7"/>
  <c r="O324" i="7"/>
  <c r="O323" i="7"/>
  <c r="O322" i="7"/>
  <c r="O321" i="7"/>
  <c r="O320" i="7"/>
  <c r="O319" i="7"/>
  <c r="O318" i="7"/>
  <c r="O317" i="7"/>
  <c r="O316" i="7"/>
  <c r="O315" i="7"/>
  <c r="O314" i="7"/>
  <c r="O313" i="7"/>
  <c r="O312" i="7"/>
  <c r="O311" i="7"/>
  <c r="O310" i="7"/>
  <c r="O309" i="7"/>
  <c r="O308" i="7"/>
  <c r="O307" i="7"/>
  <c r="O306" i="7"/>
  <c r="O305" i="7"/>
  <c r="O304" i="7"/>
  <c r="O303" i="7"/>
  <c r="O302" i="7"/>
  <c r="O301" i="7"/>
  <c r="O300" i="7"/>
  <c r="O299" i="7"/>
  <c r="O298" i="7"/>
  <c r="O297" i="7"/>
  <c r="O296" i="7"/>
  <c r="O295" i="7"/>
  <c r="O294" i="7"/>
  <c r="O293" i="7"/>
  <c r="O292" i="7"/>
  <c r="O291" i="7"/>
  <c r="O290" i="7"/>
  <c r="O289" i="7"/>
  <c r="O288" i="7"/>
  <c r="O287" i="7"/>
  <c r="O286" i="7"/>
  <c r="O285" i="7"/>
  <c r="O284" i="7"/>
  <c r="O283" i="7"/>
  <c r="O282" i="7"/>
  <c r="O281" i="7"/>
  <c r="O280" i="7"/>
  <c r="O279" i="7"/>
  <c r="O278" i="7"/>
  <c r="O277" i="7"/>
  <c r="O276" i="7"/>
  <c r="O275" i="7"/>
  <c r="O274" i="7"/>
  <c r="O273" i="7"/>
  <c r="O272" i="7"/>
  <c r="O271" i="7"/>
  <c r="O270" i="7"/>
  <c r="O269" i="7"/>
  <c r="O268" i="7"/>
  <c r="O267" i="7"/>
  <c r="O266" i="7"/>
  <c r="O265" i="7"/>
  <c r="O264" i="7"/>
  <c r="O263" i="7"/>
  <c r="O262" i="7"/>
  <c r="O261" i="7"/>
  <c r="O260" i="7"/>
  <c r="O259" i="7"/>
  <c r="O258" i="7"/>
  <c r="O257" i="7"/>
  <c r="O256" i="7"/>
  <c r="O255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V529" i="5"/>
  <c r="U529" i="5"/>
  <c r="V528" i="5"/>
  <c r="U528" i="5"/>
  <c r="V527" i="5"/>
  <c r="U527" i="5"/>
  <c r="V526" i="5"/>
  <c r="U526" i="5"/>
  <c r="V525" i="5"/>
  <c r="U525" i="5"/>
  <c r="V524" i="5"/>
  <c r="U524" i="5"/>
  <c r="V523" i="5"/>
  <c r="U523" i="5"/>
  <c r="V522" i="5"/>
  <c r="U522" i="5"/>
  <c r="V521" i="5"/>
  <c r="U521" i="5"/>
  <c r="V520" i="5"/>
  <c r="U520" i="5"/>
  <c r="V519" i="5"/>
  <c r="U519" i="5"/>
  <c r="V518" i="5"/>
  <c r="U518" i="5"/>
  <c r="V517" i="5"/>
  <c r="U517" i="5"/>
  <c r="V516" i="5"/>
  <c r="U516" i="5"/>
  <c r="V515" i="5"/>
  <c r="U515" i="5"/>
  <c r="V514" i="5"/>
  <c r="U514" i="5"/>
  <c r="V513" i="5"/>
  <c r="U513" i="5"/>
  <c r="V512" i="5"/>
  <c r="U512" i="5"/>
  <c r="V511" i="5"/>
  <c r="U511" i="5"/>
  <c r="V510" i="5"/>
  <c r="U510" i="5"/>
  <c r="V509" i="5"/>
  <c r="U509" i="5"/>
  <c r="V508" i="5"/>
  <c r="U508" i="5"/>
  <c r="V507" i="5"/>
  <c r="U507" i="5"/>
  <c r="V506" i="5"/>
  <c r="U506" i="5"/>
  <c r="V505" i="5"/>
  <c r="U505" i="5"/>
  <c r="V504" i="5"/>
  <c r="U504" i="5"/>
  <c r="V503" i="5"/>
  <c r="U503" i="5"/>
  <c r="V502" i="5"/>
  <c r="U502" i="5"/>
  <c r="V501" i="5"/>
  <c r="U501" i="5"/>
  <c r="V500" i="5"/>
  <c r="U500" i="5"/>
  <c r="V499" i="5"/>
  <c r="U499" i="5"/>
  <c r="V498" i="5"/>
  <c r="U498" i="5"/>
  <c r="V497" i="5"/>
  <c r="U497" i="5"/>
  <c r="V496" i="5"/>
  <c r="U496" i="5"/>
  <c r="V495" i="5"/>
  <c r="U495" i="5"/>
  <c r="V494" i="5"/>
  <c r="U494" i="5"/>
  <c r="V493" i="5"/>
  <c r="U493" i="5"/>
  <c r="V492" i="5"/>
  <c r="U492" i="5"/>
  <c r="V491" i="5"/>
  <c r="U491" i="5"/>
  <c r="V490" i="5"/>
  <c r="U490" i="5"/>
  <c r="V489" i="5"/>
  <c r="U489" i="5"/>
  <c r="V488" i="5"/>
  <c r="U488" i="5"/>
  <c r="V487" i="5"/>
  <c r="U487" i="5"/>
  <c r="V486" i="5"/>
  <c r="U486" i="5"/>
  <c r="V485" i="5"/>
  <c r="U485" i="5"/>
  <c r="V484" i="5"/>
  <c r="U484" i="5"/>
  <c r="V483" i="5"/>
  <c r="U483" i="5"/>
  <c r="V482" i="5"/>
  <c r="U482" i="5"/>
  <c r="V481" i="5"/>
  <c r="U481" i="5"/>
  <c r="V480" i="5"/>
  <c r="U480" i="5"/>
  <c r="V479" i="5"/>
  <c r="U479" i="5"/>
  <c r="V478" i="5"/>
  <c r="U478" i="5"/>
  <c r="V477" i="5"/>
  <c r="U477" i="5"/>
  <c r="V476" i="5"/>
  <c r="U476" i="5"/>
  <c r="V475" i="5"/>
  <c r="U475" i="5"/>
  <c r="V474" i="5"/>
  <c r="U474" i="5"/>
  <c r="V473" i="5"/>
  <c r="U473" i="5"/>
  <c r="V472" i="5"/>
  <c r="U472" i="5"/>
  <c r="V471" i="5"/>
  <c r="U471" i="5"/>
  <c r="V470" i="5"/>
  <c r="U470" i="5"/>
  <c r="V469" i="5"/>
  <c r="U469" i="5"/>
  <c r="V468" i="5"/>
  <c r="U468" i="5"/>
  <c r="V467" i="5"/>
  <c r="U467" i="5"/>
  <c r="V466" i="5"/>
  <c r="U466" i="5"/>
  <c r="V465" i="5"/>
  <c r="U465" i="5"/>
  <c r="V464" i="5"/>
  <c r="U464" i="5"/>
  <c r="V463" i="5"/>
  <c r="U463" i="5"/>
  <c r="V462" i="5"/>
  <c r="U462" i="5"/>
  <c r="V461" i="5"/>
  <c r="U461" i="5"/>
  <c r="V460" i="5"/>
  <c r="U460" i="5"/>
  <c r="V459" i="5"/>
  <c r="U459" i="5"/>
  <c r="V458" i="5"/>
  <c r="U458" i="5"/>
  <c r="V457" i="5"/>
  <c r="U457" i="5"/>
  <c r="V456" i="5"/>
  <c r="U456" i="5"/>
  <c r="V455" i="5"/>
  <c r="U455" i="5"/>
  <c r="V454" i="5"/>
  <c r="U454" i="5"/>
  <c r="V453" i="5"/>
  <c r="U453" i="5"/>
  <c r="V452" i="5"/>
  <c r="U452" i="5"/>
  <c r="V451" i="5"/>
  <c r="U451" i="5"/>
  <c r="V450" i="5"/>
  <c r="U450" i="5"/>
  <c r="V449" i="5"/>
  <c r="U449" i="5"/>
  <c r="V448" i="5"/>
  <c r="U448" i="5"/>
  <c r="V447" i="5"/>
  <c r="U447" i="5"/>
  <c r="V446" i="5"/>
  <c r="U446" i="5"/>
  <c r="V445" i="5"/>
  <c r="U445" i="5"/>
  <c r="V444" i="5"/>
  <c r="U444" i="5"/>
  <c r="V443" i="5"/>
  <c r="U443" i="5"/>
  <c r="V442" i="5"/>
  <c r="U442" i="5"/>
  <c r="V441" i="5"/>
  <c r="U441" i="5"/>
  <c r="V440" i="5"/>
  <c r="U440" i="5"/>
  <c r="V439" i="5"/>
  <c r="U439" i="5"/>
  <c r="V438" i="5"/>
  <c r="U438" i="5"/>
  <c r="V437" i="5"/>
  <c r="U437" i="5"/>
  <c r="V436" i="5"/>
  <c r="U436" i="5"/>
  <c r="V435" i="5"/>
  <c r="U435" i="5"/>
  <c r="V434" i="5"/>
  <c r="U434" i="5"/>
  <c r="V433" i="5"/>
  <c r="U433" i="5"/>
  <c r="V432" i="5"/>
  <c r="U432" i="5"/>
  <c r="V431" i="5"/>
  <c r="U431" i="5"/>
  <c r="V430" i="5"/>
  <c r="U430" i="5"/>
  <c r="V429" i="5"/>
  <c r="U429" i="5"/>
  <c r="V428" i="5"/>
  <c r="U428" i="5"/>
  <c r="V427" i="5"/>
  <c r="U427" i="5"/>
  <c r="V426" i="5"/>
  <c r="U426" i="5"/>
  <c r="V425" i="5"/>
  <c r="U425" i="5"/>
  <c r="V424" i="5"/>
  <c r="U424" i="5"/>
  <c r="V423" i="5"/>
  <c r="U423" i="5"/>
  <c r="V422" i="5"/>
  <c r="U422" i="5"/>
  <c r="V421" i="5"/>
  <c r="U421" i="5"/>
  <c r="V420" i="5"/>
  <c r="U420" i="5"/>
  <c r="V419" i="5"/>
  <c r="U419" i="5"/>
  <c r="V418" i="5"/>
  <c r="U418" i="5"/>
  <c r="V417" i="5"/>
  <c r="U417" i="5"/>
  <c r="V416" i="5"/>
  <c r="U416" i="5"/>
  <c r="V415" i="5"/>
  <c r="U415" i="5"/>
  <c r="V414" i="5"/>
  <c r="U414" i="5"/>
  <c r="V413" i="5"/>
  <c r="U413" i="5"/>
  <c r="V412" i="5"/>
  <c r="U412" i="5"/>
  <c r="V411" i="5"/>
  <c r="U411" i="5"/>
  <c r="V410" i="5"/>
  <c r="U410" i="5"/>
  <c r="V409" i="5"/>
  <c r="U409" i="5"/>
  <c r="V408" i="5"/>
  <c r="U408" i="5"/>
  <c r="V407" i="5"/>
  <c r="U407" i="5"/>
  <c r="V406" i="5"/>
  <c r="U406" i="5"/>
  <c r="V405" i="5"/>
  <c r="U405" i="5"/>
  <c r="V404" i="5"/>
  <c r="U404" i="5"/>
  <c r="V403" i="5"/>
  <c r="U403" i="5"/>
  <c r="V402" i="5"/>
  <c r="U402" i="5"/>
  <c r="V401" i="5"/>
  <c r="U401" i="5"/>
  <c r="V400" i="5"/>
  <c r="U400" i="5"/>
  <c r="V399" i="5"/>
  <c r="U399" i="5"/>
  <c r="V398" i="5"/>
  <c r="U398" i="5"/>
  <c r="V397" i="5"/>
  <c r="U397" i="5"/>
  <c r="V396" i="5"/>
  <c r="U396" i="5"/>
  <c r="V395" i="5"/>
  <c r="U395" i="5"/>
  <c r="V394" i="5"/>
  <c r="U394" i="5"/>
  <c r="V393" i="5"/>
  <c r="U393" i="5"/>
  <c r="V392" i="5"/>
  <c r="U392" i="5"/>
  <c r="V391" i="5"/>
  <c r="U391" i="5"/>
  <c r="V390" i="5"/>
  <c r="U390" i="5"/>
  <c r="V389" i="5"/>
  <c r="U389" i="5"/>
  <c r="V388" i="5"/>
  <c r="U388" i="5"/>
  <c r="V387" i="5"/>
  <c r="U387" i="5"/>
  <c r="V386" i="5"/>
  <c r="U386" i="5"/>
  <c r="V385" i="5"/>
  <c r="U385" i="5"/>
  <c r="V384" i="5"/>
  <c r="U384" i="5"/>
  <c r="V383" i="5"/>
  <c r="U383" i="5"/>
  <c r="V382" i="5"/>
  <c r="U382" i="5"/>
  <c r="V381" i="5"/>
  <c r="U381" i="5"/>
  <c r="V380" i="5"/>
  <c r="U380" i="5"/>
  <c r="V379" i="5"/>
  <c r="U379" i="5"/>
  <c r="V378" i="5"/>
  <c r="U378" i="5"/>
  <c r="V377" i="5"/>
  <c r="U377" i="5"/>
  <c r="V376" i="5"/>
  <c r="U376" i="5"/>
  <c r="V375" i="5"/>
  <c r="U375" i="5"/>
  <c r="V374" i="5"/>
  <c r="U374" i="5"/>
  <c r="V373" i="5"/>
  <c r="U373" i="5"/>
  <c r="V372" i="5"/>
  <c r="U372" i="5"/>
  <c r="V371" i="5"/>
  <c r="U371" i="5"/>
  <c r="V370" i="5"/>
  <c r="U370" i="5"/>
  <c r="V369" i="5"/>
  <c r="U369" i="5"/>
  <c r="V368" i="5"/>
  <c r="U368" i="5"/>
  <c r="V367" i="5"/>
  <c r="U367" i="5"/>
  <c r="V366" i="5"/>
  <c r="U366" i="5"/>
  <c r="V365" i="5"/>
  <c r="U365" i="5"/>
  <c r="V364" i="5"/>
  <c r="U364" i="5"/>
  <c r="V363" i="5"/>
  <c r="U363" i="5"/>
  <c r="V362" i="5"/>
  <c r="U362" i="5"/>
  <c r="V361" i="5"/>
  <c r="U361" i="5"/>
  <c r="V360" i="5"/>
  <c r="U360" i="5"/>
  <c r="V359" i="5"/>
  <c r="U359" i="5"/>
  <c r="V358" i="5"/>
  <c r="U358" i="5"/>
  <c r="V357" i="5"/>
  <c r="U357" i="5"/>
  <c r="V356" i="5"/>
  <c r="U356" i="5"/>
  <c r="V355" i="5"/>
  <c r="U355" i="5"/>
  <c r="V354" i="5"/>
  <c r="U354" i="5"/>
  <c r="V353" i="5"/>
  <c r="U353" i="5"/>
  <c r="V352" i="5"/>
  <c r="U352" i="5"/>
  <c r="V351" i="5"/>
  <c r="U351" i="5"/>
  <c r="V350" i="5"/>
  <c r="U350" i="5"/>
  <c r="V349" i="5"/>
  <c r="U349" i="5"/>
  <c r="V348" i="5"/>
  <c r="U348" i="5"/>
  <c r="V347" i="5"/>
  <c r="U347" i="5"/>
  <c r="V346" i="5"/>
  <c r="U346" i="5"/>
  <c r="V345" i="5"/>
  <c r="U345" i="5"/>
  <c r="V344" i="5"/>
  <c r="U344" i="5"/>
  <c r="V343" i="5"/>
  <c r="U343" i="5"/>
  <c r="V342" i="5"/>
  <c r="U342" i="5"/>
  <c r="V341" i="5"/>
  <c r="U341" i="5"/>
  <c r="V340" i="5"/>
  <c r="U340" i="5"/>
  <c r="V339" i="5"/>
  <c r="U339" i="5"/>
  <c r="V338" i="5"/>
  <c r="U338" i="5"/>
  <c r="V337" i="5"/>
  <c r="U337" i="5"/>
  <c r="V336" i="5"/>
  <c r="U336" i="5"/>
  <c r="V335" i="5"/>
  <c r="U335" i="5"/>
  <c r="V334" i="5"/>
  <c r="U334" i="5"/>
  <c r="V333" i="5"/>
  <c r="U333" i="5"/>
  <c r="V332" i="5"/>
  <c r="U332" i="5"/>
  <c r="V331" i="5"/>
  <c r="U331" i="5"/>
  <c r="V330" i="5"/>
  <c r="U330" i="5"/>
  <c r="V329" i="5"/>
  <c r="U329" i="5"/>
  <c r="V328" i="5"/>
  <c r="U328" i="5"/>
  <c r="V327" i="5"/>
  <c r="U327" i="5"/>
  <c r="V326" i="5"/>
  <c r="U326" i="5"/>
  <c r="V325" i="5"/>
  <c r="U325" i="5"/>
  <c r="V324" i="5"/>
  <c r="U324" i="5"/>
  <c r="V323" i="5"/>
  <c r="U323" i="5"/>
  <c r="V322" i="5"/>
  <c r="U322" i="5"/>
  <c r="V321" i="5"/>
  <c r="U321" i="5"/>
  <c r="V320" i="5"/>
  <c r="U320" i="5"/>
  <c r="V319" i="5"/>
  <c r="U319" i="5"/>
  <c r="V318" i="5"/>
  <c r="U318" i="5"/>
  <c r="V317" i="5"/>
  <c r="U317" i="5"/>
  <c r="V316" i="5"/>
  <c r="U316" i="5"/>
  <c r="V315" i="5"/>
  <c r="U315" i="5"/>
  <c r="V314" i="5"/>
  <c r="U314" i="5"/>
  <c r="V313" i="5"/>
  <c r="U313" i="5"/>
  <c r="V312" i="5"/>
  <c r="U312" i="5"/>
  <c r="V311" i="5"/>
  <c r="U311" i="5"/>
  <c r="V310" i="5"/>
  <c r="U310" i="5"/>
  <c r="V309" i="5"/>
  <c r="U309" i="5"/>
  <c r="V308" i="5"/>
  <c r="U308" i="5"/>
  <c r="V307" i="5"/>
  <c r="U307" i="5"/>
  <c r="V306" i="5"/>
  <c r="U306" i="5"/>
  <c r="V305" i="5"/>
  <c r="U305" i="5"/>
  <c r="V304" i="5"/>
  <c r="U304" i="5"/>
  <c r="V303" i="5"/>
  <c r="U303" i="5"/>
  <c r="V302" i="5"/>
  <c r="U302" i="5"/>
  <c r="V301" i="5"/>
  <c r="U301" i="5"/>
  <c r="V300" i="5"/>
  <c r="U300" i="5"/>
  <c r="V299" i="5"/>
  <c r="U299" i="5"/>
  <c r="V298" i="5"/>
  <c r="U298" i="5"/>
  <c r="V297" i="5"/>
  <c r="U297" i="5"/>
  <c r="V296" i="5"/>
  <c r="U296" i="5"/>
  <c r="V295" i="5"/>
  <c r="U295" i="5"/>
  <c r="V294" i="5"/>
  <c r="U294" i="5"/>
  <c r="V293" i="5"/>
  <c r="U293" i="5"/>
  <c r="V292" i="5"/>
  <c r="U292" i="5"/>
  <c r="V291" i="5"/>
  <c r="U291" i="5"/>
  <c r="V290" i="5"/>
  <c r="U290" i="5"/>
  <c r="V289" i="5"/>
  <c r="U289" i="5"/>
  <c r="V288" i="5"/>
  <c r="U288" i="5"/>
  <c r="V287" i="5"/>
  <c r="U287" i="5"/>
  <c r="V286" i="5"/>
  <c r="U286" i="5"/>
  <c r="V285" i="5"/>
  <c r="U285" i="5"/>
  <c r="V284" i="5"/>
  <c r="U284" i="5"/>
  <c r="V283" i="5"/>
  <c r="U283" i="5"/>
  <c r="V282" i="5"/>
  <c r="U282" i="5"/>
  <c r="V281" i="5"/>
  <c r="U281" i="5"/>
  <c r="V280" i="5"/>
  <c r="U280" i="5"/>
  <c r="V279" i="5"/>
  <c r="U279" i="5"/>
  <c r="V278" i="5"/>
  <c r="U278" i="5"/>
  <c r="V277" i="5"/>
  <c r="U277" i="5"/>
  <c r="V276" i="5"/>
  <c r="U276" i="5"/>
  <c r="V275" i="5"/>
  <c r="U275" i="5"/>
  <c r="V274" i="5"/>
  <c r="U274" i="5"/>
  <c r="V273" i="5"/>
  <c r="U273" i="5"/>
  <c r="V272" i="5"/>
  <c r="U272" i="5"/>
  <c r="V271" i="5"/>
  <c r="U271" i="5"/>
  <c r="V270" i="5"/>
  <c r="U270" i="5"/>
  <c r="V269" i="5"/>
  <c r="U269" i="5"/>
  <c r="V268" i="5"/>
  <c r="U268" i="5"/>
  <c r="V267" i="5"/>
  <c r="U267" i="5"/>
  <c r="V266" i="5"/>
  <c r="U266" i="5"/>
  <c r="V265" i="5"/>
  <c r="U265" i="5"/>
  <c r="V264" i="5"/>
  <c r="U264" i="5"/>
  <c r="V263" i="5"/>
  <c r="U263" i="5"/>
  <c r="V262" i="5"/>
  <c r="U262" i="5"/>
  <c r="V261" i="5"/>
  <c r="U261" i="5"/>
  <c r="V260" i="5"/>
  <c r="U260" i="5"/>
  <c r="V259" i="5"/>
  <c r="U259" i="5"/>
  <c r="V258" i="5"/>
  <c r="U258" i="5"/>
  <c r="V257" i="5"/>
  <c r="U257" i="5"/>
  <c r="V256" i="5"/>
  <c r="U256" i="5"/>
  <c r="V255" i="5"/>
  <c r="U255" i="5"/>
  <c r="V254" i="5"/>
  <c r="U254" i="5"/>
  <c r="V253" i="5"/>
  <c r="U253" i="5"/>
  <c r="V252" i="5"/>
  <c r="U252" i="5"/>
  <c r="V251" i="5"/>
  <c r="U251" i="5"/>
  <c r="V250" i="5"/>
  <c r="U250" i="5"/>
  <c r="V249" i="5"/>
  <c r="U249" i="5"/>
  <c r="V248" i="5"/>
  <c r="U248" i="5"/>
  <c r="V247" i="5"/>
  <c r="U247" i="5"/>
  <c r="V246" i="5"/>
  <c r="U246" i="5"/>
  <c r="V245" i="5"/>
  <c r="U245" i="5"/>
  <c r="V244" i="5"/>
  <c r="U244" i="5"/>
  <c r="V243" i="5"/>
  <c r="U243" i="5"/>
  <c r="V242" i="5"/>
  <c r="U242" i="5"/>
  <c r="V241" i="5"/>
  <c r="U241" i="5"/>
  <c r="V240" i="5"/>
  <c r="U240" i="5"/>
  <c r="V239" i="5"/>
  <c r="U239" i="5"/>
  <c r="V238" i="5"/>
  <c r="U238" i="5"/>
  <c r="V237" i="5"/>
  <c r="U237" i="5"/>
  <c r="V236" i="5"/>
  <c r="U236" i="5"/>
  <c r="V235" i="5"/>
  <c r="U235" i="5"/>
  <c r="V234" i="5"/>
  <c r="U234" i="5"/>
  <c r="V233" i="5"/>
  <c r="U233" i="5"/>
  <c r="V232" i="5"/>
  <c r="U232" i="5"/>
  <c r="V231" i="5"/>
  <c r="U231" i="5"/>
  <c r="V230" i="5"/>
  <c r="U230" i="5"/>
  <c r="V229" i="5"/>
  <c r="U229" i="5"/>
  <c r="V228" i="5"/>
  <c r="U228" i="5"/>
  <c r="V227" i="5"/>
  <c r="U227" i="5"/>
  <c r="V226" i="5"/>
  <c r="U226" i="5"/>
  <c r="V225" i="5"/>
  <c r="U225" i="5"/>
  <c r="V224" i="5"/>
  <c r="U224" i="5"/>
  <c r="V223" i="5"/>
  <c r="U223" i="5"/>
  <c r="V222" i="5"/>
  <c r="U222" i="5"/>
  <c r="V221" i="5"/>
  <c r="U221" i="5"/>
  <c r="V220" i="5"/>
  <c r="U220" i="5"/>
  <c r="V219" i="5"/>
  <c r="U219" i="5"/>
  <c r="V218" i="5"/>
  <c r="U218" i="5"/>
  <c r="V217" i="5"/>
  <c r="U217" i="5"/>
  <c r="V216" i="5"/>
  <c r="U216" i="5"/>
  <c r="V215" i="5"/>
  <c r="U215" i="5"/>
  <c r="V214" i="5"/>
  <c r="U214" i="5"/>
  <c r="V213" i="5"/>
  <c r="U213" i="5"/>
  <c r="V212" i="5"/>
  <c r="U212" i="5"/>
  <c r="V211" i="5"/>
  <c r="U211" i="5"/>
  <c r="V210" i="5"/>
  <c r="U210" i="5"/>
  <c r="V209" i="5"/>
  <c r="U209" i="5"/>
  <c r="V208" i="5"/>
  <c r="U208" i="5"/>
  <c r="V207" i="5"/>
  <c r="U207" i="5"/>
  <c r="V206" i="5"/>
  <c r="U206" i="5"/>
  <c r="V205" i="5"/>
  <c r="U205" i="5"/>
  <c r="V204" i="5"/>
  <c r="U204" i="5"/>
  <c r="V203" i="5"/>
  <c r="U203" i="5"/>
  <c r="V202" i="5"/>
  <c r="U202" i="5"/>
  <c r="V201" i="5"/>
  <c r="U201" i="5"/>
  <c r="V200" i="5"/>
  <c r="U200" i="5"/>
  <c r="V199" i="5"/>
  <c r="U199" i="5"/>
  <c r="V198" i="5"/>
  <c r="U198" i="5"/>
  <c r="V197" i="5"/>
  <c r="U197" i="5"/>
  <c r="V196" i="5"/>
  <c r="U196" i="5"/>
  <c r="V195" i="5"/>
  <c r="U195" i="5"/>
  <c r="V194" i="5"/>
  <c r="U194" i="5"/>
  <c r="V193" i="5"/>
  <c r="U193" i="5"/>
  <c r="V192" i="5"/>
  <c r="U192" i="5"/>
  <c r="V191" i="5"/>
  <c r="U191" i="5"/>
  <c r="V190" i="5"/>
  <c r="U190" i="5"/>
  <c r="V189" i="5"/>
  <c r="U189" i="5"/>
  <c r="V188" i="5"/>
  <c r="U188" i="5"/>
  <c r="V187" i="5"/>
  <c r="U187" i="5"/>
  <c r="V186" i="5"/>
  <c r="U186" i="5"/>
  <c r="V185" i="5"/>
  <c r="U185" i="5"/>
  <c r="V184" i="5"/>
  <c r="U184" i="5"/>
  <c r="V183" i="5"/>
  <c r="U183" i="5"/>
  <c r="V182" i="5"/>
  <c r="U182" i="5"/>
  <c r="V181" i="5"/>
  <c r="U181" i="5"/>
  <c r="V180" i="5"/>
  <c r="U180" i="5"/>
  <c r="V179" i="5"/>
  <c r="U179" i="5"/>
  <c r="V178" i="5"/>
  <c r="U178" i="5"/>
  <c r="V177" i="5"/>
  <c r="U177" i="5"/>
  <c r="V176" i="5"/>
  <c r="U176" i="5"/>
  <c r="V175" i="5"/>
  <c r="U175" i="5"/>
  <c r="V174" i="5"/>
  <c r="U174" i="5"/>
  <c r="V173" i="5"/>
  <c r="U173" i="5"/>
  <c r="V172" i="5"/>
  <c r="U172" i="5"/>
  <c r="V171" i="5"/>
  <c r="U171" i="5"/>
  <c r="V170" i="5"/>
  <c r="U170" i="5"/>
  <c r="V169" i="5"/>
  <c r="U169" i="5"/>
  <c r="V168" i="5"/>
  <c r="U168" i="5"/>
  <c r="V167" i="5"/>
  <c r="U167" i="5"/>
  <c r="V166" i="5"/>
  <c r="U166" i="5"/>
  <c r="V165" i="5"/>
  <c r="U165" i="5"/>
  <c r="V164" i="5"/>
  <c r="U164" i="5"/>
  <c r="V163" i="5"/>
  <c r="U163" i="5"/>
  <c r="V162" i="5"/>
  <c r="U162" i="5"/>
  <c r="V161" i="5"/>
  <c r="U161" i="5"/>
  <c r="V160" i="5"/>
  <c r="U160" i="5"/>
  <c r="V159" i="5"/>
  <c r="U159" i="5"/>
  <c r="V158" i="5"/>
  <c r="U158" i="5"/>
  <c r="V157" i="5"/>
  <c r="U157" i="5"/>
  <c r="V156" i="5"/>
  <c r="U156" i="5"/>
  <c r="V155" i="5"/>
  <c r="U155" i="5"/>
  <c r="V154" i="5"/>
  <c r="U154" i="5"/>
  <c r="V153" i="5"/>
  <c r="U153" i="5"/>
  <c r="V152" i="5"/>
  <c r="U152" i="5"/>
  <c r="V151" i="5"/>
  <c r="U151" i="5"/>
  <c r="V150" i="5"/>
  <c r="U150" i="5"/>
  <c r="V149" i="5"/>
  <c r="U149" i="5"/>
  <c r="V148" i="5"/>
  <c r="U148" i="5"/>
  <c r="V147" i="5"/>
  <c r="U147" i="5"/>
  <c r="V146" i="5"/>
  <c r="U146" i="5"/>
  <c r="V145" i="5"/>
  <c r="U145" i="5"/>
  <c r="V144" i="5"/>
  <c r="U144" i="5"/>
  <c r="V143" i="5"/>
  <c r="U143" i="5"/>
  <c r="V142" i="5"/>
  <c r="U142" i="5"/>
  <c r="V141" i="5"/>
  <c r="U141" i="5"/>
  <c r="V140" i="5"/>
  <c r="U140" i="5"/>
  <c r="V139" i="5"/>
  <c r="U139" i="5"/>
  <c r="V138" i="5"/>
  <c r="U138" i="5"/>
  <c r="V137" i="5"/>
  <c r="U137" i="5"/>
  <c r="V136" i="5"/>
  <c r="U136" i="5"/>
  <c r="V135" i="5"/>
  <c r="U135" i="5"/>
  <c r="V134" i="5"/>
  <c r="U134" i="5"/>
  <c r="V133" i="5"/>
  <c r="U133" i="5"/>
  <c r="V132" i="5"/>
  <c r="U132" i="5"/>
  <c r="V131" i="5"/>
  <c r="U131" i="5"/>
  <c r="V130" i="5"/>
  <c r="U130" i="5"/>
  <c r="V129" i="5"/>
  <c r="U129" i="5"/>
  <c r="V128" i="5"/>
  <c r="U128" i="5"/>
  <c r="V127" i="5"/>
  <c r="U127" i="5"/>
  <c r="V126" i="5"/>
  <c r="U126" i="5"/>
  <c r="V125" i="5"/>
  <c r="U125" i="5"/>
  <c r="V124" i="5"/>
  <c r="U124" i="5"/>
  <c r="V123" i="5"/>
  <c r="U123" i="5"/>
  <c r="V122" i="5"/>
  <c r="U122" i="5"/>
  <c r="V121" i="5"/>
  <c r="U121" i="5"/>
  <c r="V120" i="5"/>
  <c r="U120" i="5"/>
  <c r="V119" i="5"/>
  <c r="U119" i="5"/>
  <c r="V118" i="5"/>
  <c r="U118" i="5"/>
  <c r="V117" i="5"/>
  <c r="U117" i="5"/>
  <c r="V116" i="5"/>
  <c r="U116" i="5"/>
  <c r="V115" i="5"/>
  <c r="U115" i="5"/>
  <c r="V114" i="5"/>
  <c r="U114" i="5"/>
  <c r="V113" i="5"/>
  <c r="U113" i="5"/>
  <c r="V112" i="5"/>
  <c r="U112" i="5"/>
  <c r="V111" i="5"/>
  <c r="U111" i="5"/>
  <c r="V110" i="5"/>
  <c r="U110" i="5"/>
  <c r="V109" i="5"/>
  <c r="U109" i="5"/>
  <c r="V108" i="5"/>
  <c r="U108" i="5"/>
  <c r="V107" i="5"/>
  <c r="U107" i="5"/>
  <c r="V106" i="5"/>
  <c r="U106" i="5"/>
  <c r="V105" i="5"/>
  <c r="U105" i="5"/>
  <c r="V104" i="5"/>
  <c r="U104" i="5"/>
  <c r="V103" i="5"/>
  <c r="U103" i="5"/>
  <c r="V102" i="5"/>
  <c r="U102" i="5"/>
  <c r="V101" i="5"/>
  <c r="U101" i="5"/>
  <c r="V100" i="5"/>
  <c r="U100" i="5"/>
  <c r="V99" i="5"/>
  <c r="U99" i="5"/>
  <c r="V98" i="5"/>
  <c r="U98" i="5"/>
  <c r="V97" i="5"/>
  <c r="U97" i="5"/>
  <c r="V96" i="5"/>
  <c r="U96" i="5"/>
  <c r="V95" i="5"/>
  <c r="U95" i="5"/>
  <c r="V94" i="5"/>
  <c r="U94" i="5"/>
  <c r="V93" i="5"/>
  <c r="U93" i="5"/>
  <c r="V92" i="5"/>
  <c r="U92" i="5"/>
  <c r="V91" i="5"/>
  <c r="U91" i="5"/>
  <c r="V90" i="5"/>
  <c r="U90" i="5"/>
  <c r="V89" i="5"/>
  <c r="U89" i="5"/>
  <c r="V88" i="5"/>
  <c r="U88" i="5"/>
  <c r="V87" i="5"/>
  <c r="U87" i="5"/>
  <c r="V86" i="5"/>
  <c r="U86" i="5"/>
  <c r="V85" i="5"/>
  <c r="U85" i="5"/>
  <c r="V84" i="5"/>
  <c r="U84" i="5"/>
  <c r="V83" i="5"/>
  <c r="U83" i="5"/>
  <c r="V82" i="5"/>
  <c r="U82" i="5"/>
  <c r="V81" i="5"/>
  <c r="U81" i="5"/>
  <c r="V80" i="5"/>
  <c r="U80" i="5"/>
  <c r="V79" i="5"/>
  <c r="U79" i="5"/>
  <c r="V78" i="5"/>
  <c r="U78" i="5"/>
  <c r="V77" i="5"/>
  <c r="U77" i="5"/>
  <c r="V76" i="5"/>
  <c r="U76" i="5"/>
  <c r="V75" i="5"/>
  <c r="U75" i="5"/>
  <c r="V74" i="5"/>
  <c r="U74" i="5"/>
  <c r="V73" i="5"/>
  <c r="U73" i="5"/>
  <c r="V72" i="5"/>
  <c r="U72" i="5"/>
  <c r="V71" i="5"/>
  <c r="U71" i="5"/>
  <c r="V70" i="5"/>
  <c r="U70" i="5"/>
  <c r="V69" i="5"/>
  <c r="U69" i="5"/>
  <c r="V68" i="5"/>
  <c r="U68" i="5"/>
  <c r="V67" i="5"/>
  <c r="U67" i="5"/>
  <c r="V66" i="5"/>
  <c r="U66" i="5"/>
  <c r="V65" i="5"/>
  <c r="U65" i="5"/>
  <c r="V64" i="5"/>
  <c r="U64" i="5"/>
  <c r="V63" i="5"/>
  <c r="U63" i="5"/>
  <c r="V62" i="5"/>
  <c r="U62" i="5"/>
  <c r="V61" i="5"/>
  <c r="U61" i="5"/>
  <c r="V60" i="5"/>
  <c r="U60" i="5"/>
  <c r="V59" i="5"/>
  <c r="U59" i="5"/>
  <c r="V58" i="5"/>
  <c r="U58" i="5"/>
  <c r="V57" i="5"/>
  <c r="U57" i="5"/>
  <c r="V56" i="5"/>
  <c r="U56" i="5"/>
  <c r="V55" i="5"/>
  <c r="U55" i="5"/>
  <c r="V54" i="5"/>
  <c r="U54" i="5"/>
  <c r="V53" i="5"/>
  <c r="U53" i="5"/>
  <c r="V52" i="5"/>
  <c r="U52" i="5"/>
  <c r="V51" i="5"/>
  <c r="U51" i="5"/>
  <c r="V50" i="5"/>
  <c r="U50" i="5"/>
  <c r="V49" i="5"/>
  <c r="U49" i="5"/>
  <c r="V48" i="5"/>
  <c r="U48" i="5"/>
  <c r="V47" i="5"/>
  <c r="U47" i="5"/>
  <c r="V46" i="5"/>
  <c r="U46" i="5"/>
  <c r="V45" i="5"/>
  <c r="U45" i="5"/>
  <c r="V44" i="5"/>
  <c r="U44" i="5"/>
  <c r="V43" i="5"/>
  <c r="U43" i="5"/>
  <c r="V42" i="5"/>
  <c r="U42" i="5"/>
  <c r="V41" i="5"/>
  <c r="U41" i="5"/>
  <c r="V40" i="5"/>
  <c r="U40" i="5"/>
  <c r="V39" i="5"/>
  <c r="U39" i="5"/>
  <c r="V38" i="5"/>
  <c r="U38" i="5"/>
  <c r="V37" i="5"/>
  <c r="U37" i="5"/>
  <c r="V36" i="5"/>
  <c r="U36" i="5"/>
  <c r="V35" i="5"/>
  <c r="U35" i="5"/>
  <c r="V34" i="5"/>
  <c r="U34" i="5"/>
  <c r="V33" i="5"/>
  <c r="U33" i="5"/>
  <c r="V32" i="5"/>
  <c r="U32" i="5"/>
  <c r="V31" i="5"/>
  <c r="U31" i="5"/>
  <c r="V30" i="5"/>
  <c r="U30" i="5"/>
  <c r="V29" i="5"/>
  <c r="U29" i="5"/>
  <c r="V28" i="5"/>
  <c r="U28" i="5"/>
  <c r="V27" i="5"/>
  <c r="U27" i="5"/>
  <c r="V26" i="5"/>
  <c r="U26" i="5"/>
  <c r="V25" i="5"/>
  <c r="U25" i="5"/>
  <c r="V24" i="5"/>
  <c r="U24" i="5"/>
  <c r="V23" i="5"/>
  <c r="U23" i="5"/>
  <c r="V22" i="5"/>
  <c r="U22" i="5"/>
  <c r="V21" i="5"/>
  <c r="U21" i="5"/>
  <c r="V20" i="5"/>
  <c r="U20" i="5"/>
  <c r="V19" i="5"/>
  <c r="U19" i="5"/>
  <c r="V18" i="5"/>
  <c r="U18" i="5"/>
  <c r="V17" i="5"/>
  <c r="U17" i="5"/>
  <c r="V16" i="5"/>
  <c r="U16" i="5"/>
  <c r="V15" i="5"/>
  <c r="U15" i="5"/>
  <c r="V14" i="5"/>
  <c r="U14" i="5"/>
  <c r="V13" i="5"/>
  <c r="U13" i="5"/>
  <c r="V12" i="5"/>
  <c r="U12" i="5"/>
  <c r="V11" i="5"/>
  <c r="U11" i="5"/>
  <c r="V10" i="5"/>
  <c r="U10" i="5"/>
  <c r="V9" i="5"/>
  <c r="U9" i="5"/>
  <c r="V8" i="5"/>
  <c r="U8" i="5"/>
  <c r="V7" i="5"/>
  <c r="U7" i="5"/>
  <c r="V6" i="5"/>
  <c r="U6" i="5"/>
  <c r="V5" i="5"/>
  <c r="U5" i="5"/>
  <c r="V4" i="5"/>
  <c r="U4" i="5"/>
  <c r="V3" i="5"/>
  <c r="U3" i="5"/>
  <c r="V2" i="5"/>
  <c r="U2" i="5"/>
  <c r="V12" i="8" l="1"/>
  <c r="V24" i="8"/>
  <c r="V36" i="8"/>
  <c r="V48" i="8"/>
  <c r="V81" i="8"/>
  <c r="V127" i="8"/>
  <c r="V150" i="8"/>
  <c r="V164" i="8"/>
  <c r="V208" i="8"/>
  <c r="V215" i="8"/>
  <c r="V378" i="8"/>
  <c r="V390" i="8"/>
  <c r="V426" i="8"/>
  <c r="V476" i="8"/>
  <c r="V155" i="8"/>
  <c r="V239" i="8"/>
  <c r="V139" i="8"/>
  <c r="V107" i="8"/>
  <c r="V197" i="8"/>
  <c r="V211" i="8"/>
  <c r="V369" i="8"/>
  <c r="V381" i="8"/>
  <c r="V386" i="8"/>
  <c r="V405" i="8"/>
  <c r="V417" i="8"/>
  <c r="V434" i="8"/>
  <c r="V441" i="8"/>
  <c r="V479" i="8"/>
  <c r="V484" i="8"/>
  <c r="V491" i="8"/>
  <c r="V529" i="8"/>
  <c r="V13" i="8"/>
  <c r="V25" i="8"/>
  <c r="V37" i="8"/>
  <c r="V49" i="8"/>
  <c r="V151" i="8"/>
  <c r="V209" i="8"/>
  <c r="V223" i="8"/>
  <c r="V379" i="8"/>
  <c r="V391" i="8"/>
  <c r="V515" i="8"/>
  <c r="V6" i="8"/>
  <c r="V18" i="8"/>
  <c r="V30" i="8"/>
  <c r="V54" i="8"/>
  <c r="V75" i="8"/>
  <c r="V89" i="8"/>
  <c r="V119" i="8"/>
  <c r="V156" i="8"/>
  <c r="V193" i="8"/>
  <c r="V221" i="8"/>
  <c r="V240" i="8"/>
  <c r="V384" i="8"/>
  <c r="V420" i="8"/>
  <c r="V470" i="8"/>
  <c r="V482" i="8"/>
  <c r="V520" i="8"/>
  <c r="V527" i="8"/>
  <c r="V59" i="8"/>
  <c r="V257" i="8"/>
  <c r="V377" i="8"/>
  <c r="V389" i="8"/>
  <c r="V33" i="8"/>
  <c r="V45" i="8"/>
  <c r="V78" i="8"/>
  <c r="V131" i="8"/>
  <c r="V161" i="8"/>
  <c r="V231" i="8"/>
  <c r="V267" i="8"/>
  <c r="V303" i="8"/>
  <c r="V399" i="8"/>
  <c r="V423" i="8"/>
  <c r="V435" i="8"/>
  <c r="V461" i="8"/>
  <c r="V473" i="8"/>
  <c r="V492" i="8"/>
  <c r="V504" i="8"/>
  <c r="V38" i="8"/>
  <c r="V50" i="8"/>
  <c r="V64" i="8"/>
  <c r="V71" i="8"/>
  <c r="V129" i="8"/>
  <c r="V248" i="8"/>
  <c r="V90" i="8"/>
  <c r="V97" i="8"/>
  <c r="V113" i="8"/>
  <c r="V143" i="8"/>
  <c r="V173" i="8"/>
  <c r="V187" i="8"/>
  <c r="V201" i="8"/>
  <c r="V241" i="8"/>
  <c r="V385" i="8"/>
  <c r="V421" i="8"/>
  <c r="V483" i="8"/>
  <c r="V509" i="8"/>
  <c r="V528" i="8"/>
  <c r="V7" i="8"/>
  <c r="V19" i="8"/>
  <c r="V31" i="8"/>
  <c r="V43" i="8"/>
  <c r="V55" i="8"/>
  <c r="V73" i="8"/>
  <c r="V80" i="8"/>
  <c r="V104" i="8"/>
  <c r="V128" i="8"/>
  <c r="V152" i="8"/>
  <c r="V176" i="8"/>
  <c r="V200" i="8"/>
  <c r="V229" i="8"/>
  <c r="V243" i="8"/>
  <c r="V262" i="8"/>
  <c r="V274" i="8"/>
  <c r="V286" i="8"/>
  <c r="V298" i="8"/>
  <c r="V310" i="8"/>
  <c r="V322" i="8"/>
  <c r="V334" i="8"/>
  <c r="V346" i="8"/>
  <c r="V358" i="8"/>
  <c r="V393" i="8"/>
  <c r="V398" i="8"/>
  <c r="V412" i="8"/>
  <c r="V419" i="8"/>
  <c r="V433" i="8"/>
  <c r="V440" i="8"/>
  <c r="V447" i="8"/>
  <c r="V477" i="8"/>
  <c r="V5" i="8"/>
  <c r="V17" i="8"/>
  <c r="V29" i="8"/>
  <c r="V41" i="8"/>
  <c r="V53" i="8"/>
  <c r="V62" i="8"/>
  <c r="V227" i="8"/>
  <c r="V260" i="8"/>
  <c r="V272" i="8"/>
  <c r="V284" i="8"/>
  <c r="V296" i="8"/>
  <c r="V308" i="8"/>
  <c r="V320" i="8"/>
  <c r="V332" i="8"/>
  <c r="V344" i="8"/>
  <c r="V356" i="8"/>
  <c r="V375" i="8"/>
  <c r="V396" i="8"/>
  <c r="V403" i="8"/>
  <c r="V410" i="8"/>
  <c r="V438" i="8"/>
  <c r="V445" i="8"/>
  <c r="V452" i="8"/>
  <c r="V459" i="8"/>
  <c r="V512" i="8"/>
  <c r="V10" i="8"/>
  <c r="V22" i="8"/>
  <c r="V34" i="8"/>
  <c r="V46" i="8"/>
  <c r="V60" i="8"/>
  <c r="V246" i="8"/>
  <c r="V253" i="8"/>
  <c r="V265" i="8"/>
  <c r="V277" i="8"/>
  <c r="V289" i="8"/>
  <c r="V301" i="8"/>
  <c r="V313" i="8"/>
  <c r="V325" i="8"/>
  <c r="V337" i="8"/>
  <c r="V349" i="8"/>
  <c r="V361" i="8"/>
  <c r="V3" i="8"/>
  <c r="V15" i="8"/>
  <c r="V27" i="8"/>
  <c r="V39" i="8"/>
  <c r="V51" i="8"/>
  <c r="V67" i="8"/>
  <c r="V96" i="8"/>
  <c r="V120" i="8"/>
  <c r="V144" i="8"/>
  <c r="V168" i="8"/>
  <c r="V192" i="8"/>
  <c r="V216" i="8"/>
  <c r="V232" i="8"/>
  <c r="V330" i="8"/>
  <c r="V342" i="8"/>
  <c r="V354" i="8"/>
  <c r="V366" i="8"/>
  <c r="V373" i="8"/>
  <c r="V380" i="8"/>
  <c r="V387" i="8"/>
  <c r="V401" i="8"/>
  <c r="V408" i="8"/>
  <c r="V415" i="8"/>
  <c r="V429" i="8"/>
  <c r="V443" i="8"/>
  <c r="V457" i="8"/>
  <c r="V464" i="8"/>
  <c r="V494" i="8"/>
  <c r="V508" i="8"/>
  <c r="V42" i="8"/>
  <c r="V72" i="8"/>
  <c r="V114" i="8"/>
  <c r="V162" i="8"/>
  <c r="V186" i="8"/>
  <c r="V210" i="8"/>
  <c r="V235" i="8"/>
  <c r="V261" i="8"/>
  <c r="V273" i="8"/>
  <c r="V285" i="8"/>
  <c r="V297" i="8"/>
  <c r="V309" i="8"/>
  <c r="V321" i="8"/>
  <c r="V333" i="8"/>
  <c r="V357" i="8"/>
  <c r="V397" i="8"/>
  <c r="V404" i="8"/>
  <c r="V425" i="8"/>
  <c r="V432" i="8"/>
  <c r="V439" i="8"/>
  <c r="V446" i="8"/>
  <c r="V460" i="8"/>
  <c r="V513" i="8"/>
  <c r="V11" i="8"/>
  <c r="V23" i="8"/>
  <c r="V35" i="8"/>
  <c r="V47" i="8"/>
  <c r="V77" i="8"/>
  <c r="V88" i="8"/>
  <c r="V112" i="8"/>
  <c r="V136" i="8"/>
  <c r="V160" i="8"/>
  <c r="V254" i="8"/>
  <c r="V4" i="8"/>
  <c r="V16" i="8"/>
  <c r="V28" i="8"/>
  <c r="V40" i="8"/>
  <c r="V52" i="8"/>
  <c r="V68" i="8"/>
  <c r="V86" i="8"/>
  <c r="V110" i="8"/>
  <c r="V134" i="8"/>
  <c r="V158" i="8"/>
  <c r="V182" i="8"/>
  <c r="V206" i="8"/>
  <c r="V226" i="8"/>
  <c r="V233" i="8"/>
  <c r="V247" i="8"/>
  <c r="V259" i="8"/>
  <c r="V271" i="8"/>
  <c r="V283" i="8"/>
  <c r="V295" i="8"/>
  <c r="V307" i="8"/>
  <c r="V319" i="8"/>
  <c r="V331" i="8"/>
  <c r="V343" i="8"/>
  <c r="V355" i="8"/>
  <c r="V374" i="8"/>
  <c r="V388" i="8"/>
  <c r="V395" i="8"/>
  <c r="V402" i="8"/>
  <c r="V409" i="8"/>
  <c r="V416" i="8"/>
  <c r="V444" i="8"/>
  <c r="V458" i="8"/>
  <c r="V488" i="8"/>
  <c r="V269" i="8"/>
  <c r="V281" i="8"/>
  <c r="V293" i="8"/>
  <c r="V305" i="8"/>
  <c r="V449" i="8"/>
  <c r="B10" i="14"/>
  <c r="V70" i="8"/>
  <c r="V94" i="8"/>
  <c r="V118" i="8"/>
  <c r="V142" i="8"/>
  <c r="V166" i="8"/>
  <c r="V190" i="8"/>
  <c r="V214" i="8"/>
  <c r="V250" i="8"/>
  <c r="V264" i="8"/>
  <c r="V276" i="8"/>
  <c r="V288" i="8"/>
  <c r="V300" i="8"/>
  <c r="V312" i="8"/>
  <c r="V324" i="8"/>
  <c r="V336" i="8"/>
  <c r="V348" i="8"/>
  <c r="V360" i="8"/>
  <c r="V367" i="8"/>
  <c r="V519" i="8"/>
  <c r="V58" i="8"/>
  <c r="V82" i="8"/>
  <c r="V106" i="8"/>
  <c r="V130" i="8"/>
  <c r="V154" i="8"/>
  <c r="V178" i="8"/>
  <c r="V202" i="8"/>
  <c r="V222" i="8"/>
  <c r="V242" i="8"/>
  <c r="B9" i="14"/>
  <c r="V76" i="8"/>
  <c r="V100" i="8"/>
  <c r="V124" i="8"/>
  <c r="V148" i="8"/>
  <c r="V172" i="8"/>
  <c r="V196" i="8"/>
  <c r="V245" i="8"/>
  <c r="V74" i="8"/>
  <c r="V98" i="8"/>
  <c r="V122" i="8"/>
  <c r="V146" i="8"/>
  <c r="V170" i="8"/>
  <c r="V194" i="8"/>
  <c r="V218" i="8"/>
  <c r="V234" i="8"/>
  <c r="V266" i="8"/>
  <c r="V278" i="8"/>
  <c r="V290" i="8"/>
  <c r="V302" i="8"/>
  <c r="V314" i="8"/>
  <c r="V326" i="8"/>
  <c r="V338" i="8"/>
  <c r="V350" i="8"/>
  <c r="V362" i="8"/>
  <c r="V392" i="8"/>
  <c r="V236" i="8"/>
  <c r="V368" i="8"/>
  <c r="V411" i="8"/>
  <c r="V486" i="8"/>
  <c r="V258" i="8"/>
  <c r="V270" i="8"/>
  <c r="V282" i="8"/>
  <c r="V294" i="8"/>
  <c r="V306" i="8"/>
  <c r="V318" i="8"/>
  <c r="V228" i="8"/>
  <c r="V252" i="8"/>
  <c r="V414" i="8"/>
  <c r="V507" i="8"/>
  <c r="V382" i="8"/>
  <c r="V406" i="8"/>
  <c r="V430" i="8"/>
  <c r="V454" i="8"/>
  <c r="V478" i="8"/>
  <c r="V502" i="8"/>
  <c r="V498" i="8"/>
  <c r="V522" i="8"/>
  <c r="V376" i="8"/>
  <c r="V400" i="8"/>
  <c r="V424" i="8"/>
  <c r="V448" i="8"/>
  <c r="V472" i="8"/>
  <c r="V496" i="8"/>
  <c r="V372" i="8"/>
  <c r="V516" i="8"/>
  <c r="V370" i="8"/>
  <c r="V394" i="8"/>
  <c r="V418" i="8"/>
  <c r="V442" i="8"/>
  <c r="V466" i="8"/>
  <c r="V490" i="8"/>
  <c r="V514" i="8"/>
</calcChain>
</file>

<file path=xl/sharedStrings.xml><?xml version="1.0" encoding="utf-8"?>
<sst xmlns="http://schemas.openxmlformats.org/spreadsheetml/2006/main" count="45817" uniqueCount="5103">
  <si>
    <t>Projet MOTK Habitat - colonne vertébrale de l'écosystème LTS</t>
  </si>
  <si>
    <t>Document lisible par tous : logique métier, rôle des onglets, et articulation Excel -&gt; generate_contacts.js -&gt; server.js -&gt; App React</t>
  </si>
  <si>
    <t>1. Objet du système</t>
  </si>
  <si>
    <t>Le classeur devient la base de référence du parc LTS. Une ligne de logement = un code_acces stable. Les feuilles métier structurent la gestion locative, les ventes, les travaux, les entreprises et les contacts Telegram.</t>
  </si>
  <si>
    <t>2. Rôle des onglets</t>
  </si>
  <si>
    <t>LTS_Parc = référentiel du patrimoine ; Contacts_Activation = personnes et activation Telegram ; Gestion_Locative = dossier courant du locataire ; Ventes = parcours d'accession ; Travaux = demandes et interventions ; Marches / Entreprises_Activation = pilotage prestataires ; Notifications / Historique_Actions = traçabilité ; Pilotage = indicateurs.</t>
  </si>
  <si>
    <t>3. Generate_contacts.js</t>
  </si>
  <si>
    <t>Le script prépare les activations : normalise les téléphones, génère les codes secrets, construit les liens Telegram et prépare les messages d'activation à envoyer aux habitants.</t>
  </si>
  <si>
    <t>4. Server.js</t>
  </si>
  <si>
    <t>Le serveur lit les feuilles Excel, contrôle la cohérence, calcule les alertes et les priorités, gère l'activation Telegram, oriente les demandes, puis journalise les notifications envoyées aux locataires et aux entreprises.</t>
  </si>
  <si>
    <t>5. Application React</t>
  </si>
  <si>
    <t>L'application affiche les LTS, les statuts, les alertes, les ventes, les travaux, les entreprises et les indicateurs de pilotage dans une interface simple pour les agents et la direction.</t>
  </si>
  <si>
    <t>6. Règle structurante</t>
  </si>
  <si>
    <t>code_lts = résidence ; code_acces = logement. En cas de changement de locataire, le code_acces ne change pas : on ajoute un nouveau contact dans Contacts_Activation et on désactive l'ancien.</t>
  </si>
  <si>
    <t>7. Principes anti-bazar</t>
  </si>
  <si>
    <t>Le classeur utilise des référentiels, des listes déroulantes, des colonnes de workflow et des colonnes de calcul. Les agents choisissent, valident, datent et commentent ; les calculs, les blocages et les messages sont automatisés.</t>
  </si>
  <si>
    <t>Architecture technique et fonctionnelle</t>
  </si>
  <si>
    <t>Vue simple du système MOTK Habitat</t>
  </si>
  <si>
    <t>Composant</t>
  </si>
  <si>
    <t>Entrées</t>
  </si>
  <si>
    <t>Traitements</t>
  </si>
  <si>
    <t>Sorties</t>
  </si>
  <si>
    <t>Usage</t>
  </si>
  <si>
    <t>Excel / LTS_Parc</t>
  </si>
  <si>
    <t>Codes résidence et logement, adresse, vendabilité, diagnostics</t>
  </si>
  <si>
    <t>Structure de base du patrimoine</t>
  </si>
  <si>
    <t>Référentiel propre</t>
  </si>
  <si>
    <t>Base unique de vérité</t>
  </si>
  <si>
    <t>Contacts_Activation</t>
  </si>
  <si>
    <t>Noms, téléphones, liens Telegram, code secret</t>
  </si>
  <si>
    <t>Activation sécurisée, gestion du contact actif</t>
  </si>
  <si>
    <t>Chat ID, statut d'activation, message d'activation</t>
  </si>
  <si>
    <t>Relation habitant</t>
  </si>
  <si>
    <t>Gestion_Locative</t>
  </si>
  <si>
    <t>Assurance, avis d'impôt, pièce manquante, bail</t>
  </si>
  <si>
    <t>Contrôle administratif et relances</t>
  </si>
  <si>
    <t>Alerte gestion, statut dossier</t>
  </si>
  <si>
    <t>Suivi locatif</t>
  </si>
  <si>
    <t>Travaux</t>
  </si>
  <si>
    <t>Demandes, validation agent, attribution entreprise</t>
  </si>
  <si>
    <t>Workflow demande -&gt; validation -&gt; intervention</t>
  </si>
  <si>
    <t>Notifications locataire et entreprise</t>
  </si>
  <si>
    <t>Exécution terrain</t>
  </si>
  <si>
    <t>Ventes</t>
  </si>
  <si>
    <t>Demande achat, prix, TAE, SPANC, chèques, notaire</t>
  </si>
  <si>
    <t>Workflow accession et blocages</t>
  </si>
  <si>
    <t>Suivi vente, notifications, reste à charge</t>
  </si>
  <si>
    <t>Pilotage accession</t>
  </si>
  <si>
    <t>Marches / Entreprises</t>
  </si>
  <si>
    <t>Marchés, lots, entreprise, mode d'attribution</t>
  </si>
  <si>
    <t>Orientation vers prestataire marché / hors marché</t>
  </si>
  <si>
    <t>Activation entreprise et traçabilité</t>
  </si>
  <si>
    <t>Pilotage prestataires</t>
  </si>
  <si>
    <t>generate_contacts.js</t>
  </si>
  <si>
    <t>Normalisation téléphone, code secret, lien Telegram, message</t>
  </si>
  <si>
    <t>Feuille prête pour campagne d'activation</t>
  </si>
  <si>
    <t>Préparation opérationnelle</t>
  </si>
  <si>
    <t>server.js</t>
  </si>
  <si>
    <t>Toutes les feuilles métiers</t>
  </si>
  <si>
    <t>Lecture, synchronisation, contrôle, alertes, envoi Telegram</t>
  </si>
  <si>
    <t>Notifications, historique, dashboard API</t>
  </si>
  <si>
    <t>Moteur central</t>
  </si>
  <si>
    <t>App React</t>
  </si>
  <si>
    <t>API serveur / feuilles consolidées</t>
  </si>
  <si>
    <t>Visualisation cartographique et métier</t>
  </si>
  <si>
    <t>Vues agents / direction</t>
  </si>
  <si>
    <t>Pilotage et supervision</t>
  </si>
  <si>
    <t>Paramètres du système</t>
  </si>
  <si>
    <t>Valeurs de base à ajuster avant déploiement</t>
  </si>
  <si>
    <t>Paramètre</t>
  </si>
  <si>
    <t>Valeur</t>
  </si>
  <si>
    <t>Commentaire</t>
  </si>
  <si>
    <t>Catégorie</t>
  </si>
  <si>
    <t>Résidences non vendables</t>
  </si>
  <si>
    <t>TELEGRAM_BOT_USERNAME</t>
  </si>
  <si>
    <t>motk_notification_bot</t>
  </si>
  <si>
    <t>Nom du bot Telegram utilisé pour les liens d'activation</t>
  </si>
  <si>
    <t>Technique</t>
  </si>
  <si>
    <t>ALAMANDAS</t>
  </si>
  <si>
    <t>CHEQUE_PRIMO_MIN</t>
  </si>
  <si>
    <t>Montant minimal chèque primo-accédant</t>
  </si>
  <si>
    <t>Vente</t>
  </si>
  <si>
    <t>SAPOTIS</t>
  </si>
  <si>
    <t>CHEQUE_PRIMO_MAX</t>
  </si>
  <si>
    <t>Montant maximal chèque primo-accédant</t>
  </si>
  <si>
    <t>GRENADINES</t>
  </si>
  <si>
    <t>CHEQUE_CINOR</t>
  </si>
  <si>
    <t>Montant fixe aide CINOR</t>
  </si>
  <si>
    <t>CLOTILDA</t>
  </si>
  <si>
    <t>TAE_PAR_DEFAUT_VENTE</t>
  </si>
  <si>
    <t>oui</t>
  </si>
  <si>
    <t>Tout logement en vente doit avoir un diag TAE</t>
  </si>
  <si>
    <t>SPANC_PAR_DEFAUT</t>
  </si>
  <si>
    <t>non</t>
  </si>
  <si>
    <t>Par défaut : ajuster logement par logement</t>
  </si>
  <si>
    <t>DELAI_RELANCE_JOURS</t>
  </si>
  <si>
    <t>Délai conseillé pour relance automatique</t>
  </si>
  <si>
    <t>Pilotage</t>
  </si>
  <si>
    <t>TELEGRAM_POLL_INTERVAL_MS</t>
  </si>
  <si>
    <t>Poll Telegram côté serveur</t>
  </si>
  <si>
    <t>CHECK_INTERVAL_MS</t>
  </si>
  <si>
    <t>Scan périodique du moteur d'alertes</t>
  </si>
  <si>
    <t>Référentiels et listes déroulantes</t>
  </si>
  <si>
    <t>Ne pas saisir librement les statuts : utilisez ces listes pour éviter les erreurs</t>
  </si>
  <si>
    <t>OUI_NON</t>
  </si>
  <si>
    <t>STATUT_ACTIVATION</t>
  </si>
  <si>
    <t>CONTACT_ACTIF</t>
  </si>
  <si>
    <t>TYPE_CONTACT</t>
  </si>
  <si>
    <t>ORIGINE_DEMANDE</t>
  </si>
  <si>
    <t>STATUT_DEMANDE</t>
  </si>
  <si>
    <t>STATUT_DETAIL</t>
  </si>
  <si>
    <t>TYPE_TRAVAUX</t>
  </si>
  <si>
    <t>URGENCE</t>
  </si>
  <si>
    <t>MODE_ATTRIBUTION</t>
  </si>
  <si>
    <t>NOTIFICATION</t>
  </si>
  <si>
    <t>STATUT_VENTE</t>
  </si>
  <si>
    <t>STATUT_DIAG</t>
  </si>
  <si>
    <t>STATUT_CHEQUE</t>
  </si>
  <si>
    <t>STATUT_PAIEMENT</t>
  </si>
  <si>
    <t>STATUT_DOSSIER</t>
  </si>
  <si>
    <t>STATUT_MARCHE</t>
  </si>
  <si>
    <t>MODE_PRESTATION</t>
  </si>
  <si>
    <t>CANAL</t>
  </si>
  <si>
    <t>VENTE_AUTORISEE</t>
  </si>
  <si>
    <t>A activer</t>
  </si>
  <si>
    <t>locataire</t>
  </si>
  <si>
    <t>nouvelle</t>
  </si>
  <si>
    <t>en_attente</t>
  </si>
  <si>
    <t>plomberie</t>
  </si>
  <si>
    <t>faible</t>
  </si>
  <si>
    <t>marche</t>
  </si>
  <si>
    <t>a_notifier</t>
  </si>
  <si>
    <t>demande_recue</t>
  </si>
  <si>
    <t>a_faire</t>
  </si>
  <si>
    <t>a_instruire</t>
  </si>
  <si>
    <t>ok</t>
  </si>
  <si>
    <t>actif</t>
  </si>
  <si>
    <t>titulaire_marche</t>
  </si>
  <si>
    <t>Telegram</t>
  </si>
  <si>
    <t>cooccupant</t>
  </si>
  <si>
    <t>agent</t>
  </si>
  <si>
    <t>analyse</t>
  </si>
  <si>
    <t>en_cours</t>
  </si>
  <si>
    <t>electricite</t>
  </si>
  <si>
    <t>moyenne</t>
  </si>
  <si>
    <t>hors_marche</t>
  </si>
  <si>
    <t>envoyee</t>
  </si>
  <si>
    <t>en_instruction</t>
  </si>
  <si>
    <t>fait</t>
  </si>
  <si>
    <t>valide</t>
  </si>
  <si>
    <t>depot_recu</t>
  </si>
  <si>
    <t>a_regulariser</t>
  </si>
  <si>
    <t>termine</t>
  </si>
  <si>
    <t>SMS</t>
  </si>
  <si>
    <t>référent</t>
  </si>
  <si>
    <t>entreprise</t>
  </si>
  <si>
    <t>validee</t>
  </si>
  <si>
    <t>toiture</t>
  </si>
  <si>
    <t>urgente</t>
  </si>
  <si>
    <t>urgence</t>
  </si>
  <si>
    <t>non_concerne</t>
  </si>
  <si>
    <t>pret_signature</t>
  </si>
  <si>
    <t>refuse</t>
  </si>
  <si>
    <t>virement_effectue</t>
  </si>
  <si>
    <t>incomplet</t>
  </si>
  <si>
    <t>suspendu</t>
  </si>
  <si>
    <t>Mail</t>
  </si>
  <si>
    <t>bloquee</t>
  </si>
  <si>
    <t>gestionnaire</t>
  </si>
  <si>
    <t>direction</t>
  </si>
  <si>
    <t>refusee</t>
  </si>
  <si>
    <t>bloque</t>
  </si>
  <si>
    <t>serrurerie</t>
  </si>
  <si>
    <t>consultation</t>
  </si>
  <si>
    <t>signature</t>
  </si>
  <si>
    <t>a_lancer</t>
  </si>
  <si>
    <t>Manuel</t>
  </si>
  <si>
    <t>assainissement</t>
  </si>
  <si>
    <t>realisee</t>
  </si>
  <si>
    <t>peinture</t>
  </si>
  <si>
    <t>menuiserie</t>
  </si>
  <si>
    <t>vrd</t>
  </si>
  <si>
    <t>autre</t>
  </si>
  <si>
    <t>secteur</t>
  </si>
  <si>
    <t>code_lts</t>
  </si>
  <si>
    <t>code_acces</t>
  </si>
  <si>
    <t>nom_lts</t>
  </si>
  <si>
    <t>adresse_complete</t>
  </si>
  <si>
    <t>nom</t>
  </si>
  <si>
    <t>prenom</t>
  </si>
  <si>
    <t>telephone_principal</t>
  </si>
  <si>
    <t>telephone_secondaire</t>
  </si>
  <si>
    <t>remarques_contact</t>
  </si>
  <si>
    <t>vente_autorisee</t>
  </si>
  <si>
    <t>diag_tae_obligatoire</t>
  </si>
  <si>
    <t>spanc_obligatoire</t>
  </si>
  <si>
    <t>a_vendre</t>
  </si>
  <si>
    <t>vente_statut</t>
  </si>
  <si>
    <t>x</t>
  </si>
  <si>
    <t>y</t>
  </si>
  <si>
    <t>contact_actif</t>
  </si>
  <si>
    <t>statut_global</t>
  </si>
  <si>
    <t>1</t>
  </si>
  <si>
    <t>LTS-001</t>
  </si>
  <si>
    <t>LTS-001-001</t>
  </si>
  <si>
    <t>15 Bloc 20 Rue des Alamandas</t>
  </si>
  <si>
    <t>RIVIERE</t>
  </si>
  <si>
    <t>Fabienne</t>
  </si>
  <si>
    <t>0692670367</t>
  </si>
  <si>
    <t>Résidence exclue du dispositif de vente</t>
  </si>
  <si>
    <t>LTS-001-002</t>
  </si>
  <si>
    <t>26 Bloc 24 Rue des Alamandas</t>
  </si>
  <si>
    <t>ARAYE</t>
  </si>
  <si>
    <t>Evelyne</t>
  </si>
  <si>
    <t>0262294396</t>
  </si>
  <si>
    <t>0692085376</t>
  </si>
  <si>
    <t>LTS-001-003</t>
  </si>
  <si>
    <t>19 Bloc 22 Rue des Alamandas</t>
  </si>
  <si>
    <t>ARLANDON</t>
  </si>
  <si>
    <t>Jean Luc</t>
  </si>
  <si>
    <t>0692253329</t>
  </si>
  <si>
    <t>0692373955</t>
  </si>
  <si>
    <t>FREDERICK ARLANDON</t>
  </si>
  <si>
    <t>LTS-001-004</t>
  </si>
  <si>
    <t>27 Bloc 24 Rue des Alamandas</t>
  </si>
  <si>
    <t>CAZAMBO</t>
  </si>
  <si>
    <t>Jean François</t>
  </si>
  <si>
    <t>0693137209</t>
  </si>
  <si>
    <t>LTS-001-005</t>
  </si>
  <si>
    <t>11 Bloc 18 Rue des Alamandas</t>
  </si>
  <si>
    <t>CHANE LAW</t>
  </si>
  <si>
    <t>Jimmy</t>
  </si>
  <si>
    <t>0692957824</t>
  </si>
  <si>
    <t>LTS-001-006</t>
  </si>
  <si>
    <t>24 Bloc 22 Rue des Alamandas</t>
  </si>
  <si>
    <t>METELLUS</t>
  </si>
  <si>
    <t>Stéphane</t>
  </si>
  <si>
    <t>0693044649</t>
  </si>
  <si>
    <t>LTS-001-007</t>
  </si>
  <si>
    <t>12 Bloc 18 Rue des Alamandas</t>
  </si>
  <si>
    <t>FICHORA</t>
  </si>
  <si>
    <t>Armand</t>
  </si>
  <si>
    <t>0262284589</t>
  </si>
  <si>
    <t>LTS-001-008</t>
  </si>
  <si>
    <t>29 Bloc 24 Rue des Alamandas</t>
  </si>
  <si>
    <t>LOUISE</t>
  </si>
  <si>
    <t>Marie</t>
  </si>
  <si>
    <t>0693051870</t>
  </si>
  <si>
    <t>emmanuelle Boyer</t>
  </si>
  <si>
    <t>LTS-001-009</t>
  </si>
  <si>
    <t>13 Bloc 20 Rue des Alamandas</t>
  </si>
  <si>
    <t>GALTIER</t>
  </si>
  <si>
    <t>Rita Marie</t>
  </si>
  <si>
    <t>0262293081</t>
  </si>
  <si>
    <t>0692898654</t>
  </si>
  <si>
    <t>fils</t>
  </si>
  <si>
    <t>LTS-001-010</t>
  </si>
  <si>
    <t>25 Bloc 24 Rue des Alamandas</t>
  </si>
  <si>
    <t>GERVILLE</t>
  </si>
  <si>
    <t>Rose May</t>
  </si>
  <si>
    <t>0692464983</t>
  </si>
  <si>
    <t>LTS-001-011</t>
  </si>
  <si>
    <t>2</t>
  </si>
  <si>
    <t>2 Bloc 16 Rue des Alamandas</t>
  </si>
  <si>
    <t>GRENIER</t>
  </si>
  <si>
    <t>Ruffine Marie</t>
  </si>
  <si>
    <t>0262503633</t>
  </si>
  <si>
    <t>0692190983</t>
  </si>
  <si>
    <t>OU</t>
  </si>
  <si>
    <t>LTS-001-012</t>
  </si>
  <si>
    <t>4</t>
  </si>
  <si>
    <t>4 Bloc 16 Rue des Alamandas</t>
  </si>
  <si>
    <t>SAUTRON</t>
  </si>
  <si>
    <t>Willy David</t>
  </si>
  <si>
    <t>0693634302</t>
  </si>
  <si>
    <t>0692084218 / 0692494271</t>
  </si>
  <si>
    <t>Mme SAUTRON</t>
  </si>
  <si>
    <t>LTS-001-013</t>
  </si>
  <si>
    <t>9 Bloc 18 Rue des Alamandas</t>
  </si>
  <si>
    <t>LAFABLE</t>
  </si>
  <si>
    <t>Philippe</t>
  </si>
  <si>
    <t>0692467006</t>
  </si>
  <si>
    <t>LTS-001-014</t>
  </si>
  <si>
    <t>14 Bloc 20 Rue des Alamandas</t>
  </si>
  <si>
    <t>LAURENT</t>
  </si>
  <si>
    <t>Jean René</t>
  </si>
  <si>
    <t>0262289120</t>
  </si>
  <si>
    <t>LTS-001-015</t>
  </si>
  <si>
    <t>16 Bloc 20 Rue des Alamandas</t>
  </si>
  <si>
    <t>Jean Bernard</t>
  </si>
  <si>
    <t>0692916258</t>
  </si>
  <si>
    <t>LTS-001-016</t>
  </si>
  <si>
    <t>3</t>
  </si>
  <si>
    <t>3 Bloc 16 Rue des Alamandas</t>
  </si>
  <si>
    <t>MARKA</t>
  </si>
  <si>
    <t>Claude</t>
  </si>
  <si>
    <t>0692906779</t>
  </si>
  <si>
    <t>LTS-001-017</t>
  </si>
  <si>
    <t>30 Bloc 24 Rue des Alamandas</t>
  </si>
  <si>
    <t>MOUTOUSSAMY</t>
  </si>
  <si>
    <t>Jacques Antoine</t>
  </si>
  <si>
    <t>0692807626</t>
  </si>
  <si>
    <t>0262190122</t>
  </si>
  <si>
    <t>LTS-001-018</t>
  </si>
  <si>
    <t>20 Bloc 22 Rue des Alamandas</t>
  </si>
  <si>
    <t>PAYET</t>
  </si>
  <si>
    <t>Josiane Aline</t>
  </si>
  <si>
    <t>0262504956</t>
  </si>
  <si>
    <t>0692677087</t>
  </si>
  <si>
    <t>LTS-001-019</t>
  </si>
  <si>
    <t>8 Bloc 18 Rue des Alamandas</t>
  </si>
  <si>
    <t>ROBERT</t>
  </si>
  <si>
    <t>Jean Patrick</t>
  </si>
  <si>
    <t>0692668371</t>
  </si>
  <si>
    <t>0692916112</t>
  </si>
  <si>
    <t>LTS-001-020</t>
  </si>
  <si>
    <t>5</t>
  </si>
  <si>
    <t>5 Bloc 16 Rue des Alamandas</t>
  </si>
  <si>
    <t>REFANE</t>
  </si>
  <si>
    <t>Marie Virginie</t>
  </si>
  <si>
    <t>0692860902</t>
  </si>
  <si>
    <t>LTS-001-021</t>
  </si>
  <si>
    <t>6 Bloc 16 Rue des Alamandas</t>
  </si>
  <si>
    <t>SINAPAYEN SINAMALE</t>
  </si>
  <si>
    <t>Henriette</t>
  </si>
  <si>
    <t>0693860123</t>
  </si>
  <si>
    <t>0692143045</t>
  </si>
  <si>
    <t>petit fils</t>
  </si>
  <si>
    <t>LTS-001-022</t>
  </si>
  <si>
    <t>7 Bloc 18 Rue des Alamandas</t>
  </si>
  <si>
    <t>GREGORY</t>
  </si>
  <si>
    <t>0692843883</t>
  </si>
  <si>
    <t>LTS-001-023</t>
  </si>
  <si>
    <t>10 Bloc 18 Rue des Alamandas</t>
  </si>
  <si>
    <t>TECHER</t>
  </si>
  <si>
    <t>Jean Fabrice</t>
  </si>
  <si>
    <t>0693546553</t>
  </si>
  <si>
    <t>GALAOR  SQUATEUR</t>
  </si>
  <si>
    <t>LTS-001-024</t>
  </si>
  <si>
    <t>1 Bloc 16 Rue des Alamandas</t>
  </si>
  <si>
    <t>Joseph Francis</t>
  </si>
  <si>
    <t>0692487884</t>
  </si>
  <si>
    <t>LTS-001-025</t>
  </si>
  <si>
    <t>23 Bloc 22 Rue des Alamandas</t>
  </si>
  <si>
    <t>VIRAPIN CAROUMBIN</t>
  </si>
  <si>
    <t>Marie-Josée</t>
  </si>
  <si>
    <t>0692689202</t>
  </si>
  <si>
    <t>LTS-001-026</t>
  </si>
  <si>
    <t>17 Bloc 20 Rue des Alamandas</t>
  </si>
  <si>
    <t>CORRE</t>
  </si>
  <si>
    <t>Laurianne Emmanuelle</t>
  </si>
  <si>
    <t>0692842718</t>
  </si>
  <si>
    <t>0692341364</t>
  </si>
  <si>
    <t>PÈRE | MERE</t>
  </si>
  <si>
    <t>LTS-001-027</t>
  </si>
  <si>
    <t>21 Bloc 22 Rue des Alamandas</t>
  </si>
  <si>
    <t>SEVERIN</t>
  </si>
  <si>
    <t>André Claude</t>
  </si>
  <si>
    <t>0692922924</t>
  </si>
  <si>
    <t>0693283029 / 0692661125</t>
  </si>
  <si>
    <t>sa fille | severin</t>
  </si>
  <si>
    <t>LTS-001-028</t>
  </si>
  <si>
    <t>22 Bloc 22 Rue des Alamandas</t>
  </si>
  <si>
    <t>Thomas</t>
  </si>
  <si>
    <t>0692139045</t>
  </si>
  <si>
    <t>LTS-001-029</t>
  </si>
  <si>
    <t>28 Bloc 24 Rue des Alamandas</t>
  </si>
  <si>
    <t>Jean Alain</t>
  </si>
  <si>
    <t>0692590826</t>
  </si>
  <si>
    <t>0692946258 / 0693823305</t>
  </si>
  <si>
    <t>LTS-001-030</t>
  </si>
  <si>
    <t>18 Bloc 20 Rue des Alamandas</t>
  </si>
  <si>
    <t>FIBAC</t>
  </si>
  <si>
    <t>Marie Hélène</t>
  </si>
  <si>
    <t>0692660767</t>
  </si>
  <si>
    <t>LTS-002</t>
  </si>
  <si>
    <t>LTS-002-001</t>
  </si>
  <si>
    <t>ATTES</t>
  </si>
  <si>
    <t>37 Rue du Stade de L'Est</t>
  </si>
  <si>
    <t>ANDRIANA</t>
  </si>
  <si>
    <t>Marie Françoise</t>
  </si>
  <si>
    <t>0693525546</t>
  </si>
  <si>
    <t>0692547291</t>
  </si>
  <si>
    <t>PIERRE ALFLECHE</t>
  </si>
  <si>
    <t>LTS-002-002</t>
  </si>
  <si>
    <t>23 Rue des Lavandières</t>
  </si>
  <si>
    <t>HIVANHOE</t>
  </si>
  <si>
    <t>Jean  Patrick</t>
  </si>
  <si>
    <t>0262902947</t>
  </si>
  <si>
    <t>UDAF</t>
  </si>
  <si>
    <t>LTS-002-003</t>
  </si>
  <si>
    <t>11 Rue des Lavandières</t>
  </si>
  <si>
    <t>MASSEAUX</t>
  </si>
  <si>
    <t>Clarisse Alida</t>
  </si>
  <si>
    <t>0692260455</t>
  </si>
  <si>
    <t>LTS-003</t>
  </si>
  <si>
    <t>LTS-003-001</t>
  </si>
  <si>
    <t>AZALEES</t>
  </si>
  <si>
    <t>107 Route des Azalées</t>
  </si>
  <si>
    <t>IMAHO</t>
  </si>
  <si>
    <t>Emmanuelle Anne Gaëlle</t>
  </si>
  <si>
    <t>0692631658</t>
  </si>
  <si>
    <t>0693111634</t>
  </si>
  <si>
    <t>NUM W</t>
  </si>
  <si>
    <t>LTS-003-002</t>
  </si>
  <si>
    <t>111 Route des Azalées</t>
  </si>
  <si>
    <t>IFIANTEPIA</t>
  </si>
  <si>
    <t>occupé en attente decision</t>
  </si>
  <si>
    <t>0692229197</t>
  </si>
  <si>
    <t>LTS-003-003</t>
  </si>
  <si>
    <t>107 ter Route des Azalées</t>
  </si>
  <si>
    <t>THOMAS NÉE TURPIN</t>
  </si>
  <si>
    <t>Marie Micheline</t>
  </si>
  <si>
    <t>0692587339</t>
  </si>
  <si>
    <t>LTS-003-004</t>
  </si>
  <si>
    <t>107 bis Route des Azalées</t>
  </si>
  <si>
    <t>POLEYA</t>
  </si>
  <si>
    <t>Joachim</t>
  </si>
  <si>
    <t>0692743656</t>
  </si>
  <si>
    <t>LTS-004</t>
  </si>
  <si>
    <t>LTS-004-001</t>
  </si>
  <si>
    <t>BARBADINES</t>
  </si>
  <si>
    <t>65 Ruelle Marcadet</t>
  </si>
  <si>
    <t>ABDALAH BEDANI</t>
  </si>
  <si>
    <t>Marie Thérèse</t>
  </si>
  <si>
    <t>0692128814</t>
  </si>
  <si>
    <t>LTS-004-002</t>
  </si>
  <si>
    <t>45 Ruelle Marcadet</t>
  </si>
  <si>
    <t>MAILLOT</t>
  </si>
  <si>
    <t>0692209721</t>
  </si>
  <si>
    <t>LTS-004-003</t>
  </si>
  <si>
    <t>25 Ruelle Marcadet</t>
  </si>
  <si>
    <t>CARPIN VELLEYEN</t>
  </si>
  <si>
    <t>Maximin</t>
  </si>
  <si>
    <t>0692353423</t>
  </si>
  <si>
    <t>0692326054 / 0692362257</t>
  </si>
  <si>
    <t>VINCENT  61 44</t>
  </si>
  <si>
    <t>LTS-004-004</t>
  </si>
  <si>
    <t>47 Ruelle Marcadet</t>
  </si>
  <si>
    <t>CLAIN</t>
  </si>
  <si>
    <t>Christian Daniel</t>
  </si>
  <si>
    <t>0692102185</t>
  </si>
  <si>
    <t>LTS-004-005</t>
  </si>
  <si>
    <t>21 Ruelle Marcadet</t>
  </si>
  <si>
    <t>ELEONORE</t>
  </si>
  <si>
    <t>Yves Joseph</t>
  </si>
  <si>
    <t>0692517903</t>
  </si>
  <si>
    <t>LTS-004-006</t>
  </si>
  <si>
    <t>63 Ruelle Marcadet</t>
  </si>
  <si>
    <t>ERINACINT</t>
  </si>
  <si>
    <t>Marie Régine</t>
  </si>
  <si>
    <t>LTS-004-007</t>
  </si>
  <si>
    <t>9 Ruelle Marcadet</t>
  </si>
  <si>
    <t>ESPARON</t>
  </si>
  <si>
    <t>Marie Rose Andrée</t>
  </si>
  <si>
    <t>0262418046</t>
  </si>
  <si>
    <t>LTS-004-008</t>
  </si>
  <si>
    <t>61 Ruelle Marcadet</t>
  </si>
  <si>
    <t>GRONDIN</t>
  </si>
  <si>
    <t>Joseph Jean Yves</t>
  </si>
  <si>
    <t>0693945329</t>
  </si>
  <si>
    <t>0692769137</t>
  </si>
  <si>
    <t>LA FILLE</t>
  </si>
  <si>
    <t>LTS-004-009</t>
  </si>
  <si>
    <t>55 Ruelle Marcadet</t>
  </si>
  <si>
    <t>IBRAHIM</t>
  </si>
  <si>
    <t>Yousouf</t>
  </si>
  <si>
    <t>0693850799</t>
  </si>
  <si>
    <t>0262415521</t>
  </si>
  <si>
    <t>LA FILLE  FIXE</t>
  </si>
  <si>
    <t>LTS-004-010</t>
  </si>
  <si>
    <t>41 Ruelle Marcadet</t>
  </si>
  <si>
    <t>JOVIEN</t>
  </si>
  <si>
    <t>Marie Denise</t>
  </si>
  <si>
    <t>0692218923</t>
  </si>
  <si>
    <t>LTS-004-011</t>
  </si>
  <si>
    <t>53 Ruelle Marcadet</t>
  </si>
  <si>
    <t>KAVO</t>
  </si>
  <si>
    <t>0692754305</t>
  </si>
  <si>
    <t>LTS-004-012</t>
  </si>
  <si>
    <t>69 Ruelle Marcadet</t>
  </si>
  <si>
    <t>LAVAL</t>
  </si>
  <si>
    <t>Yvette Marie Céline</t>
  </si>
  <si>
    <t>0693017032</t>
  </si>
  <si>
    <t>0692934231</t>
  </si>
  <si>
    <t>Jenifer</t>
  </si>
  <si>
    <t>LTS-004-013</t>
  </si>
  <si>
    <t>33 Ruelle Marcadet</t>
  </si>
  <si>
    <t>MADJINDA</t>
  </si>
  <si>
    <t>Halima</t>
  </si>
  <si>
    <t>0693206157</t>
  </si>
  <si>
    <t>LTS-004-014</t>
  </si>
  <si>
    <t>71 Ruelle Marcadet</t>
  </si>
  <si>
    <t>Marie Mélanie</t>
  </si>
  <si>
    <t>LTS-004-015</t>
  </si>
  <si>
    <t>57 Ruelle Marcadet</t>
  </si>
  <si>
    <t>M'HOUMADI</t>
  </si>
  <si>
    <t>Oussoufi</t>
  </si>
  <si>
    <t>0692631773</t>
  </si>
  <si>
    <t>LTS-004-016</t>
  </si>
  <si>
    <t>23 Ruelle Marcadet</t>
  </si>
  <si>
    <t>MAHABO</t>
  </si>
  <si>
    <t>692543500</t>
  </si>
  <si>
    <t>LTS-004-017</t>
  </si>
  <si>
    <t>27 Ruelle Marcadet</t>
  </si>
  <si>
    <t>PAROS</t>
  </si>
  <si>
    <t>Simone</t>
  </si>
  <si>
    <t>0692347454</t>
  </si>
  <si>
    <t>LTS-004-018</t>
  </si>
  <si>
    <t>13 Ruelle Marcadet</t>
  </si>
  <si>
    <t>David</t>
  </si>
  <si>
    <t>0692328124</t>
  </si>
  <si>
    <t>LTS-004-019</t>
  </si>
  <si>
    <t>39 Ruelle Marcadet</t>
  </si>
  <si>
    <t>Marie Danielle</t>
  </si>
  <si>
    <t>0692758155</t>
  </si>
  <si>
    <t>LTS-004-020</t>
  </si>
  <si>
    <t>15 Ruelle Marcadet</t>
  </si>
  <si>
    <t>RAVAT</t>
  </si>
  <si>
    <t>Fatema</t>
  </si>
  <si>
    <t>0692677852</t>
  </si>
  <si>
    <t>LTS-004-021</t>
  </si>
  <si>
    <t>29 Ruelle Marcadet</t>
  </si>
  <si>
    <t>ROSENTAL</t>
  </si>
  <si>
    <t>Patricia</t>
  </si>
  <si>
    <t>LTS-004-022</t>
  </si>
  <si>
    <t>67 Ruelle Marcadet</t>
  </si>
  <si>
    <t>SABABADICHETTY</t>
  </si>
  <si>
    <t>Jean Eric et Joseph Raoul</t>
  </si>
  <si>
    <t>0692158289</t>
  </si>
  <si>
    <t>0693527699</t>
  </si>
  <si>
    <t>LTS-004-023</t>
  </si>
  <si>
    <t>31 Ruelle Marcadet</t>
  </si>
  <si>
    <t>SALEM</t>
  </si>
  <si>
    <t>Brice</t>
  </si>
  <si>
    <t>0693311767</t>
  </si>
  <si>
    <t>0692186561</t>
  </si>
  <si>
    <t>SA FEMME</t>
  </si>
  <si>
    <t>LTS-004-024</t>
  </si>
  <si>
    <t>43 Ruelle Marcadet</t>
  </si>
  <si>
    <t>SANOLAH</t>
  </si>
  <si>
    <t>Eva Bibi</t>
  </si>
  <si>
    <t>0692169701</t>
  </si>
  <si>
    <t>LTS-004-025</t>
  </si>
  <si>
    <t>49 Ruelle Marcadet</t>
  </si>
  <si>
    <t>ELIZEON</t>
  </si>
  <si>
    <t>Fabrice</t>
  </si>
  <si>
    <t>0692856383</t>
  </si>
  <si>
    <t>LTS-005</t>
  </si>
  <si>
    <t>LTS-005-001</t>
  </si>
  <si>
    <t>BILIMBIS</t>
  </si>
  <si>
    <t>5 Impasse des Bilimbis</t>
  </si>
  <si>
    <t>ARABOUT</t>
  </si>
  <si>
    <t>Darina</t>
  </si>
  <si>
    <t>0693338433</t>
  </si>
  <si>
    <t>LTS-005-002</t>
  </si>
  <si>
    <t>18 Impasse des Bilimbis</t>
  </si>
  <si>
    <t>BELVISEE</t>
  </si>
  <si>
    <t>Frédéric</t>
  </si>
  <si>
    <t>0693046702</t>
  </si>
  <si>
    <t>LTS-005-003</t>
  </si>
  <si>
    <t>16 Impasse des Bilimbis</t>
  </si>
  <si>
    <t>Marie Sylvie</t>
  </si>
  <si>
    <t>0692692306</t>
  </si>
  <si>
    <t>MME ROBERT</t>
  </si>
  <si>
    <t>LTS-005-004</t>
  </si>
  <si>
    <t>33 Impasse des Bilimbis</t>
  </si>
  <si>
    <t>BOYER</t>
  </si>
  <si>
    <t>Mimose</t>
  </si>
  <si>
    <t>0692779160</t>
  </si>
  <si>
    <t>LTS-005-005</t>
  </si>
  <si>
    <t>8 Impasse des Bilimbis</t>
  </si>
  <si>
    <t>Cyril Joseph</t>
  </si>
  <si>
    <t>0692253800</t>
  </si>
  <si>
    <t>LTS-005-006</t>
  </si>
  <si>
    <t>21 Impasse des Bilimbis</t>
  </si>
  <si>
    <t>ROCROU</t>
  </si>
  <si>
    <t>Camille Joël</t>
  </si>
  <si>
    <t>0692828750</t>
  </si>
  <si>
    <t>LTS-005-007</t>
  </si>
  <si>
    <t>19 Impasse des Bilimbis</t>
  </si>
  <si>
    <t>CHNAYTI</t>
  </si>
  <si>
    <t>Dounia</t>
  </si>
  <si>
    <t>0692336953</t>
  </si>
  <si>
    <t>0262577819</t>
  </si>
  <si>
    <t>LTS-005-008</t>
  </si>
  <si>
    <t>12 Impasse des Bilimbis</t>
  </si>
  <si>
    <t>HOAREAU</t>
  </si>
  <si>
    <t>0693431072</t>
  </si>
  <si>
    <t>LTS-005-009</t>
  </si>
  <si>
    <t>17 Impasse des Bilimbis</t>
  </si>
  <si>
    <t>Marie Michèle</t>
  </si>
  <si>
    <t>0262221550</t>
  </si>
  <si>
    <t>0692022133</t>
  </si>
  <si>
    <t>LTS-005-010</t>
  </si>
  <si>
    <t>10 Impasse des Bilimbis</t>
  </si>
  <si>
    <t>Suzette Lourdes</t>
  </si>
  <si>
    <t>0262298512</t>
  </si>
  <si>
    <t>LTS-005-011</t>
  </si>
  <si>
    <t>11 Impasse des Bilimbis</t>
  </si>
  <si>
    <t>HUET</t>
  </si>
  <si>
    <t>Marie Ingrid</t>
  </si>
  <si>
    <t>0692809596</t>
  </si>
  <si>
    <t>LTS-005-012</t>
  </si>
  <si>
    <t>3 Impasse des Bilimbis</t>
  </si>
  <si>
    <t>ICHOUZA</t>
  </si>
  <si>
    <t>Béatrice</t>
  </si>
  <si>
    <t>0262234375</t>
  </si>
  <si>
    <t>0692619143</t>
  </si>
  <si>
    <t>LTS-005-013</t>
  </si>
  <si>
    <t>1 Impasse des Bilimbis</t>
  </si>
  <si>
    <t>Marie Gladys</t>
  </si>
  <si>
    <t>0692799962</t>
  </si>
  <si>
    <t>LTS-005-014</t>
  </si>
  <si>
    <t>28 Impasse des Bilimbis</t>
  </si>
  <si>
    <t>IMIRA</t>
  </si>
  <si>
    <t>Marie Rita</t>
  </si>
  <si>
    <t>0692782803</t>
  </si>
  <si>
    <t>LTS-005-015</t>
  </si>
  <si>
    <t>25 Impasse des Bilimbis</t>
  </si>
  <si>
    <t>JEAN BAPTISTE</t>
  </si>
  <si>
    <t>Alexandra</t>
  </si>
  <si>
    <t>0692374881</t>
  </si>
  <si>
    <t>LTS-005-016</t>
  </si>
  <si>
    <t>13 Impasse des Bilimbis</t>
  </si>
  <si>
    <t>LEBON</t>
  </si>
  <si>
    <t>Rock</t>
  </si>
  <si>
    <t>0692903963</t>
  </si>
  <si>
    <t>LTS-005-017</t>
  </si>
  <si>
    <t>30 Impasse des Bilimbis</t>
  </si>
  <si>
    <t>LEBRETON</t>
  </si>
  <si>
    <t>Yanito</t>
  </si>
  <si>
    <t>0692922592</t>
  </si>
  <si>
    <t>LTS-005-018</t>
  </si>
  <si>
    <t>20 Impasse des Bilimbis</t>
  </si>
  <si>
    <t>KIBIO</t>
  </si>
  <si>
    <t>Kayliane</t>
  </si>
  <si>
    <t>0692496477</t>
  </si>
  <si>
    <t>0693450257</t>
  </si>
  <si>
    <t>MME KIBIO</t>
  </si>
  <si>
    <t>LTS-005-019</t>
  </si>
  <si>
    <t>2 Impasse des Bilimbis</t>
  </si>
  <si>
    <t>Eugénie</t>
  </si>
  <si>
    <t>0692826196</t>
  </si>
  <si>
    <t>LTS-005-020</t>
  </si>
  <si>
    <t>26 Impasse des Bilimbis</t>
  </si>
  <si>
    <t>SADON</t>
  </si>
  <si>
    <t>Marie Jeanine</t>
  </si>
  <si>
    <t>0693049639</t>
  </si>
  <si>
    <t>0262134356</t>
  </si>
  <si>
    <t>fixe</t>
  </si>
  <si>
    <t>LTS-005-021</t>
  </si>
  <si>
    <t>4 Impasse des Bilimbis</t>
  </si>
  <si>
    <t>SINAN</t>
  </si>
  <si>
    <t>Marie Anièle</t>
  </si>
  <si>
    <t>0693037800</t>
  </si>
  <si>
    <t>LTS-005-022</t>
  </si>
  <si>
    <t>27 Impasse des Bilimbis</t>
  </si>
  <si>
    <t>TURPIN</t>
  </si>
  <si>
    <t>Josian</t>
  </si>
  <si>
    <t>0692916291</t>
  </si>
  <si>
    <t>LTS-005-023</t>
  </si>
  <si>
    <t>9 Impasse des Bilimbis</t>
  </si>
  <si>
    <t>Marie Julienne</t>
  </si>
  <si>
    <t>0262299212</t>
  </si>
  <si>
    <t>0692697117</t>
  </si>
  <si>
    <t>LTS-005-024</t>
  </si>
  <si>
    <t>23 Impasse des Bilimbis</t>
  </si>
  <si>
    <t>VIDOT</t>
  </si>
  <si>
    <t>Marie Claude</t>
  </si>
  <si>
    <t>0262977334</t>
  </si>
  <si>
    <t>0693802564</t>
  </si>
  <si>
    <t>SA FILLE</t>
  </si>
  <si>
    <t>LTS-006</t>
  </si>
  <si>
    <t>LTS-006-001</t>
  </si>
  <si>
    <t>LANGAVANT</t>
  </si>
  <si>
    <t>18D CH DE LANGAVANT</t>
  </si>
  <si>
    <t>SAITI</t>
  </si>
  <si>
    <t>0262989287</t>
  </si>
  <si>
    <t>LTS-006-002</t>
  </si>
  <si>
    <t>18C CH DE LANGAVANT</t>
  </si>
  <si>
    <t>PANECHOU</t>
  </si>
  <si>
    <t>0262526270</t>
  </si>
  <si>
    <t>LTS-007</t>
  </si>
  <si>
    <t>LTS-007-001</t>
  </si>
  <si>
    <t>CASKAVELS</t>
  </si>
  <si>
    <t>18 Chemin Alfred Mazérieux</t>
  </si>
  <si>
    <t>DIJOUX</t>
  </si>
  <si>
    <t>Sébastien</t>
  </si>
  <si>
    <t>0692808959</t>
  </si>
  <si>
    <t>LTS-007-002</t>
  </si>
  <si>
    <t>30 Chemin Alfred Mazérieux</t>
  </si>
  <si>
    <t>PICARD</t>
  </si>
  <si>
    <t>Ignace Clémént</t>
  </si>
  <si>
    <t>0692461865</t>
  </si>
  <si>
    <t>LTS-007-003</t>
  </si>
  <si>
    <t>28 Chemin Alfred Mazérieux</t>
  </si>
  <si>
    <t>HOARAU</t>
  </si>
  <si>
    <t>Sheila</t>
  </si>
  <si>
    <t>0262302418</t>
  </si>
  <si>
    <t>0693022610</t>
  </si>
  <si>
    <t>LTS-007-004</t>
  </si>
  <si>
    <t>24 Chemin Alfred Mazérieux</t>
  </si>
  <si>
    <t>JOSON</t>
  </si>
  <si>
    <t>LTS-007-005</t>
  </si>
  <si>
    <t>26 Chemin Alfred Mazérieux</t>
  </si>
  <si>
    <t>René-Claude</t>
  </si>
  <si>
    <t>0262647470</t>
  </si>
  <si>
    <t>0692104376</t>
  </si>
  <si>
    <t>RENE Claude</t>
  </si>
  <si>
    <t>LTS-007-006</t>
  </si>
  <si>
    <t>42 Chemin Alfred Mazérieux</t>
  </si>
  <si>
    <t>MALAYA</t>
  </si>
  <si>
    <t>Jean Raymond</t>
  </si>
  <si>
    <t>0262305300</t>
  </si>
  <si>
    <t>LTS-007-007</t>
  </si>
  <si>
    <t>44 Chemin Alfred Mazérieux</t>
  </si>
  <si>
    <t>0262302939</t>
  </si>
  <si>
    <t>LTS-007-008</t>
  </si>
  <si>
    <t>20 Chemin Alfred Mazérieux</t>
  </si>
  <si>
    <t>NAZE</t>
  </si>
  <si>
    <t>Anne Marie Catherine</t>
  </si>
  <si>
    <t>0262303814</t>
  </si>
  <si>
    <t>0693909611</t>
  </si>
  <si>
    <t>LTS-007-009</t>
  </si>
  <si>
    <t>38 Chemin Alfred Mazérieux</t>
  </si>
  <si>
    <t>Marie Laetitia</t>
  </si>
  <si>
    <t>0692181507</t>
  </si>
  <si>
    <t>0262811637</t>
  </si>
  <si>
    <t>LTS-008</t>
  </si>
  <si>
    <t>LTS-008-001</t>
  </si>
  <si>
    <t>2 bis Allée des Teks</t>
  </si>
  <si>
    <t>BATONNET</t>
  </si>
  <si>
    <t>Jeannine Yvette</t>
  </si>
  <si>
    <t>0693300830</t>
  </si>
  <si>
    <t>LTS-008-002</t>
  </si>
  <si>
    <t>16 Allée des Teks</t>
  </si>
  <si>
    <t>SALEZ</t>
  </si>
  <si>
    <t>Catherine</t>
  </si>
  <si>
    <t>0693323223</t>
  </si>
  <si>
    <t>LTS-008-003</t>
  </si>
  <si>
    <t>11 Allée des Teks</t>
  </si>
  <si>
    <t>Maryse Marie Christelle</t>
  </si>
  <si>
    <t>0692885828</t>
  </si>
  <si>
    <t>0692891984</t>
  </si>
  <si>
    <t>LTS-008-004</t>
  </si>
  <si>
    <t>26B Chemin des Bringelliers</t>
  </si>
  <si>
    <t>CALIAMA</t>
  </si>
  <si>
    <t>Antonine</t>
  </si>
  <si>
    <t>0692137556</t>
  </si>
  <si>
    <t>0262291688</t>
  </si>
  <si>
    <t>LTS-008-005</t>
  </si>
  <si>
    <t>5 Allée des Teks</t>
  </si>
  <si>
    <t>CAMARET</t>
  </si>
  <si>
    <t>Marie Céline</t>
  </si>
  <si>
    <t>0262094914</t>
  </si>
  <si>
    <t>LTS-008-006</t>
  </si>
  <si>
    <t>9 Allée des Teks</t>
  </si>
  <si>
    <t>CATHERINE</t>
  </si>
  <si>
    <t>Patrick</t>
  </si>
  <si>
    <t>0693025951</t>
  </si>
  <si>
    <t>LTS-008-007</t>
  </si>
  <si>
    <t>12 Allée des Teks</t>
  </si>
  <si>
    <t>Gilbert</t>
  </si>
  <si>
    <t>0693416344</t>
  </si>
  <si>
    <t>0693416412</t>
  </si>
  <si>
    <t>LTS-008-008</t>
  </si>
  <si>
    <t>10 Allée des Teks</t>
  </si>
  <si>
    <t>0693106390</t>
  </si>
  <si>
    <t>LTS-008-009</t>
  </si>
  <si>
    <t>19 Allée des Teks</t>
  </si>
  <si>
    <t>FERINOUT</t>
  </si>
  <si>
    <t>Véronique</t>
  </si>
  <si>
    <t>0692719141</t>
  </si>
  <si>
    <t>LTS-008-010</t>
  </si>
  <si>
    <t>17 Allée des Teks</t>
  </si>
  <si>
    <t>David Jean Patrice</t>
  </si>
  <si>
    <t>0692782489</t>
  </si>
  <si>
    <t>LTS-008-011</t>
  </si>
  <si>
    <t>8 Allée des Teks</t>
  </si>
  <si>
    <t>INJIRAKY</t>
  </si>
  <si>
    <t>Lise May</t>
  </si>
  <si>
    <t>0693431975</t>
  </si>
  <si>
    <t>LTS-008-012</t>
  </si>
  <si>
    <t>6 Ter Allée des Teks</t>
  </si>
  <si>
    <t>Benjy</t>
  </si>
  <si>
    <t>0693111371</t>
  </si>
  <si>
    <t>LTS-008-013</t>
  </si>
  <si>
    <t>4 Allée des Teks</t>
  </si>
  <si>
    <t>LEPINAY</t>
  </si>
  <si>
    <t>Marie Franceline</t>
  </si>
  <si>
    <t>LTS-008-014</t>
  </si>
  <si>
    <t>14 Allée des Teks</t>
  </si>
  <si>
    <t>MADI</t>
  </si>
  <si>
    <t>Hafoussoiti</t>
  </si>
  <si>
    <t>0692748782</t>
  </si>
  <si>
    <t>0262293257 / 0692301463</t>
  </si>
  <si>
    <t>la Fille EVA</t>
  </si>
  <si>
    <t>LTS-008-015</t>
  </si>
  <si>
    <t>20 Allée des Teks</t>
  </si>
  <si>
    <t>MALLARD</t>
  </si>
  <si>
    <t>Paul</t>
  </si>
  <si>
    <t>0692861154</t>
  </si>
  <si>
    <t>0262618021</t>
  </si>
  <si>
    <t>CROIX MARINE</t>
  </si>
  <si>
    <t>LTS-008-016</t>
  </si>
  <si>
    <t>6 bis Allée des Teks</t>
  </si>
  <si>
    <t>MOUCASSAGUENE</t>
  </si>
  <si>
    <t>Marie Roselyne</t>
  </si>
  <si>
    <t>0692172537</t>
  </si>
  <si>
    <t>LTS-008-017</t>
  </si>
  <si>
    <t>2 ter Allée des Teks</t>
  </si>
  <si>
    <t>CARPAYE</t>
  </si>
  <si>
    <t>JEAN GEOFFROY</t>
  </si>
  <si>
    <t>0692801176</t>
  </si>
  <si>
    <t>LTS-008-018</t>
  </si>
  <si>
    <t>7 Allée des Teks</t>
  </si>
  <si>
    <t>RAMDEEHUL</t>
  </si>
  <si>
    <t>Rajaram</t>
  </si>
  <si>
    <t>0262294426</t>
  </si>
  <si>
    <t>LTS-008-019</t>
  </si>
  <si>
    <t>15 Allée des Teks</t>
  </si>
  <si>
    <t>RASI</t>
  </si>
  <si>
    <t>Cédric</t>
  </si>
  <si>
    <t>LTS-008-020</t>
  </si>
  <si>
    <t>1 Allée des Teks</t>
  </si>
  <si>
    <t>Yannick</t>
  </si>
  <si>
    <t>0692333281</t>
  </si>
  <si>
    <t>LTS-008-021</t>
  </si>
  <si>
    <t>21 Allée des Teks</t>
  </si>
  <si>
    <t>SERAPHIN</t>
  </si>
  <si>
    <t>Charles Eric</t>
  </si>
  <si>
    <t>0692417734</t>
  </si>
  <si>
    <t>LTS-008-022</t>
  </si>
  <si>
    <t>2 Allée des Teks</t>
  </si>
  <si>
    <t>TANGATCHY</t>
  </si>
  <si>
    <t>Marie Hélène DCD</t>
  </si>
  <si>
    <t>0693653665</t>
  </si>
  <si>
    <t>tangatchy jean bernard</t>
  </si>
  <si>
    <t>LTS-008-023</t>
  </si>
  <si>
    <t>4 ter Allée des Teks</t>
  </si>
  <si>
    <t>TETTONI</t>
  </si>
  <si>
    <t>0693024925</t>
  </si>
  <si>
    <t>LTS-008-024</t>
  </si>
  <si>
    <t>4 bis Allée des Teks</t>
  </si>
  <si>
    <t>THIONG KAY</t>
  </si>
  <si>
    <t>Jean Philippe</t>
  </si>
  <si>
    <t>0692726315</t>
  </si>
  <si>
    <t>LTS-008-025</t>
  </si>
  <si>
    <t>3 Allée des Teks</t>
  </si>
  <si>
    <t>THOMAS</t>
  </si>
  <si>
    <t>Jules Yoland</t>
  </si>
  <si>
    <t>0692372329</t>
  </si>
  <si>
    <t>02 062 28 16 92</t>
  </si>
  <si>
    <t>LTS-008-026</t>
  </si>
  <si>
    <t>18 Allée des Teks</t>
  </si>
  <si>
    <t>TILIN</t>
  </si>
  <si>
    <t>Floris</t>
  </si>
  <si>
    <t>0692827563</t>
  </si>
  <si>
    <t>LTS-008-027</t>
  </si>
  <si>
    <t>6 Allée des Teks</t>
  </si>
  <si>
    <t>LTS-009</t>
  </si>
  <si>
    <t>LTS-009-001</t>
  </si>
  <si>
    <t>COMBAVAS</t>
  </si>
  <si>
    <t>109 Chemin des Pêchers</t>
  </si>
  <si>
    <t>Eliane Thérèse Gabrielle</t>
  </si>
  <si>
    <t>0692731124</t>
  </si>
  <si>
    <t>0692488541</t>
  </si>
  <si>
    <t>ANAICK | DJAE SAID</t>
  </si>
  <si>
    <t>LTS-009-002</t>
  </si>
  <si>
    <t>117 Chemin des Pêchers</t>
  </si>
  <si>
    <t>LTS-010</t>
  </si>
  <si>
    <t>LTS-010-001</t>
  </si>
  <si>
    <t>EVIS</t>
  </si>
  <si>
    <t>19 Chemin des Grenadiers</t>
  </si>
  <si>
    <t>GONTHIER</t>
  </si>
  <si>
    <t>Marie France</t>
  </si>
  <si>
    <t>0692634942</t>
  </si>
  <si>
    <t>LTS-010-002</t>
  </si>
  <si>
    <t>17 Chemin des Grenadiers</t>
  </si>
  <si>
    <t>NERINA</t>
  </si>
  <si>
    <t>Marie Daisy</t>
  </si>
  <si>
    <t>LTS-010-003</t>
  </si>
  <si>
    <t>9 Chemin des Grenadiers</t>
  </si>
  <si>
    <t>NODODUS</t>
  </si>
  <si>
    <t>Julien Mathias</t>
  </si>
  <si>
    <t>0692412664</t>
  </si>
  <si>
    <t>LTS-011</t>
  </si>
  <si>
    <t>LTS-011-001</t>
  </si>
  <si>
    <t>FIGUIERS</t>
  </si>
  <si>
    <t>9 Chemin de Palmas</t>
  </si>
  <si>
    <t>WILMANN</t>
  </si>
  <si>
    <t>Jean Paul</t>
  </si>
  <si>
    <t>0692694696</t>
  </si>
  <si>
    <t>LTS-011-002</t>
  </si>
  <si>
    <t>3 Chemin de Palmas</t>
  </si>
  <si>
    <t>Marie Claudine</t>
  </si>
  <si>
    <t>LTS-012</t>
  </si>
  <si>
    <t>LTS-012-001</t>
  </si>
  <si>
    <t>FINETTE 1</t>
  </si>
  <si>
    <t>223 G Chemin Finette</t>
  </si>
  <si>
    <t>BATAILLE</t>
  </si>
  <si>
    <t>Jean Denis</t>
  </si>
  <si>
    <t>0692200314</t>
  </si>
  <si>
    <t>LTS-012-002</t>
  </si>
  <si>
    <t>223 H Chemin Finette</t>
  </si>
  <si>
    <t>DAMOUR</t>
  </si>
  <si>
    <t>Marie Louisane</t>
  </si>
  <si>
    <t>0262298121</t>
  </si>
  <si>
    <t>LTS-012-003</t>
  </si>
  <si>
    <t>223 C Chemin Finette</t>
  </si>
  <si>
    <t>Marie Alda</t>
  </si>
  <si>
    <t>0692894841</t>
  </si>
  <si>
    <t>0692455373</t>
  </si>
  <si>
    <t>LTS-012-004</t>
  </si>
  <si>
    <t>223 D Chemin Finette</t>
  </si>
  <si>
    <t>IEVE  PARIS</t>
  </si>
  <si>
    <t>Marie Rosita</t>
  </si>
  <si>
    <t>0692564446</t>
  </si>
  <si>
    <t>LTS-013</t>
  </si>
  <si>
    <t>LTS-013-001</t>
  </si>
  <si>
    <t>FRAMBOISES 1</t>
  </si>
  <si>
    <t>94 Chemin Alfred Mazérieux</t>
  </si>
  <si>
    <t>ADOLPHE VENEROSY</t>
  </si>
  <si>
    <t>Marie Mireille</t>
  </si>
  <si>
    <t>0692438407</t>
  </si>
  <si>
    <t>LTS-013-002</t>
  </si>
  <si>
    <t>98 Chemin Alfred Mazérieux</t>
  </si>
  <si>
    <t>Jean Henri Fred</t>
  </si>
  <si>
    <t>0692950415</t>
  </si>
  <si>
    <t>LTS-013-003</t>
  </si>
  <si>
    <t>116 Chemin Alfred Mazérieux</t>
  </si>
  <si>
    <t>DALLEAU</t>
  </si>
  <si>
    <t>Marie Berthe</t>
  </si>
  <si>
    <t>0692694905</t>
  </si>
  <si>
    <t>0692917013</t>
  </si>
  <si>
    <t>REMI ANNICK | REMI LUDOVIC</t>
  </si>
  <si>
    <t>LTS-013-004</t>
  </si>
  <si>
    <t>80 Chemin Alfred Mazérieux</t>
  </si>
  <si>
    <t>Jean Claude</t>
  </si>
  <si>
    <t>0692273497</t>
  </si>
  <si>
    <t>0693651054</t>
  </si>
  <si>
    <t>LTS-013-005</t>
  </si>
  <si>
    <t>96 Chemin Alfred Mazérieux</t>
  </si>
  <si>
    <t>NUMA</t>
  </si>
  <si>
    <t>0692687530</t>
  </si>
  <si>
    <t>LTS-013-006</t>
  </si>
  <si>
    <t>110 Chemin Alfred Mazérieux</t>
  </si>
  <si>
    <t>PHOCION</t>
  </si>
  <si>
    <t>Marie Nathalie</t>
  </si>
  <si>
    <t>0693029255</t>
  </si>
  <si>
    <t>0692215906</t>
  </si>
  <si>
    <t>LTS-013-007</t>
  </si>
  <si>
    <t>100 F Chemin Alfred Mazérieux</t>
  </si>
  <si>
    <t>Jean Alex Bernard</t>
  </si>
  <si>
    <t>0692353949</t>
  </si>
  <si>
    <t>LTS-013-008</t>
  </si>
  <si>
    <t>92 Chemin Alfred Mazérieux</t>
  </si>
  <si>
    <t>MARIE AGNES</t>
  </si>
  <si>
    <t>0692969300</t>
  </si>
  <si>
    <t>0692353949 / 0692396028</t>
  </si>
  <si>
    <t>LTS-014</t>
  </si>
  <si>
    <t>LTS-014-001</t>
  </si>
  <si>
    <t>FRAMBOISES 2</t>
  </si>
  <si>
    <t>10C Allée de l' Ecole</t>
  </si>
  <si>
    <t>BEGUE</t>
  </si>
  <si>
    <t>Jean Marie</t>
  </si>
  <si>
    <t>0692276734</t>
  </si>
  <si>
    <t>0692417082</t>
  </si>
  <si>
    <t>LTS-014-002</t>
  </si>
  <si>
    <t>10 F Allée de l' Ecole</t>
  </si>
  <si>
    <t>CADET</t>
  </si>
  <si>
    <t>Jean Yves</t>
  </si>
  <si>
    <t>LTS-014-003</t>
  </si>
  <si>
    <t>10D Allée de l' Ecole</t>
  </si>
  <si>
    <t>BEGUE (EX FONTAINE)</t>
  </si>
  <si>
    <t>LTS-014-004</t>
  </si>
  <si>
    <t>18 Ruelle Bertil</t>
  </si>
  <si>
    <t>ENGUERRAND</t>
  </si>
  <si>
    <t>JEAN SYLVANO</t>
  </si>
  <si>
    <t>0693397163</t>
  </si>
  <si>
    <t>LTS-014-005</t>
  </si>
  <si>
    <t>12 Ruelle Bertil</t>
  </si>
  <si>
    <t>Marie Suzanne</t>
  </si>
  <si>
    <t>0262375398</t>
  </si>
  <si>
    <t>LTS-014-006</t>
  </si>
  <si>
    <t>10 A Allée de l' Ecole</t>
  </si>
  <si>
    <t>Georges Fernand</t>
  </si>
  <si>
    <t>0262305866</t>
  </si>
  <si>
    <t>0692717157</t>
  </si>
  <si>
    <t>sa fille</t>
  </si>
  <si>
    <t>LTS-014-007</t>
  </si>
  <si>
    <t>10 E Allée de l' Ecole</t>
  </si>
  <si>
    <t>SAMAL</t>
  </si>
  <si>
    <t>Claudine</t>
  </si>
  <si>
    <t>LTS-014-008</t>
  </si>
  <si>
    <t>10 B Allée de l' Ecole</t>
  </si>
  <si>
    <t>SISAHAYES</t>
  </si>
  <si>
    <t>Audrey</t>
  </si>
  <si>
    <t>0692566044</t>
  </si>
  <si>
    <t>LTS-014-009</t>
  </si>
  <si>
    <t>14 Ruelle Bertil</t>
  </si>
  <si>
    <t>JEAN FREDERIC</t>
  </si>
  <si>
    <t>0693036600</t>
  </si>
  <si>
    <t>LTS-014-010</t>
  </si>
  <si>
    <t>10 H Allée de l' Ecole</t>
  </si>
  <si>
    <t>JEAN RENE</t>
  </si>
  <si>
    <t>0692186732</t>
  </si>
  <si>
    <t>LTS-015</t>
  </si>
  <si>
    <t>LTS-015-001</t>
  </si>
  <si>
    <t>FRAMBOISES 3</t>
  </si>
  <si>
    <t>19 bis Chemin de la Glacière</t>
  </si>
  <si>
    <t>Richard</t>
  </si>
  <si>
    <t>0262462604</t>
  </si>
  <si>
    <t>LTS-015-002</t>
  </si>
  <si>
    <t>17 bis Chemin de la Glacière</t>
  </si>
  <si>
    <t>FONTAINE</t>
  </si>
  <si>
    <t>Marie Céline Margarette</t>
  </si>
  <si>
    <t>0692817629</t>
  </si>
  <si>
    <t>LTS-015-003</t>
  </si>
  <si>
    <t>13 bis Chemin de la Glacière</t>
  </si>
  <si>
    <t>GAUVIN</t>
  </si>
  <si>
    <t>0692388144</t>
  </si>
  <si>
    <t>la veuve</t>
  </si>
  <si>
    <t>LTS-015-004</t>
  </si>
  <si>
    <t>21 Chemin de la Glacière</t>
  </si>
  <si>
    <t>IZOU</t>
  </si>
  <si>
    <t>Saint Ange</t>
  </si>
  <si>
    <t>0692059131</t>
  </si>
  <si>
    <t>LTS-015-005</t>
  </si>
  <si>
    <t>9 bis Chemin de la Glacière</t>
  </si>
  <si>
    <t>LAUDE</t>
  </si>
  <si>
    <t>0262305827</t>
  </si>
  <si>
    <t>0693400076</t>
  </si>
  <si>
    <t>LTS-015-006</t>
  </si>
  <si>
    <t>11 Chemin de la Glacière</t>
  </si>
  <si>
    <t>LUSINIER</t>
  </si>
  <si>
    <t>Chantal</t>
  </si>
  <si>
    <t>0692886275</t>
  </si>
  <si>
    <t>LTS-015-007</t>
  </si>
  <si>
    <t>9 Chemin de la Glacière</t>
  </si>
  <si>
    <t>Doris Nicolas</t>
  </si>
  <si>
    <t>0692481413</t>
  </si>
  <si>
    <t>LTS-015-008</t>
  </si>
  <si>
    <t>11bis Chemin de la Glacière</t>
  </si>
  <si>
    <t>ROULLIN</t>
  </si>
  <si>
    <t>Noëlio Franceau</t>
  </si>
  <si>
    <t>0693040619</t>
  </si>
  <si>
    <t>0692497274</t>
  </si>
  <si>
    <t>LTS-015-009</t>
  </si>
  <si>
    <t>13 Chemin de la Glacière</t>
  </si>
  <si>
    <t>0692469624</t>
  </si>
  <si>
    <t>LTS-015-010</t>
  </si>
  <si>
    <t>19 Chemin de la Glacière</t>
  </si>
  <si>
    <t>SAUTRON (EX RIVIERE)</t>
  </si>
  <si>
    <t>Gabrielle</t>
  </si>
  <si>
    <t>0693104058</t>
  </si>
  <si>
    <t>0693039122</t>
  </si>
  <si>
    <t>Mme RIVIERE | Mme SAUTRON</t>
  </si>
  <si>
    <t>LTS-016</t>
  </si>
  <si>
    <t>LTS-016-001</t>
  </si>
  <si>
    <t>GIRIMBELLES</t>
  </si>
  <si>
    <t>13 Impasse des Girimbelles</t>
  </si>
  <si>
    <t>DUCHEMANN</t>
  </si>
  <si>
    <t>Anne Marie</t>
  </si>
  <si>
    <t>0692783241</t>
  </si>
  <si>
    <t>0262371554</t>
  </si>
  <si>
    <t>BELLE FILLE</t>
  </si>
  <si>
    <t>LTS-016-002</t>
  </si>
  <si>
    <t>10 Impasse des Girimbelles</t>
  </si>
  <si>
    <t>OINDA</t>
  </si>
  <si>
    <t>Marie  Anasthasie</t>
  </si>
  <si>
    <t>0692163638</t>
  </si>
  <si>
    <t>LTS-017</t>
  </si>
  <si>
    <t>LTS-017-001</t>
  </si>
  <si>
    <t>32 Allée des Hyacinthes</t>
  </si>
  <si>
    <t>BANOR</t>
  </si>
  <si>
    <t>0692188229</t>
  </si>
  <si>
    <t>LTS-017-002</t>
  </si>
  <si>
    <t>1 Allée  des Hyacinthes</t>
  </si>
  <si>
    <t>Gisèle Rénette</t>
  </si>
  <si>
    <t>0262216932</t>
  </si>
  <si>
    <t>0692660009 / 0692332076</t>
  </si>
  <si>
    <t>LE FILS  Fille veronique.pyt@gmail.com</t>
  </si>
  <si>
    <t>LTS-017-003</t>
  </si>
  <si>
    <t>14 Allée  des Hyacinthes</t>
  </si>
  <si>
    <t>Eddy Jean Alain</t>
  </si>
  <si>
    <t>0692464848</t>
  </si>
  <si>
    <t>LTS-017-004</t>
  </si>
  <si>
    <t>38 Allée  des Hyacinthes</t>
  </si>
  <si>
    <t>BREDA</t>
  </si>
  <si>
    <t>Johny Paul</t>
  </si>
  <si>
    <t>0692059828</t>
  </si>
  <si>
    <t>LTS-017-005</t>
  </si>
  <si>
    <t>40 Allée  des Hyacinthes</t>
  </si>
  <si>
    <t>CHELES</t>
  </si>
  <si>
    <t>Marie Suzie</t>
  </si>
  <si>
    <t>0692136849</t>
  </si>
  <si>
    <t>LTS-017-006</t>
  </si>
  <si>
    <t>7 Allée des Hyacinthes</t>
  </si>
  <si>
    <t>DASSACHETTY</t>
  </si>
  <si>
    <t>0262125152</t>
  </si>
  <si>
    <t>LTS-017-007</t>
  </si>
  <si>
    <t>39 Allée des Hyacinthes</t>
  </si>
  <si>
    <t>0693805905</t>
  </si>
  <si>
    <t>LTS-017-008</t>
  </si>
  <si>
    <t>27 Allée des Hyacinthes</t>
  </si>
  <si>
    <t>PADRE</t>
  </si>
  <si>
    <t>GIOVANNY JEAN CEDRIC</t>
  </si>
  <si>
    <t>0692627139</t>
  </si>
  <si>
    <t>Sa Soeur</t>
  </si>
  <si>
    <t>LTS-017-009</t>
  </si>
  <si>
    <t>26 Allée des Hyacinthes</t>
  </si>
  <si>
    <t>Norbert</t>
  </si>
  <si>
    <t>0262204218</t>
  </si>
  <si>
    <t>LTS-017-010</t>
  </si>
  <si>
    <t>44 Allée des Hyacinthes</t>
  </si>
  <si>
    <t>0262409269</t>
  </si>
  <si>
    <t>0692374730</t>
  </si>
  <si>
    <t>LTS-017-011</t>
  </si>
  <si>
    <t>5 Allée des Hyacinthes</t>
  </si>
  <si>
    <t>DRULA</t>
  </si>
  <si>
    <t>Denise Marlène</t>
  </si>
  <si>
    <t>0692151745</t>
  </si>
  <si>
    <t>0262415808</t>
  </si>
  <si>
    <t>LTS-017-012</t>
  </si>
  <si>
    <t>15 Allée des Hyacinthes</t>
  </si>
  <si>
    <t>BRUNO</t>
  </si>
  <si>
    <t>LTS-017-013</t>
  </si>
  <si>
    <t>13 Allée des Hyacinthes</t>
  </si>
  <si>
    <t>DUCAP</t>
  </si>
  <si>
    <t>0262686937</t>
  </si>
  <si>
    <t>LTS-017-014</t>
  </si>
  <si>
    <t>8 Allée des Hyacinthes</t>
  </si>
  <si>
    <t>Lindsay Marie Josie</t>
  </si>
  <si>
    <t>0692187556</t>
  </si>
  <si>
    <t>0262586348</t>
  </si>
  <si>
    <t>LTS-017-015</t>
  </si>
  <si>
    <t>29 Allée des Hyacinthes</t>
  </si>
  <si>
    <t>0692709919</t>
  </si>
  <si>
    <t>sa sœur</t>
  </si>
  <si>
    <t>LTS-017-016</t>
  </si>
  <si>
    <t>18 Allée des Hyacinthes</t>
  </si>
  <si>
    <t>ELISABETH</t>
  </si>
  <si>
    <t>Mathilde</t>
  </si>
  <si>
    <t>0262528610</t>
  </si>
  <si>
    <t>LTS-017-017</t>
  </si>
  <si>
    <t>20 Allée des Hyacinthes</t>
  </si>
  <si>
    <t>ESPEL</t>
  </si>
  <si>
    <t>0262505232</t>
  </si>
  <si>
    <t>0693024151</t>
  </si>
  <si>
    <t>LTS-017-018</t>
  </si>
  <si>
    <t>9 Allée des Hyacinthes</t>
  </si>
  <si>
    <t>EVAN</t>
  </si>
  <si>
    <t>Géraldine</t>
  </si>
  <si>
    <t>0262214449</t>
  </si>
  <si>
    <t>LTS-017-019</t>
  </si>
  <si>
    <t>21 Allée des Hyacinthes</t>
  </si>
  <si>
    <t>FURCY</t>
  </si>
  <si>
    <t>Germaine</t>
  </si>
  <si>
    <t>0692089606</t>
  </si>
  <si>
    <t>LTS-017-020</t>
  </si>
  <si>
    <t>3 Allée des Hyacinthes</t>
  </si>
  <si>
    <t>GANGNANT</t>
  </si>
  <si>
    <t>Emilienne</t>
  </si>
  <si>
    <t>0692275010</t>
  </si>
  <si>
    <t>LTS-017-021</t>
  </si>
  <si>
    <t>28 Allée des Hyacinthes</t>
  </si>
  <si>
    <t>GROSSET</t>
  </si>
  <si>
    <t>0262215980</t>
  </si>
  <si>
    <t>0692405117</t>
  </si>
  <si>
    <t>LTS-017-022</t>
  </si>
  <si>
    <t>11 Allée des Hyacinthes</t>
  </si>
  <si>
    <t>Florence</t>
  </si>
  <si>
    <t>0692458721</t>
  </si>
  <si>
    <t>0262086292</t>
  </si>
  <si>
    <t>LTS-017-023</t>
  </si>
  <si>
    <t>4 Allée des Hyacinthes</t>
  </si>
  <si>
    <t>François Patrick</t>
  </si>
  <si>
    <t>LTS-017-024</t>
  </si>
  <si>
    <t>35 Allée des Hyacinthes</t>
  </si>
  <si>
    <t>GETOIS</t>
  </si>
  <si>
    <t>MARIE MELANIE</t>
  </si>
  <si>
    <t>0692579301</t>
  </si>
  <si>
    <t>LTS-017-025</t>
  </si>
  <si>
    <t>42 Allée des Hyacinthes</t>
  </si>
  <si>
    <t>PUYLAURENT</t>
  </si>
  <si>
    <t>Bernadette</t>
  </si>
  <si>
    <t>0262943993</t>
  </si>
  <si>
    <t>0692456298</t>
  </si>
  <si>
    <t>LTS-017-026</t>
  </si>
  <si>
    <t>37 Allée des Hyacinthes</t>
  </si>
  <si>
    <t>JULIENNE</t>
  </si>
  <si>
    <t>Daniel Hugues</t>
  </si>
  <si>
    <t>0692170739</t>
  </si>
  <si>
    <t>LTS-017-027</t>
  </si>
  <si>
    <t>19 Allée des Hyacinthes</t>
  </si>
  <si>
    <t>M'TIMA</t>
  </si>
  <si>
    <t>0692253508</t>
  </si>
  <si>
    <t>LTS-017-028</t>
  </si>
  <si>
    <t>45 Allée des Hyacinthes</t>
  </si>
  <si>
    <t>MANDERE</t>
  </si>
  <si>
    <t>Augustin</t>
  </si>
  <si>
    <t>0692205385</t>
  </si>
  <si>
    <t>LTS-017-029</t>
  </si>
  <si>
    <t>22 Allée des Hyacinthes</t>
  </si>
  <si>
    <t>LUCAIN</t>
  </si>
  <si>
    <t>THIERRY</t>
  </si>
  <si>
    <t>0692796878</t>
  </si>
  <si>
    <t>0692747455</t>
  </si>
  <si>
    <t>LTS-017-030</t>
  </si>
  <si>
    <t>41 Allée des Hyacinthes</t>
  </si>
  <si>
    <t>MARTIN</t>
  </si>
  <si>
    <t>Sidonie Marie Geneviève</t>
  </si>
  <si>
    <t>0692603616</t>
  </si>
  <si>
    <t>LTS-017-031</t>
  </si>
  <si>
    <t>33 Allée des Hyacinthes</t>
  </si>
  <si>
    <t>MAXIMIN</t>
  </si>
  <si>
    <t>Jacques Alfred</t>
  </si>
  <si>
    <t>0692473008</t>
  </si>
  <si>
    <t>0262302077</t>
  </si>
  <si>
    <t>LTS-017-032</t>
  </si>
  <si>
    <t>30 Allée des Hyacinthes</t>
  </si>
  <si>
    <t>Luc Henri</t>
  </si>
  <si>
    <t>LTS-017-033</t>
  </si>
  <si>
    <t>43 Allée des Hyacinthes</t>
  </si>
  <si>
    <t>BRICE</t>
  </si>
  <si>
    <t>0693482138</t>
  </si>
  <si>
    <t>0693521473</t>
  </si>
  <si>
    <t>mme bardeur</t>
  </si>
  <si>
    <t>LTS-017-034</t>
  </si>
  <si>
    <t>6 Allée des Hyacinthes</t>
  </si>
  <si>
    <t>MIRANVILLE</t>
  </si>
  <si>
    <t>René Michel</t>
  </si>
  <si>
    <t>0692232547</t>
  </si>
  <si>
    <t>LTS-017-035</t>
  </si>
  <si>
    <t>36 Allée des Hyacinthes</t>
  </si>
  <si>
    <t>Ivrin</t>
  </si>
  <si>
    <t>0262413870</t>
  </si>
  <si>
    <t>0692122004</t>
  </si>
  <si>
    <t>LTS-017-036</t>
  </si>
  <si>
    <t>17 Allée des  Hyacinthes</t>
  </si>
  <si>
    <t>ANAIS MARIE ELIANE</t>
  </si>
  <si>
    <t>0692556448</t>
  </si>
  <si>
    <t>LTS-017-037</t>
  </si>
  <si>
    <t>31 Allée des Hyacinthes</t>
  </si>
  <si>
    <t>ORRICO</t>
  </si>
  <si>
    <t>PATRICK CHARLES RAPHAEL</t>
  </si>
  <si>
    <t>0692924566</t>
  </si>
  <si>
    <t>LTS-017-038</t>
  </si>
  <si>
    <t>34 Allée des Hyacinthes</t>
  </si>
  <si>
    <t>PARAZIE</t>
  </si>
  <si>
    <t>André Michel</t>
  </si>
  <si>
    <t>0692752425</t>
  </si>
  <si>
    <t>LTS-017-039</t>
  </si>
  <si>
    <t>2 Allée des Hyacinthes</t>
  </si>
  <si>
    <t>REFITAHA</t>
  </si>
  <si>
    <t>Jessie Marie Christelle</t>
  </si>
  <si>
    <t>0692177841</t>
  </si>
  <si>
    <t>LTS-017-040</t>
  </si>
  <si>
    <t>24 Allée des Hyacinthes</t>
  </si>
  <si>
    <t>LTS-017-041</t>
  </si>
  <si>
    <t>23 Allée des Hyacinthes</t>
  </si>
  <si>
    <t>SUMATRA</t>
  </si>
  <si>
    <t>Sully</t>
  </si>
  <si>
    <t>0692045706</t>
  </si>
  <si>
    <t>LTS-017-042</t>
  </si>
  <si>
    <t>12 Allée des Hyacinthes</t>
  </si>
  <si>
    <t>TIMON</t>
  </si>
  <si>
    <t>Bertrand</t>
  </si>
  <si>
    <t>0693137232</t>
  </si>
  <si>
    <t>LTS-017-043</t>
  </si>
  <si>
    <t>10 Allée des Hyacinthes</t>
  </si>
  <si>
    <t>DORMEUIL</t>
  </si>
  <si>
    <t>Freddy</t>
  </si>
  <si>
    <t>0692568799</t>
  </si>
  <si>
    <t>0692065761</t>
  </si>
  <si>
    <t>LTS-017-044</t>
  </si>
  <si>
    <t>16 Allée des Hyacinthes</t>
  </si>
  <si>
    <t>VIRAMA</t>
  </si>
  <si>
    <t>Jocelyn</t>
  </si>
  <si>
    <t>0262528669</t>
  </si>
  <si>
    <t>0262219711</t>
  </si>
  <si>
    <t>LTS-017-045</t>
  </si>
  <si>
    <t>25 Allée des Hyacinthes</t>
  </si>
  <si>
    <t>ZITTE</t>
  </si>
  <si>
    <t>Angélique</t>
  </si>
  <si>
    <t>0692142528</t>
  </si>
  <si>
    <t>LTS-018</t>
  </si>
  <si>
    <t>LTS-018-001</t>
  </si>
  <si>
    <t>JAMALACS 1</t>
  </si>
  <si>
    <t>11 Rue du Baobab</t>
  </si>
  <si>
    <t>APAYA</t>
  </si>
  <si>
    <t>0692508530</t>
  </si>
  <si>
    <t>LTS-018-002</t>
  </si>
  <si>
    <t>9 Rue du Baobab</t>
  </si>
  <si>
    <t>AUBER</t>
  </si>
  <si>
    <t>Jean Pierre</t>
  </si>
  <si>
    <t>0693037772</t>
  </si>
  <si>
    <t>Sa fille</t>
  </si>
  <si>
    <t>LTS-018-003</t>
  </si>
  <si>
    <t>5 Rue du Cœur Bleu</t>
  </si>
  <si>
    <t>CHAMBAUD</t>
  </si>
  <si>
    <t>Marie Therese</t>
  </si>
  <si>
    <t>0692716017</t>
  </si>
  <si>
    <t>LTS-018-004</t>
  </si>
  <si>
    <t>6 Rue de La Cure</t>
  </si>
  <si>
    <t>BARAKE</t>
  </si>
  <si>
    <t>0262294005</t>
  </si>
  <si>
    <t>LTS-018-005</t>
  </si>
  <si>
    <t>23 Rue du Baobab</t>
  </si>
  <si>
    <t>Marie Roseline</t>
  </si>
  <si>
    <t>LTS-018-006</t>
  </si>
  <si>
    <t>28 Rue du Cœur Bleu</t>
  </si>
  <si>
    <t>BIDOIS</t>
  </si>
  <si>
    <t>Jean Pascal</t>
  </si>
  <si>
    <t>0692240184</t>
  </si>
  <si>
    <t>LTS-018-007</t>
  </si>
  <si>
    <t>12 Rue de La Cure</t>
  </si>
  <si>
    <t>BORDIER</t>
  </si>
  <si>
    <t>Heliard</t>
  </si>
  <si>
    <t>0692916334</t>
  </si>
  <si>
    <t>LTS-018-008</t>
  </si>
  <si>
    <t>8 Rue de La Cure</t>
  </si>
  <si>
    <t>BRANCARD</t>
  </si>
  <si>
    <t>0693022788</t>
  </si>
  <si>
    <t>0262294378</t>
  </si>
  <si>
    <t>LTS-018-009</t>
  </si>
  <si>
    <t>4 Rue du Cœur Bleu</t>
  </si>
  <si>
    <t>CADY</t>
  </si>
  <si>
    <t>Marie Kelly</t>
  </si>
  <si>
    <t>0692578985</t>
  </si>
  <si>
    <t>LTS-018-010</t>
  </si>
  <si>
    <t>8 Rue du Cœur Bleu</t>
  </si>
  <si>
    <t>CHEFFIARE</t>
  </si>
  <si>
    <t>0692898958</t>
  </si>
  <si>
    <t>LTS-018-011</t>
  </si>
  <si>
    <t>6 Rue du Cœur Bleu</t>
  </si>
  <si>
    <t>Marie Annick</t>
  </si>
  <si>
    <t>0692261406</t>
  </si>
  <si>
    <t>fille</t>
  </si>
  <si>
    <t>LTS-018-012</t>
  </si>
  <si>
    <t>14 Rue du Baobab</t>
  </si>
  <si>
    <t>Marie Elodie</t>
  </si>
  <si>
    <t>0692495350</t>
  </si>
  <si>
    <t>LTS-018-013</t>
  </si>
  <si>
    <t>12 Rue du Baobab</t>
  </si>
  <si>
    <t>HUBERT</t>
  </si>
  <si>
    <t>MARIE THERESE ARLETTE</t>
  </si>
  <si>
    <t>0262294032</t>
  </si>
  <si>
    <t>LTS-018-014</t>
  </si>
  <si>
    <t>7 Rue du Baobab</t>
  </si>
  <si>
    <t>IRENE</t>
  </si>
  <si>
    <t>0692534088</t>
  </si>
  <si>
    <t>LTS-018-015</t>
  </si>
  <si>
    <t>18 Rue du Baobab</t>
  </si>
  <si>
    <t>IEVE</t>
  </si>
  <si>
    <t>Marie Alice</t>
  </si>
  <si>
    <t>LTS-018-016</t>
  </si>
  <si>
    <t>2 Rue du Baobab</t>
  </si>
  <si>
    <t>IFANGOUSINE</t>
  </si>
  <si>
    <t>Marie Stéphanie</t>
  </si>
  <si>
    <t>0262294314</t>
  </si>
  <si>
    <t>0693601912</t>
  </si>
  <si>
    <t>DOMINIQUE</t>
  </si>
  <si>
    <t>LTS-018-017</t>
  </si>
  <si>
    <t>25 Rue du Baobab</t>
  </si>
  <si>
    <t>LEBEAU</t>
  </si>
  <si>
    <t>0692275638</t>
  </si>
  <si>
    <t>LTS-018-018</t>
  </si>
  <si>
    <t>5 Rue du Baobab</t>
  </si>
  <si>
    <t>Alexandrine</t>
  </si>
  <si>
    <t>LTS-018-019</t>
  </si>
  <si>
    <t>18 Rue de La Cure</t>
  </si>
  <si>
    <t>MACA INOURE</t>
  </si>
  <si>
    <t>Marie Claudette</t>
  </si>
  <si>
    <t>0692479386</t>
  </si>
  <si>
    <t>LTS-018-020</t>
  </si>
  <si>
    <t>24 Rue du Baobab</t>
  </si>
  <si>
    <t>Dalila Isabelle</t>
  </si>
  <si>
    <t>0692434071</t>
  </si>
  <si>
    <t>LTS-018-021</t>
  </si>
  <si>
    <t>8 Rue du Baobab</t>
  </si>
  <si>
    <t>MALET</t>
  </si>
  <si>
    <t>Josiane</t>
  </si>
  <si>
    <t>0262823281</t>
  </si>
  <si>
    <t>LTS-018-022</t>
  </si>
  <si>
    <t>16 Rue du Baobab</t>
  </si>
  <si>
    <t>GAËL JEAN CEDRIC</t>
  </si>
  <si>
    <t>0692756717</t>
  </si>
  <si>
    <t>LTS-018-023</t>
  </si>
  <si>
    <t>17 Rue du Baobab</t>
  </si>
  <si>
    <t>Marie Aliette</t>
  </si>
  <si>
    <t>0262290122</t>
  </si>
  <si>
    <t>LTS-018-024</t>
  </si>
  <si>
    <t>14 Rue de la Cure</t>
  </si>
  <si>
    <t>IVA</t>
  </si>
  <si>
    <t>0692259386</t>
  </si>
  <si>
    <t>LTS-018-025</t>
  </si>
  <si>
    <t>21 Rue du Baobab</t>
  </si>
  <si>
    <t>NAVOU SIROUMBAL</t>
  </si>
  <si>
    <t>Marie Jacqueline</t>
  </si>
  <si>
    <t>0262297714</t>
  </si>
  <si>
    <t>0692618917</t>
  </si>
  <si>
    <t>LTS-018-026</t>
  </si>
  <si>
    <t>27 Rue du Baobab</t>
  </si>
  <si>
    <t>PARIS</t>
  </si>
  <si>
    <t>Jean Victor</t>
  </si>
  <si>
    <t>0692753916</t>
  </si>
  <si>
    <t>0692696833</t>
  </si>
  <si>
    <t>LTS-018-027</t>
  </si>
  <si>
    <t>22 Rue du Baobab</t>
  </si>
  <si>
    <t>PHILEAS</t>
  </si>
  <si>
    <t>Valérie</t>
  </si>
  <si>
    <t>0692529474</t>
  </si>
  <si>
    <t>LTS-018-028</t>
  </si>
  <si>
    <t>10 Rue de La Cure</t>
  </si>
  <si>
    <t>PRETO</t>
  </si>
  <si>
    <t>0692072069</t>
  </si>
  <si>
    <t>LTS-018-029</t>
  </si>
  <si>
    <t>1 Rue du Baobab</t>
  </si>
  <si>
    <t>RAMAYE</t>
  </si>
  <si>
    <t>0693945517</t>
  </si>
  <si>
    <t>LTS-018-030</t>
  </si>
  <si>
    <t>19 Rue du Baobab</t>
  </si>
  <si>
    <t>Ludovic Jacky</t>
  </si>
  <si>
    <t>0692450803</t>
  </si>
  <si>
    <t>LTS-018-031</t>
  </si>
  <si>
    <t>16 Rue de La Cure</t>
  </si>
  <si>
    <t>0692509713</t>
  </si>
  <si>
    <t>LTS-018-032</t>
  </si>
  <si>
    <t>13 Rue du Baobab</t>
  </si>
  <si>
    <t>SEPEROUMAL</t>
  </si>
  <si>
    <t>Gilberte</t>
  </si>
  <si>
    <t>0692544605</t>
  </si>
  <si>
    <t>0692120574</t>
  </si>
  <si>
    <t>LTS-018-033</t>
  </si>
  <si>
    <t>15 Rue du Baobab</t>
  </si>
  <si>
    <t>SERVANTES</t>
  </si>
  <si>
    <t>Eloi Jean Claude</t>
  </si>
  <si>
    <t>0692026298</t>
  </si>
  <si>
    <t>LTS-018-034</t>
  </si>
  <si>
    <t>20 Rue de La Cure</t>
  </si>
  <si>
    <t>Rowan Jean Alberto</t>
  </si>
  <si>
    <t>0693466820</t>
  </si>
  <si>
    <t>LTS-018-035</t>
  </si>
  <si>
    <t>3 Rue du Baobab</t>
  </si>
  <si>
    <t>TARBY</t>
  </si>
  <si>
    <t>Jean LucThierry</t>
  </si>
  <si>
    <t>0692668642</t>
  </si>
  <si>
    <t>LTS-018-036</t>
  </si>
  <si>
    <t>2 Rue du Cœur Bleu</t>
  </si>
  <si>
    <t>TARMALINGOM SINAMA</t>
  </si>
  <si>
    <t>0692828225</t>
  </si>
  <si>
    <t>LTS-018-037</t>
  </si>
  <si>
    <t>12 Rue du Cœur Bleu</t>
  </si>
  <si>
    <t>TOINON</t>
  </si>
  <si>
    <t>Georges Marie</t>
  </si>
  <si>
    <t>0692475408</t>
  </si>
  <si>
    <t>LTS-018-038</t>
  </si>
  <si>
    <t>6 Rue du Baobab</t>
  </si>
  <si>
    <t>TOUSSAINT</t>
  </si>
  <si>
    <t>Jean Alain Denis</t>
  </si>
  <si>
    <t>0692643474</t>
  </si>
  <si>
    <t>LTS-018-039</t>
  </si>
  <si>
    <t>10 Rue du cœur bleu</t>
  </si>
  <si>
    <t>Julien</t>
  </si>
  <si>
    <t>0693848282</t>
  </si>
  <si>
    <t>0692554243</t>
  </si>
  <si>
    <t>LTS-018-040</t>
  </si>
  <si>
    <t>4 Rue du Baobab</t>
  </si>
  <si>
    <t>Marthe Chantal</t>
  </si>
  <si>
    <t>LTS-019</t>
  </si>
  <si>
    <t>LTS-019-001</t>
  </si>
  <si>
    <t>JAMALACS 2</t>
  </si>
  <si>
    <t>16 Rue du Cœur Bleu</t>
  </si>
  <si>
    <t>ANGO</t>
  </si>
  <si>
    <t>Denise</t>
  </si>
  <si>
    <t>0692016495</t>
  </si>
  <si>
    <t>0692429201</t>
  </si>
  <si>
    <t>Rachelle</t>
  </si>
  <si>
    <t>LTS-019-002</t>
  </si>
  <si>
    <t>42 Rue du Cœur Bleu</t>
  </si>
  <si>
    <t>ARZAC</t>
  </si>
  <si>
    <t>Rose Marie</t>
  </si>
  <si>
    <t>0692625288</t>
  </si>
  <si>
    <t>LTS-019-003</t>
  </si>
  <si>
    <t>32 Rue du Cœur Bleu</t>
  </si>
  <si>
    <t>Marie Noëlie</t>
  </si>
  <si>
    <t>0692016894</t>
  </si>
  <si>
    <t>LTS-019-004</t>
  </si>
  <si>
    <t>18 Rue du Cœur Bleu</t>
  </si>
  <si>
    <t>Augustine</t>
  </si>
  <si>
    <t>0262285048</t>
  </si>
  <si>
    <t>LTS-019-005</t>
  </si>
  <si>
    <t>1 Rue du Cœur Bleu</t>
  </si>
  <si>
    <t>0692152830</t>
  </si>
  <si>
    <t>LTS-019-006</t>
  </si>
  <si>
    <t>30 Rue du Cœur Bleu</t>
  </si>
  <si>
    <t>CAMBRAY</t>
  </si>
  <si>
    <t>Idriss</t>
  </si>
  <si>
    <t>0692584380</t>
  </si>
  <si>
    <t>LTS-019-007</t>
  </si>
  <si>
    <t>38 Rue du Cœur Bleu</t>
  </si>
  <si>
    <t>CARLIER</t>
  </si>
  <si>
    <t>Jacques Simon</t>
  </si>
  <si>
    <t>0692484806</t>
  </si>
  <si>
    <t>LTS-019-008</t>
  </si>
  <si>
    <t>40 Rue du Cœur Bleu</t>
  </si>
  <si>
    <t>LELOUP</t>
  </si>
  <si>
    <t>Tamara</t>
  </si>
  <si>
    <t>0692361437</t>
  </si>
  <si>
    <t>LTS-019-009</t>
  </si>
  <si>
    <t>34 Rue du Cœur Bleu</t>
  </si>
  <si>
    <t>GRINDU</t>
  </si>
  <si>
    <t>Sylvain</t>
  </si>
  <si>
    <t>0692073662</t>
  </si>
  <si>
    <t>LTS-019-010</t>
  </si>
  <si>
    <t>14 Rue du Cœur Bleu</t>
  </si>
  <si>
    <t>Huguette Claudine</t>
  </si>
  <si>
    <t>0692359275</t>
  </si>
  <si>
    <t>LTS-019-011</t>
  </si>
  <si>
    <t>36 Rue du Cœur Bleu</t>
  </si>
  <si>
    <t>MADELEINE</t>
  </si>
  <si>
    <t>CORINE MARIE FRANCOISE</t>
  </si>
  <si>
    <t>0692215782</t>
  </si>
  <si>
    <t>SAITI MICHELLE (petite fille</t>
  </si>
  <si>
    <t>LTS-019-012</t>
  </si>
  <si>
    <t>24 Rue du Cœur Bleu</t>
  </si>
  <si>
    <t>Yolande</t>
  </si>
  <si>
    <t>LTS-019-013</t>
  </si>
  <si>
    <t>7 Rue du Cœur Bleu</t>
  </si>
  <si>
    <t>MOUNOUSSAMY</t>
  </si>
  <si>
    <t>Noëline</t>
  </si>
  <si>
    <t>0693203410</t>
  </si>
  <si>
    <t>LTS-019-014</t>
  </si>
  <si>
    <t>3 Rue du Cœur Bleu</t>
  </si>
  <si>
    <t>ARMOURDOM</t>
  </si>
  <si>
    <t>KRISHNA JEAN PAUL</t>
  </si>
  <si>
    <t>0692685370</t>
  </si>
  <si>
    <t>LTS-019-015</t>
  </si>
  <si>
    <t>10 Rue du Baobab</t>
  </si>
  <si>
    <t>0692402642</t>
  </si>
  <si>
    <t>0692175127</t>
  </si>
  <si>
    <t>LTS-019-016</t>
  </si>
  <si>
    <t>20 Rue du Baobab</t>
  </si>
  <si>
    <t>PAJANIANDY</t>
  </si>
  <si>
    <t>Michel André</t>
  </si>
  <si>
    <t>0262285428</t>
  </si>
  <si>
    <t>0692166483</t>
  </si>
  <si>
    <t>LTS-019-017</t>
  </si>
  <si>
    <t>22 Rue du Cœur Bleu</t>
  </si>
  <si>
    <t>Francelin</t>
  </si>
  <si>
    <t>0692378404</t>
  </si>
  <si>
    <t>LTS-019-018</t>
  </si>
  <si>
    <t>20 Rue du Cœur Bleu</t>
  </si>
  <si>
    <t>Marie Natacha</t>
  </si>
  <si>
    <t>0692128930</t>
  </si>
  <si>
    <t>LTS-019-019</t>
  </si>
  <si>
    <t>44 Rue du Cœur Bleu</t>
  </si>
  <si>
    <t>LTS-019-020</t>
  </si>
  <si>
    <t>26 Rue du Cœur Bleu</t>
  </si>
  <si>
    <t>ZILMIA</t>
  </si>
  <si>
    <t>0692770127</t>
  </si>
  <si>
    <t>LTS-020</t>
  </si>
  <si>
    <t>LTS-020-001</t>
  </si>
  <si>
    <t>JAMALACS 3</t>
  </si>
  <si>
    <t>47 Rue des Jamalacs</t>
  </si>
  <si>
    <t>ATTOUMANI</t>
  </si>
  <si>
    <t>Ali</t>
  </si>
  <si>
    <t>0692847654</t>
  </si>
  <si>
    <t>LTS-020-002</t>
  </si>
  <si>
    <t>9 Rue des Jamalacs</t>
  </si>
  <si>
    <t>ANDY</t>
  </si>
  <si>
    <t>Nicole</t>
  </si>
  <si>
    <t>0692105005</t>
  </si>
  <si>
    <t>LTS-020-003</t>
  </si>
  <si>
    <t>59 Rue des Jamalacs</t>
  </si>
  <si>
    <t>ARMOET</t>
  </si>
  <si>
    <t>0692270973</t>
  </si>
  <si>
    <t>0692126125</t>
  </si>
  <si>
    <t>LTS-020-004</t>
  </si>
  <si>
    <t>23 Rue des Jamalacs</t>
  </si>
  <si>
    <t>0262923890</t>
  </si>
  <si>
    <t>0692891424 / 0692287374</t>
  </si>
  <si>
    <t>LTS-020-005</t>
  </si>
  <si>
    <t>55 Rue des Jamalacs</t>
  </si>
  <si>
    <t>FRANCOISE</t>
  </si>
  <si>
    <t>0692102267</t>
  </si>
  <si>
    <t>LTS-020-006</t>
  </si>
  <si>
    <t>30 Rue des Jamalacs</t>
  </si>
  <si>
    <t>Joël</t>
  </si>
  <si>
    <t>0692675725</t>
  </si>
  <si>
    <t>LTS-020-007</t>
  </si>
  <si>
    <t>35 Rue des Jamalacs</t>
  </si>
  <si>
    <t>Marie Raymonde</t>
  </si>
  <si>
    <t>0262281436</t>
  </si>
  <si>
    <t>LTS-020-008</t>
  </si>
  <si>
    <t>28 Rue des Jamalacs</t>
  </si>
  <si>
    <t>BELLANGER</t>
  </si>
  <si>
    <t>0692887697</t>
  </si>
  <si>
    <t>0693454296</t>
  </si>
  <si>
    <t>LTS-020-009</t>
  </si>
  <si>
    <t>13 Rue des Jamalacs</t>
  </si>
  <si>
    <t>Jean Frédéric</t>
  </si>
  <si>
    <t>LTS-020-010</t>
  </si>
  <si>
    <t>18 Rue des Jamalacs</t>
  </si>
  <si>
    <t>RICHARD</t>
  </si>
  <si>
    <t>JEROME</t>
  </si>
  <si>
    <t>0692005765</t>
  </si>
  <si>
    <t>LTS-020-011</t>
  </si>
  <si>
    <t>57 Rue Pitel</t>
  </si>
  <si>
    <t>Gilette Vivienne</t>
  </si>
  <si>
    <t>0692346226</t>
  </si>
  <si>
    <t>LTS-020-012</t>
  </si>
  <si>
    <t>33 Rue des Jamalacs</t>
  </si>
  <si>
    <t>0263053685</t>
  </si>
  <si>
    <t>LTS-020-013</t>
  </si>
  <si>
    <t>22 Rue des Jamalacs</t>
  </si>
  <si>
    <t>DENISET</t>
  </si>
  <si>
    <t>Margareth</t>
  </si>
  <si>
    <t>0262282193</t>
  </si>
  <si>
    <t>0692494098 / 0692111690</t>
  </si>
  <si>
    <t>LTS-020-014</t>
  </si>
  <si>
    <t>34 Rue des Jamalacs</t>
  </si>
  <si>
    <t>0692224288</t>
  </si>
  <si>
    <t>LTS-020-015</t>
  </si>
  <si>
    <t>8 Rue des Jamalacs</t>
  </si>
  <si>
    <t>DORLA</t>
  </si>
  <si>
    <t>Jean Norbert</t>
  </si>
  <si>
    <t>LTS-020-016</t>
  </si>
  <si>
    <t>35 Rue Pitel</t>
  </si>
  <si>
    <t>JAURES</t>
  </si>
  <si>
    <t>Françoise</t>
  </si>
  <si>
    <t>0262298679</t>
  </si>
  <si>
    <t>0692176186</t>
  </si>
  <si>
    <t>LTS-020-017</t>
  </si>
  <si>
    <t>21 Rue des Jamalacs</t>
  </si>
  <si>
    <t>FAMAHA</t>
  </si>
  <si>
    <t>Jean Hugues</t>
  </si>
  <si>
    <t>0692561592</t>
  </si>
  <si>
    <t>LTS-020-018</t>
  </si>
  <si>
    <t>37 Rue des Jamalacs</t>
  </si>
  <si>
    <t>FENELON</t>
  </si>
  <si>
    <t>0692715895</t>
  </si>
  <si>
    <t>LTS-020-019</t>
  </si>
  <si>
    <t>49 Rue des Jamalacs</t>
  </si>
  <si>
    <t>DUCHEMANE</t>
  </si>
  <si>
    <t>Marie Laure</t>
  </si>
  <si>
    <t>0693849785</t>
  </si>
  <si>
    <t>MME DUCHEMANE</t>
  </si>
  <si>
    <t>LTS-020-020</t>
  </si>
  <si>
    <t>38 Rue des Jamalacs</t>
  </si>
  <si>
    <t>René Paul</t>
  </si>
  <si>
    <t>0692521237</t>
  </si>
  <si>
    <t>LTS-020-021</t>
  </si>
  <si>
    <t>40 Rue des Jamalacs</t>
  </si>
  <si>
    <t>GALAIS</t>
  </si>
  <si>
    <t>0262295670</t>
  </si>
  <si>
    <t>LTS-020-022</t>
  </si>
  <si>
    <t>26 Rue des Jamalacs</t>
  </si>
  <si>
    <t>GISQUET</t>
  </si>
  <si>
    <t>Patricia Marie Brigitte</t>
  </si>
  <si>
    <t>0262300842</t>
  </si>
  <si>
    <t>0692574899</t>
  </si>
  <si>
    <t>LTS-020-023</t>
  </si>
  <si>
    <t>43 Rue des Jamalacs</t>
  </si>
  <si>
    <t>Viviane</t>
  </si>
  <si>
    <t>0262287616</t>
  </si>
  <si>
    <t>0692724842 / 0693625393</t>
  </si>
  <si>
    <t>LTS-020-024</t>
  </si>
  <si>
    <t>11 Rue des Jamalacs</t>
  </si>
  <si>
    <t>GUICHARD</t>
  </si>
  <si>
    <t>Rosita</t>
  </si>
  <si>
    <t>0692602779</t>
  </si>
  <si>
    <t>LTS-020-025</t>
  </si>
  <si>
    <t>7 Rue des Jamalacs</t>
  </si>
  <si>
    <t>Arnaud</t>
  </si>
  <si>
    <t>0692513564</t>
  </si>
  <si>
    <t>0692316459</t>
  </si>
  <si>
    <t>MME LEBON SA FILLE</t>
  </si>
  <si>
    <t>LTS-020-026</t>
  </si>
  <si>
    <t>37 Rue Pitel</t>
  </si>
  <si>
    <t>IMARY ISSARAMBE</t>
  </si>
  <si>
    <t>Jean Michel</t>
  </si>
  <si>
    <t>0692556713</t>
  </si>
  <si>
    <t>LTS-020-027</t>
  </si>
  <si>
    <t>61 Rue Pitel</t>
  </si>
  <si>
    <t>JAGAR</t>
  </si>
  <si>
    <t>Marie Gabrielle</t>
  </si>
  <si>
    <t>0692530778</t>
  </si>
  <si>
    <t>0262686008</t>
  </si>
  <si>
    <t>LTS-020-028</t>
  </si>
  <si>
    <t>32 Rue des Jamalacs</t>
  </si>
  <si>
    <t>JEAN BART</t>
  </si>
  <si>
    <t>René Hervé</t>
  </si>
  <si>
    <t>0692670451</t>
  </si>
  <si>
    <t>LTS-020-029</t>
  </si>
  <si>
    <t>29 Rue des Jamalacs</t>
  </si>
  <si>
    <t>LATCHOUMANIA</t>
  </si>
  <si>
    <t>LTS-020-030</t>
  </si>
  <si>
    <t>57 Rue des Jamalacs</t>
  </si>
  <si>
    <t>0262686301</t>
  </si>
  <si>
    <t>LTS-020-031</t>
  </si>
  <si>
    <t>41 Rue des Jamalacs</t>
  </si>
  <si>
    <t>MARIMOUTOU</t>
  </si>
  <si>
    <t>YANN LUC</t>
  </si>
  <si>
    <t>LTS-020-032</t>
  </si>
  <si>
    <t>36 Rue des Jamalacs</t>
  </si>
  <si>
    <t>MALECK</t>
  </si>
  <si>
    <t>Gilbert Jonas</t>
  </si>
  <si>
    <t>0692211100</t>
  </si>
  <si>
    <t>n'est plus attribué</t>
  </si>
  <si>
    <t>LTS-020-033</t>
  </si>
  <si>
    <t>16 Rue des Jamalacs</t>
  </si>
  <si>
    <t>MARA</t>
  </si>
  <si>
    <t>Jean Benoit</t>
  </si>
  <si>
    <t>0262292582</t>
  </si>
  <si>
    <t>0692089929</t>
  </si>
  <si>
    <t>LTS-020-034</t>
  </si>
  <si>
    <t>24 Rue des Jamalacs</t>
  </si>
  <si>
    <t>Marie Madeleine</t>
  </si>
  <si>
    <t>0692433996</t>
  </si>
  <si>
    <t>LTS-020-035</t>
  </si>
  <si>
    <t>2 Rue des Jamalacs</t>
  </si>
  <si>
    <t>Jean Dany</t>
  </si>
  <si>
    <t>LTS-020-036</t>
  </si>
  <si>
    <t>5 Rue des Jamalacs</t>
  </si>
  <si>
    <t>NATAN</t>
  </si>
  <si>
    <t>Maximilien</t>
  </si>
  <si>
    <t>0262138626</t>
  </si>
  <si>
    <t>0692408659</t>
  </si>
  <si>
    <t>LTS-020-037</t>
  </si>
  <si>
    <t>4 Rue des Jamalacs</t>
  </si>
  <si>
    <t>NIAMDILA</t>
  </si>
  <si>
    <t>Wilfrid</t>
  </si>
  <si>
    <t>0692642185</t>
  </si>
  <si>
    <t>LTS-020-038</t>
  </si>
  <si>
    <t>31 Rue des Jamalacs</t>
  </si>
  <si>
    <t>0693644173</t>
  </si>
  <si>
    <t>LTS-020-039</t>
  </si>
  <si>
    <t>53 Rue des Jamalacs</t>
  </si>
  <si>
    <t>RACOL</t>
  </si>
  <si>
    <t>0692321834</t>
  </si>
  <si>
    <t>LTS-020-040</t>
  </si>
  <si>
    <t>55 Rue Pitel</t>
  </si>
  <si>
    <t>MOREAU</t>
  </si>
  <si>
    <t>Marion</t>
  </si>
  <si>
    <t>0693494278</t>
  </si>
  <si>
    <t>LTS-020-041</t>
  </si>
  <si>
    <t>59 Rue Pitel</t>
  </si>
  <si>
    <t>Marie Suzette</t>
  </si>
  <si>
    <t>0262972156</t>
  </si>
  <si>
    <t>0692649722</t>
  </si>
  <si>
    <t>LTS-020-042</t>
  </si>
  <si>
    <t>10 Rue des Jamalacs</t>
  </si>
  <si>
    <t>RENE</t>
  </si>
  <si>
    <t>Gaëlle Marie Raymonde</t>
  </si>
  <si>
    <t>0692159215</t>
  </si>
  <si>
    <t>LTS-020-043</t>
  </si>
  <si>
    <t>12 Rue des Jamalacs</t>
  </si>
  <si>
    <t>VANESSA</t>
  </si>
  <si>
    <t>0692546741</t>
  </si>
  <si>
    <t>LTS-020-044</t>
  </si>
  <si>
    <t>20 Rue des Jamalacs</t>
  </si>
  <si>
    <t>Marie Lucile</t>
  </si>
  <si>
    <t>0692747265</t>
  </si>
  <si>
    <t>LTS-020-045</t>
  </si>
  <si>
    <t>39 Rue des Jamalacs</t>
  </si>
  <si>
    <t>Aurelie Giovanna</t>
  </si>
  <si>
    <t>0693450566</t>
  </si>
  <si>
    <t>a.sautron17@laposte.net</t>
  </si>
  <si>
    <t>LTS-020-046</t>
  </si>
  <si>
    <t>14 Rue des Jamalacs</t>
  </si>
  <si>
    <t>Jean max</t>
  </si>
  <si>
    <t>0692747132</t>
  </si>
  <si>
    <t>LTS-020-047</t>
  </si>
  <si>
    <t>45 Rue des Jamalacs</t>
  </si>
  <si>
    <t>DEURVEILHER</t>
  </si>
  <si>
    <t>Marie  Nicole</t>
  </si>
  <si>
    <t>0692682362</t>
  </si>
  <si>
    <t>LTS-020-048</t>
  </si>
  <si>
    <t>17 Rue des Jamalacs</t>
  </si>
  <si>
    <t>AMPLIS</t>
  </si>
  <si>
    <t>Lashawana Mathilde Cassandra</t>
  </si>
  <si>
    <t>0692272815</t>
  </si>
  <si>
    <t>0693818971 / 0262147849</t>
  </si>
  <si>
    <t>LTS-020-049</t>
  </si>
  <si>
    <t>51 Rue des Jamalacs</t>
  </si>
  <si>
    <t>THIONG HIME</t>
  </si>
  <si>
    <t>0692747331</t>
  </si>
  <si>
    <t>LTS-020-050</t>
  </si>
  <si>
    <t>3 Rue des Jamalacs</t>
  </si>
  <si>
    <t>VAYTILINGOM</t>
  </si>
  <si>
    <t>Marie  Roselyne</t>
  </si>
  <si>
    <t>06 92 57  83 23</t>
  </si>
  <si>
    <t>LTS-020-051</t>
  </si>
  <si>
    <t>1 Rue des Jamalacs</t>
  </si>
  <si>
    <t>TEDDY JEAN WILLY</t>
  </si>
  <si>
    <t>0692543435</t>
  </si>
  <si>
    <t>0693926760 / 0692713520</t>
  </si>
  <si>
    <t>sa fille | Teddy | Marie laure</t>
  </si>
  <si>
    <t>LTS-020-052</t>
  </si>
  <si>
    <t>19 Rue des Jamalacs</t>
  </si>
  <si>
    <t>VINGATARETTY</t>
  </si>
  <si>
    <t>Marie Sylviane</t>
  </si>
  <si>
    <t>0692761349</t>
  </si>
  <si>
    <t>LTS-020-053</t>
  </si>
  <si>
    <t>6 Rue des Jamalacs</t>
  </si>
  <si>
    <t>VINGUEDASSALOM</t>
  </si>
  <si>
    <t>Jean Noël</t>
  </si>
  <si>
    <t>0262286941</t>
  </si>
  <si>
    <t>LTS-020-054</t>
  </si>
  <si>
    <t>15 Rue des Jamalacs</t>
  </si>
  <si>
    <t>VIRAMALE</t>
  </si>
  <si>
    <t>Jacques</t>
  </si>
  <si>
    <t>0692133280</t>
  </si>
  <si>
    <t>0693939867</t>
  </si>
  <si>
    <t>LTS-021</t>
  </si>
  <si>
    <t>LTS-021-001</t>
  </si>
  <si>
    <t>JAMBLONS</t>
  </si>
  <si>
    <t>5 Allée des Pourpiers</t>
  </si>
  <si>
    <t>ARISTANGELE</t>
  </si>
  <si>
    <t>Liliane</t>
  </si>
  <si>
    <t>0693021988</t>
  </si>
  <si>
    <t>LTS-021-002</t>
  </si>
  <si>
    <t>27 Allée des Pourpiers</t>
  </si>
  <si>
    <t>BALNAICK</t>
  </si>
  <si>
    <t>Juliane</t>
  </si>
  <si>
    <t>0262923675</t>
  </si>
  <si>
    <t>0692786061</t>
  </si>
  <si>
    <t>LTS-021-003</t>
  </si>
  <si>
    <t>33 Allée des Pourpiers</t>
  </si>
  <si>
    <t>CERVEAU</t>
  </si>
  <si>
    <t>Jeanne</t>
  </si>
  <si>
    <t>0692732534</t>
  </si>
  <si>
    <t>LTS-021-004</t>
  </si>
  <si>
    <t>7 Allée des Pourpiers</t>
  </si>
  <si>
    <t>GOVIN</t>
  </si>
  <si>
    <t>Marie Brigitte</t>
  </si>
  <si>
    <t>0692164270</t>
  </si>
  <si>
    <t>LTS-021-005</t>
  </si>
  <si>
    <t>21 Allée des Pourpiers</t>
  </si>
  <si>
    <t>LALLEMAND</t>
  </si>
  <si>
    <t>Albert Louis</t>
  </si>
  <si>
    <t>0262285376</t>
  </si>
  <si>
    <t>0692420405</t>
  </si>
  <si>
    <t>LTS-021-006</t>
  </si>
  <si>
    <t>25 Allée des Pourpiers</t>
  </si>
  <si>
    <t>TERGEMINA</t>
  </si>
  <si>
    <t>Marie Jeanne</t>
  </si>
  <si>
    <t>0693706124</t>
  </si>
  <si>
    <t>LTS-021-007</t>
  </si>
  <si>
    <t>9 Allée des Pourpiers</t>
  </si>
  <si>
    <t>Marie Priscilla</t>
  </si>
  <si>
    <t>0692524074</t>
  </si>
  <si>
    <t>NE FONCTIONNE PLUS</t>
  </si>
  <si>
    <t>LTS-021-008</t>
  </si>
  <si>
    <t>49 Allée des Pourpiers</t>
  </si>
  <si>
    <t>AGATHE</t>
  </si>
  <si>
    <t>Marie Noëline Monique</t>
  </si>
  <si>
    <t>0693940854</t>
  </si>
  <si>
    <t>LTS-021-009</t>
  </si>
  <si>
    <t>8 Allée des Pourpiers</t>
  </si>
  <si>
    <t>ANGAMA</t>
  </si>
  <si>
    <t>Bernadette Evelyne</t>
  </si>
  <si>
    <t>0262684477</t>
  </si>
  <si>
    <t>0693874999</t>
  </si>
  <si>
    <t>LTS-021-010</t>
  </si>
  <si>
    <t>53 Allée des Pourpiers</t>
  </si>
  <si>
    <t>Angélo</t>
  </si>
  <si>
    <t>0262294087</t>
  </si>
  <si>
    <t>LTS-021-011</t>
  </si>
  <si>
    <t>41 Allée des Pourpiers</t>
  </si>
  <si>
    <t>COURTRAI</t>
  </si>
  <si>
    <t>Marie Eline</t>
  </si>
  <si>
    <t>LTS-021-012</t>
  </si>
  <si>
    <t>6 Allée des Pourpiers</t>
  </si>
  <si>
    <t>Marie Rose May</t>
  </si>
  <si>
    <t>0692533830</t>
  </si>
  <si>
    <t>0692041415</t>
  </si>
  <si>
    <t>clarel</t>
  </si>
  <si>
    <t>LTS-021-013</t>
  </si>
  <si>
    <t>51 Allée des Pourpiers</t>
  </si>
  <si>
    <t>HERODE</t>
  </si>
  <si>
    <t>Joseph Richard</t>
  </si>
  <si>
    <t>0692819886</t>
  </si>
  <si>
    <t>LTS-022</t>
  </si>
  <si>
    <t>LTS-022-001</t>
  </si>
  <si>
    <t>JAMROSATS</t>
  </si>
  <si>
    <t>4 Chemin des Badamiers</t>
  </si>
  <si>
    <t>ALIFANETY</t>
  </si>
  <si>
    <t>Ketty Marie Sylviane</t>
  </si>
  <si>
    <t>0692992817</t>
  </si>
  <si>
    <t>LTS-022-002</t>
  </si>
  <si>
    <t>2 Chemin des Badamiers</t>
  </si>
  <si>
    <t>ELLAMA</t>
  </si>
  <si>
    <t>Lilas Marie</t>
  </si>
  <si>
    <t>0692696320</t>
  </si>
  <si>
    <t>LTS-022-003</t>
  </si>
  <si>
    <t>52 bis Chemin des Badamiers</t>
  </si>
  <si>
    <t>CHAMAND</t>
  </si>
  <si>
    <t>0693017269</t>
  </si>
  <si>
    <t>LTS-022-004</t>
  </si>
  <si>
    <t>8 Chemin des Badamiers</t>
  </si>
  <si>
    <t>0692140869</t>
  </si>
  <si>
    <t>LTS-022-005</t>
  </si>
  <si>
    <t>64 bis Chemin des Badamiers</t>
  </si>
  <si>
    <t>FIMBRIAT</t>
  </si>
  <si>
    <t>Jannick</t>
  </si>
  <si>
    <t>0693943884</t>
  </si>
  <si>
    <t>LTS-022-006</t>
  </si>
  <si>
    <t>60 Chemin des Badamiers</t>
  </si>
  <si>
    <t>GAZE</t>
  </si>
  <si>
    <t>0692860459</t>
  </si>
  <si>
    <t>LTS-022-007</t>
  </si>
  <si>
    <t>16 Chemin des Badamiers</t>
  </si>
  <si>
    <t>0692872727</t>
  </si>
  <si>
    <t>LTS-022-008</t>
  </si>
  <si>
    <t>64 Chemin des Badamiers</t>
  </si>
  <si>
    <t>0692529084</t>
  </si>
  <si>
    <t>0693019581</t>
  </si>
  <si>
    <t>LTS-022-009</t>
  </si>
  <si>
    <t>24 Chemin des Badamiers</t>
  </si>
  <si>
    <t>PAUSE</t>
  </si>
  <si>
    <t>0692738159</t>
  </si>
  <si>
    <t>LTS-022-010</t>
  </si>
  <si>
    <t>38 Chemin des Badamiers</t>
  </si>
  <si>
    <t>PETREL</t>
  </si>
  <si>
    <t>Jean Thierry</t>
  </si>
  <si>
    <t>0692682200</t>
  </si>
  <si>
    <t>LTS-022-011</t>
  </si>
  <si>
    <t>40 Chemin des Badamiers</t>
  </si>
  <si>
    <t>SOUFFLEUR</t>
  </si>
  <si>
    <t>Jean Eric</t>
  </si>
  <si>
    <t>0262234350</t>
  </si>
  <si>
    <t>0693311114</t>
  </si>
  <si>
    <t>LTS-022-012</t>
  </si>
  <si>
    <t>46 Chemin des Badamiers</t>
  </si>
  <si>
    <t>0692253132</t>
  </si>
  <si>
    <t>LTS-022-013</t>
  </si>
  <si>
    <t>1 Chemin des Badamiers</t>
  </si>
  <si>
    <t>Marie Clélia</t>
  </si>
  <si>
    <t>0693043736</t>
  </si>
  <si>
    <t>LTS-022-014</t>
  </si>
  <si>
    <t>7 Chemin des Badamiers</t>
  </si>
  <si>
    <t>TILLE</t>
  </si>
  <si>
    <t>0262509201</t>
  </si>
  <si>
    <t>LTS-022-015</t>
  </si>
  <si>
    <t>70 Chemin des Badamiers</t>
  </si>
  <si>
    <t>TERVIMONT</t>
  </si>
  <si>
    <t>Augusta</t>
  </si>
  <si>
    <t>0692061377</t>
  </si>
  <si>
    <t>LTS-023</t>
  </si>
  <si>
    <t>LTS-023-001</t>
  </si>
  <si>
    <t>JUJUBES</t>
  </si>
  <si>
    <t>1 Allée des Jujubes</t>
  </si>
  <si>
    <t>0692584804</t>
  </si>
  <si>
    <t>LTS-023-002</t>
  </si>
  <si>
    <t>31 Allée des Jujubes</t>
  </si>
  <si>
    <t>CADENET</t>
  </si>
  <si>
    <t>Marie Emmanuella</t>
  </si>
  <si>
    <t>0693770653</t>
  </si>
  <si>
    <t>LTS-023-003</t>
  </si>
  <si>
    <t>25 Allée des Jujubes</t>
  </si>
  <si>
    <t>Marie Ginette</t>
  </si>
  <si>
    <t>0692965340</t>
  </si>
  <si>
    <t>LTS-023-004</t>
  </si>
  <si>
    <t>16 Allée des Jujubes</t>
  </si>
  <si>
    <t>DUMONT</t>
  </si>
  <si>
    <t>0692794451</t>
  </si>
  <si>
    <t>LTS-023-005</t>
  </si>
  <si>
    <t>6 Allée des Jujubes</t>
  </si>
  <si>
    <t>Marie Andrée</t>
  </si>
  <si>
    <t>0262210874</t>
  </si>
  <si>
    <t>0692936726</t>
  </si>
  <si>
    <t>LTS-023-006</t>
  </si>
  <si>
    <t>17 Allée des Jujubes</t>
  </si>
  <si>
    <t>0692345057</t>
  </si>
  <si>
    <t>LTS-023-007</t>
  </si>
  <si>
    <t>33 Allée des Jujubes</t>
  </si>
  <si>
    <t>VAILLANT</t>
  </si>
  <si>
    <t>0692100029</t>
  </si>
  <si>
    <t>LTS-024</t>
  </si>
  <si>
    <t>LTS-024-001</t>
  </si>
  <si>
    <t>LAVANDIERES</t>
  </si>
  <si>
    <t>36 Rue des Lavandières</t>
  </si>
  <si>
    <t>AIME</t>
  </si>
  <si>
    <t>0692482441</t>
  </si>
  <si>
    <t>LTS-024-002</t>
  </si>
  <si>
    <t>46 Rue des Lavandières</t>
  </si>
  <si>
    <t>RAOUTINTE</t>
  </si>
  <si>
    <t>Marie Evelyne</t>
  </si>
  <si>
    <t>0262477821</t>
  </si>
  <si>
    <t>0692370321 / 0692112815</t>
  </si>
  <si>
    <t>LTS-024-003</t>
  </si>
  <si>
    <t>40 bis Rue des Lavandières</t>
  </si>
  <si>
    <t>Marie Paule</t>
  </si>
  <si>
    <t>0692773507</t>
  </si>
  <si>
    <t>LTS-024-004</t>
  </si>
  <si>
    <t>44 Rue des Lavandières</t>
  </si>
  <si>
    <t>ANELARD</t>
  </si>
  <si>
    <t>0692878992</t>
  </si>
  <si>
    <t>LTS-024-005</t>
  </si>
  <si>
    <t>32 Rue des Lavandières</t>
  </si>
  <si>
    <t>BARDEUR</t>
  </si>
  <si>
    <t>0693621175</t>
  </si>
  <si>
    <t>LTS-024-006</t>
  </si>
  <si>
    <t>40 Rue des Lavandières</t>
  </si>
  <si>
    <t>LASAONE</t>
  </si>
  <si>
    <t>0692202443</t>
  </si>
  <si>
    <t>LTS-024-007</t>
  </si>
  <si>
    <t>38 bis Rue des Lavandières</t>
  </si>
  <si>
    <t>CALOGINE</t>
  </si>
  <si>
    <t>Alexandre</t>
  </si>
  <si>
    <t>0693837499</t>
  </si>
  <si>
    <t>LTS-024-008</t>
  </si>
  <si>
    <t>48 Rue des Lavandières</t>
  </si>
  <si>
    <t>JESSU</t>
  </si>
  <si>
    <t>Arsène</t>
  </si>
  <si>
    <t>0692916143</t>
  </si>
  <si>
    <t>LTS-024-009</t>
  </si>
  <si>
    <t>34 Rue des Lavandières</t>
  </si>
  <si>
    <t>NALLAMOUTOU</t>
  </si>
  <si>
    <t>Bernard</t>
  </si>
  <si>
    <t>0693113582</t>
  </si>
  <si>
    <t>LTS-024-010</t>
  </si>
  <si>
    <t>42 Rue des Lavandières</t>
  </si>
  <si>
    <t>Iréné</t>
  </si>
  <si>
    <t>0692479164</t>
  </si>
  <si>
    <t>LTS-024-011</t>
  </si>
  <si>
    <t>50 Rue des Lavandières</t>
  </si>
  <si>
    <t>PERSAND</t>
  </si>
  <si>
    <t>0692458000</t>
  </si>
  <si>
    <t>LTS-024-012</t>
  </si>
  <si>
    <t>38 Rue des Lavandières</t>
  </si>
  <si>
    <t>SIRIONGUE</t>
  </si>
  <si>
    <t>Ludivine</t>
  </si>
  <si>
    <t>0262889919</t>
  </si>
  <si>
    <t>0692240691</t>
  </si>
  <si>
    <t>LTS-024-013</t>
  </si>
  <si>
    <t>44 bis Rue des Lavandières</t>
  </si>
  <si>
    <t>EDJA</t>
  </si>
  <si>
    <t>Marie Michelle</t>
  </si>
  <si>
    <t>0693800584</t>
  </si>
  <si>
    <t>0692949286</t>
  </si>
  <si>
    <t>LTS-025</t>
  </si>
  <si>
    <t>LTS-025-001</t>
  </si>
  <si>
    <t>MAISONS NEUVES</t>
  </si>
  <si>
    <t>87 Chemin Neuf</t>
  </si>
  <si>
    <t>Marie  Marthe</t>
  </si>
  <si>
    <t>0692673921</t>
  </si>
  <si>
    <t>LTS-025-002</t>
  </si>
  <si>
    <t>18 Chemin des Avocatiers</t>
  </si>
  <si>
    <t>CLARA</t>
  </si>
  <si>
    <t>0692174772</t>
  </si>
  <si>
    <t>LTS-025-003</t>
  </si>
  <si>
    <t>4 Allée des Cattleyas</t>
  </si>
  <si>
    <t>GOSSARD</t>
  </si>
  <si>
    <t>Huguette</t>
  </si>
  <si>
    <t>0692696720</t>
  </si>
  <si>
    <t>LTS-025-004</t>
  </si>
  <si>
    <t>15 Chemin des Avocatiers</t>
  </si>
  <si>
    <t>GUSTAVE</t>
  </si>
  <si>
    <t>Marie Josée</t>
  </si>
  <si>
    <t>0692849492</t>
  </si>
  <si>
    <t>LTS-025-005</t>
  </si>
  <si>
    <t>12 Allée des Cattleyas</t>
  </si>
  <si>
    <t>Marie Charlotte</t>
  </si>
  <si>
    <t>0692880828</t>
  </si>
  <si>
    <t>LTS-025-006</t>
  </si>
  <si>
    <t>20 Allée des Cattleyas</t>
  </si>
  <si>
    <t>LEGROS</t>
  </si>
  <si>
    <t>Jean Pierre Fréderic</t>
  </si>
  <si>
    <t>0692509935</t>
  </si>
  <si>
    <t>LTS-025-007</t>
  </si>
  <si>
    <t>28 Chemin des Avocatiers</t>
  </si>
  <si>
    <t>0692675873</t>
  </si>
  <si>
    <t>LTS-025-008</t>
  </si>
  <si>
    <t>18 Allée des Cattleyas</t>
  </si>
  <si>
    <t>PROSERPINE</t>
  </si>
  <si>
    <t>Christo</t>
  </si>
  <si>
    <t>LTS-025-009</t>
  </si>
  <si>
    <t>10 Allée des Cattleyas</t>
  </si>
  <si>
    <t>Marie  Patricia</t>
  </si>
  <si>
    <t>0692786265</t>
  </si>
  <si>
    <t>LTS-025-010</t>
  </si>
  <si>
    <t>6 Allée des Cattleyas</t>
  </si>
  <si>
    <t>RAVENE</t>
  </si>
  <si>
    <t>Marie Florence</t>
  </si>
  <si>
    <t>0692601724</t>
  </si>
  <si>
    <t>LTS-025-011</t>
  </si>
  <si>
    <t>2 Chemin des Avocatiers</t>
  </si>
  <si>
    <t>Jean Marc Antoine</t>
  </si>
  <si>
    <t>0692621277</t>
  </si>
  <si>
    <t>LTS-025-012</t>
  </si>
  <si>
    <t>26 Allée des Cattleyas</t>
  </si>
  <si>
    <t>Marie Mimose</t>
  </si>
  <si>
    <t>0693602653</t>
  </si>
  <si>
    <t>LTS-025-013</t>
  </si>
  <si>
    <t>21 Chemin des Avocatiers</t>
  </si>
  <si>
    <t>SANTOULANGUE</t>
  </si>
  <si>
    <t>0262230149</t>
  </si>
  <si>
    <t>LTS-025-014</t>
  </si>
  <si>
    <t>17 Chemin des Avocatiers</t>
  </si>
  <si>
    <t>SERY</t>
  </si>
  <si>
    <t>Fred et Sandrine</t>
  </si>
  <si>
    <t>0692684829</t>
  </si>
  <si>
    <t>0692705126</t>
  </si>
  <si>
    <t>Mme SERY | Mr</t>
  </si>
  <si>
    <t>LTS-025-015</t>
  </si>
  <si>
    <t>24 Allée des Cattleyas</t>
  </si>
  <si>
    <t>VIRASSAMY</t>
  </si>
  <si>
    <t>0692884493</t>
  </si>
  <si>
    <t>LTS-026</t>
  </si>
  <si>
    <t>LTS-026-001</t>
  </si>
  <si>
    <t>MAMBOLOS</t>
  </si>
  <si>
    <t>41 Rue de La Picardie</t>
  </si>
  <si>
    <t>ARMAND</t>
  </si>
  <si>
    <t>Marie Adélaïde</t>
  </si>
  <si>
    <t>0262294011</t>
  </si>
  <si>
    <t>LTS-026-002</t>
  </si>
  <si>
    <t>69 Rue de La Picardie</t>
  </si>
  <si>
    <t>BETON</t>
  </si>
  <si>
    <t>0692536467</t>
  </si>
  <si>
    <t>LTS-026-003</t>
  </si>
  <si>
    <t>127 Rue de La Picardie</t>
  </si>
  <si>
    <t>BOURANE</t>
  </si>
  <si>
    <t>Alix Jean Sebastien</t>
  </si>
  <si>
    <t>0692141612</t>
  </si>
  <si>
    <t>LTS-026-004</t>
  </si>
  <si>
    <t>35 Rue de La Picardie</t>
  </si>
  <si>
    <t>Jean Florent</t>
  </si>
  <si>
    <t>0692451930</t>
  </si>
  <si>
    <t>0692339049 / 0692986356</t>
  </si>
  <si>
    <t>son fils</t>
  </si>
  <si>
    <t>LTS-026-005</t>
  </si>
  <si>
    <t>125 Rue de La Picardie</t>
  </si>
  <si>
    <t>0692429922</t>
  </si>
  <si>
    <t>mme</t>
  </si>
  <si>
    <t>LTS-026-006</t>
  </si>
  <si>
    <t>59 Rue de La Picardie</t>
  </si>
  <si>
    <t>CLORATE</t>
  </si>
  <si>
    <t>Justin Michel</t>
  </si>
  <si>
    <t>0262513303</t>
  </si>
  <si>
    <t>LTS-026-007</t>
  </si>
  <si>
    <t>53 Rue de La Picardie</t>
  </si>
  <si>
    <t>DALERY</t>
  </si>
  <si>
    <t>Marie Jocelyne</t>
  </si>
  <si>
    <t>0262281371</t>
  </si>
  <si>
    <t>0693476640</t>
  </si>
  <si>
    <t>LTS-026-008</t>
  </si>
  <si>
    <t>123 Rue de La Picardie</t>
  </si>
  <si>
    <t>Simone Marie Antoinette</t>
  </si>
  <si>
    <t>0692458482</t>
  </si>
  <si>
    <t>LTS-026-009</t>
  </si>
  <si>
    <t>83 Rue de La Picardie</t>
  </si>
  <si>
    <t>Laurent</t>
  </si>
  <si>
    <t>0262920174</t>
  </si>
  <si>
    <t>0692059805</t>
  </si>
  <si>
    <t>LTS-026-010</t>
  </si>
  <si>
    <t>121 Rue de La Picardie</t>
  </si>
  <si>
    <t>Vivienne Marie Judith</t>
  </si>
  <si>
    <t>0692254602</t>
  </si>
  <si>
    <t>0695359879</t>
  </si>
  <si>
    <t>LTS-026-011</t>
  </si>
  <si>
    <t>111 Rue de La Picardie</t>
  </si>
  <si>
    <t>SA SOEURE</t>
  </si>
  <si>
    <t>LTS-026-012</t>
  </si>
  <si>
    <t>129 Rue de La Picardie</t>
  </si>
  <si>
    <t>Jean Philippe Jérôme</t>
  </si>
  <si>
    <t>0692157332</t>
  </si>
  <si>
    <t>0692227225</t>
  </si>
  <si>
    <t>BROVAN | mr grondin</t>
  </si>
  <si>
    <t>LTS-026-013</t>
  </si>
  <si>
    <t>71 Rue de La Picardie</t>
  </si>
  <si>
    <t>0262290555</t>
  </si>
  <si>
    <t>LTS-026-014</t>
  </si>
  <si>
    <t>51 Rue de La Picardie</t>
  </si>
  <si>
    <t>JEAN FRANCOIS</t>
  </si>
  <si>
    <t>Mickaël</t>
  </si>
  <si>
    <t>0692746720</t>
  </si>
  <si>
    <t>0263049607</t>
  </si>
  <si>
    <t>LTS-026-015</t>
  </si>
  <si>
    <t>89 Rue de La Picardie</t>
  </si>
  <si>
    <t>LAI MAN</t>
  </si>
  <si>
    <t>Emile</t>
  </si>
  <si>
    <t>0692821858</t>
  </si>
  <si>
    <t>0692813681</t>
  </si>
  <si>
    <t>LTS-026-016</t>
  </si>
  <si>
    <t>27 Rue de La Picardie</t>
  </si>
  <si>
    <t>LAMBE</t>
  </si>
  <si>
    <t>Jacqueline</t>
  </si>
  <si>
    <t>0262281363</t>
  </si>
  <si>
    <t>0692186791</t>
  </si>
  <si>
    <t>LTS-026-017</t>
  </si>
  <si>
    <t>33 Rue de La Picardie</t>
  </si>
  <si>
    <t>LANGLET</t>
  </si>
  <si>
    <t>Colette Marie Miguy</t>
  </si>
  <si>
    <t>0692811776</t>
  </si>
  <si>
    <t>LTS-026-018</t>
  </si>
  <si>
    <t>37 Rue de La Picardie</t>
  </si>
  <si>
    <t>LARAVINE (EX PADRE)</t>
  </si>
  <si>
    <t>Rolande</t>
  </si>
  <si>
    <t>0262973519</t>
  </si>
  <si>
    <t>LTS-026-019</t>
  </si>
  <si>
    <t>81 Rue de La Picardie</t>
  </si>
  <si>
    <t>LAURET</t>
  </si>
  <si>
    <t>JEAN MICKAËL</t>
  </si>
  <si>
    <t>0692646304</t>
  </si>
  <si>
    <t>LTS-026-020</t>
  </si>
  <si>
    <t>77 Rue de La Picardie</t>
  </si>
  <si>
    <t>LOUIS</t>
  </si>
  <si>
    <t>0262309734</t>
  </si>
  <si>
    <t>0692212636</t>
  </si>
  <si>
    <t>LTS-026-021</t>
  </si>
  <si>
    <t>97 Rue de La Picardie</t>
  </si>
  <si>
    <t>Etienne</t>
  </si>
  <si>
    <t>0692142644</t>
  </si>
  <si>
    <t>LTS-026-022</t>
  </si>
  <si>
    <t>107 Rue de La Picardie</t>
  </si>
  <si>
    <t>MARGUERITE</t>
  </si>
  <si>
    <t>0692575940</t>
  </si>
  <si>
    <t>LTS-026-023</t>
  </si>
  <si>
    <t>43 Rue de La Picardie</t>
  </si>
  <si>
    <t>MOIMBE</t>
  </si>
  <si>
    <t>Hélène</t>
  </si>
  <si>
    <t>0262921849</t>
  </si>
  <si>
    <t>0692611318</t>
  </si>
  <si>
    <t>LTS-026-024</t>
  </si>
  <si>
    <t>9 Rue de La Picardie</t>
  </si>
  <si>
    <t>Dorcas cindy</t>
  </si>
  <si>
    <t>0692148140</t>
  </si>
  <si>
    <t>MME DALLEAU</t>
  </si>
  <si>
    <t>LTS-026-025</t>
  </si>
  <si>
    <t>117 Rue de La Picardie</t>
  </si>
  <si>
    <t>MOUNIA</t>
  </si>
  <si>
    <t>Marie Emilienne</t>
  </si>
  <si>
    <t>0692506517</t>
  </si>
  <si>
    <t>LTS-026-026</t>
  </si>
  <si>
    <t>79 Rue de La Picardie</t>
  </si>
  <si>
    <t>MOUROUVIN</t>
  </si>
  <si>
    <t>RACHEL</t>
  </si>
  <si>
    <t>0262090617</t>
  </si>
  <si>
    <t>0692074933</t>
  </si>
  <si>
    <t>CEDRIC</t>
  </si>
  <si>
    <t>LTS-026-027</t>
  </si>
  <si>
    <t>115 Rue de La Picardie</t>
  </si>
  <si>
    <t>PAUS</t>
  </si>
  <si>
    <t>Antoine Guy</t>
  </si>
  <si>
    <t>0692655046</t>
  </si>
  <si>
    <t>LTS-026-028</t>
  </si>
  <si>
    <t>1 Rue de La Picardie</t>
  </si>
  <si>
    <t>PITOU</t>
  </si>
  <si>
    <t>Guylène</t>
  </si>
  <si>
    <t>LTS-026-029</t>
  </si>
  <si>
    <t>15 Rue de La Picardie</t>
  </si>
  <si>
    <t>RAMIN</t>
  </si>
  <si>
    <t>Stéphanie Marie Aline</t>
  </si>
  <si>
    <t>0262416781</t>
  </si>
  <si>
    <t>0692340889</t>
  </si>
  <si>
    <t>LTS-026-030</t>
  </si>
  <si>
    <t>91 Rue de La Picardie</t>
  </si>
  <si>
    <t>LTS-026-031</t>
  </si>
  <si>
    <t>7 Rue de La Picardie</t>
  </si>
  <si>
    <t>RODIER</t>
  </si>
  <si>
    <t>0692374241</t>
  </si>
  <si>
    <t>0692797214 / 0262568359</t>
  </si>
  <si>
    <t>LTS-026-032</t>
  </si>
  <si>
    <t>63 Rue de La Picardie</t>
  </si>
  <si>
    <t>René Jacques</t>
  </si>
  <si>
    <t>0692185739</t>
  </si>
  <si>
    <t>0692772692</t>
  </si>
  <si>
    <t>LA FILLE BAGNOLET</t>
  </si>
  <si>
    <t>LTS-026-033</t>
  </si>
  <si>
    <t>7 Rue des 4 Vents</t>
  </si>
  <si>
    <t>SIBALO</t>
  </si>
  <si>
    <t>Thierry Jean Bernard</t>
  </si>
  <si>
    <t>0693406031</t>
  </si>
  <si>
    <t>LTS-026-034</t>
  </si>
  <si>
    <t>3 Rue de La Picardie</t>
  </si>
  <si>
    <t>Gismy Alain</t>
  </si>
  <si>
    <t>0692561720</t>
  </si>
  <si>
    <t>LTS-026-035</t>
  </si>
  <si>
    <t>119 Rue de La Picardie</t>
  </si>
  <si>
    <t>TOAVE</t>
  </si>
  <si>
    <t>William</t>
  </si>
  <si>
    <t>LTS-026-036</t>
  </si>
  <si>
    <t>29 Rue de La Picardie</t>
  </si>
  <si>
    <t>Marie Catherine</t>
  </si>
  <si>
    <t>0692843973</t>
  </si>
  <si>
    <t>LTS-026-037</t>
  </si>
  <si>
    <t>47 Rue de La Picardie</t>
  </si>
  <si>
    <t>FANNIO</t>
  </si>
  <si>
    <t>0692254818</t>
  </si>
  <si>
    <t>LTS-027</t>
  </si>
  <si>
    <t>LTS-027-001</t>
  </si>
  <si>
    <t>MORANGE 1</t>
  </si>
  <si>
    <t>146 Route de Montgaillard</t>
  </si>
  <si>
    <t>ALLAMELOU</t>
  </si>
  <si>
    <t>Soraya Yolande</t>
  </si>
  <si>
    <t>0692824563</t>
  </si>
  <si>
    <t>LTS-027-002</t>
  </si>
  <si>
    <t>78 Allée des Filaos</t>
  </si>
  <si>
    <t>Jean Fréddy</t>
  </si>
  <si>
    <t>0692763306</t>
  </si>
  <si>
    <t>LTS-027-003</t>
  </si>
  <si>
    <t>24 Allée des Filaos</t>
  </si>
  <si>
    <t>0692196704</t>
  </si>
  <si>
    <t>LTS-027-004</t>
  </si>
  <si>
    <t>66 Allée des Filaos</t>
  </si>
  <si>
    <t>0692121416</t>
  </si>
  <si>
    <t>0692783820</t>
  </si>
  <si>
    <t>Mr | Mme</t>
  </si>
  <si>
    <t>LTS-027-005</t>
  </si>
  <si>
    <t>26 Allée des Filaos</t>
  </si>
  <si>
    <t>Marie Marlène</t>
  </si>
  <si>
    <t>0692880825</t>
  </si>
  <si>
    <t>LTS-027-006</t>
  </si>
  <si>
    <t>16 Allée des Filaos</t>
  </si>
  <si>
    <t>Vanessa</t>
  </si>
  <si>
    <t>0693924427</t>
  </si>
  <si>
    <t>LTS-027-007</t>
  </si>
  <si>
    <t>22 Allée des Filaos</t>
  </si>
  <si>
    <t>LAMOLY</t>
  </si>
  <si>
    <t>Jérome Jean Christophe</t>
  </si>
  <si>
    <t>0692103191</t>
  </si>
  <si>
    <t>0692 38 42  21</t>
  </si>
  <si>
    <t>LTS-027-008</t>
  </si>
  <si>
    <t>46 Allée des Filaos</t>
  </si>
  <si>
    <t>LECLAIR</t>
  </si>
  <si>
    <t>Sabine Marie Thérèse</t>
  </si>
  <si>
    <t>0692869435</t>
  </si>
  <si>
    <t>LTS-027-009</t>
  </si>
  <si>
    <t>36 Allée des Filaos</t>
  </si>
  <si>
    <t>MAXVEL</t>
  </si>
  <si>
    <t>0692013897</t>
  </si>
  <si>
    <t>LTS-027-010</t>
  </si>
  <si>
    <t>48 Allée des Filaos</t>
  </si>
  <si>
    <t>MOIDAMA</t>
  </si>
  <si>
    <t>France Arlette</t>
  </si>
  <si>
    <t>0692488158</t>
  </si>
  <si>
    <t>MME MOIDAMA (fille</t>
  </si>
  <si>
    <t>LTS-027-011</t>
  </si>
  <si>
    <t>58 Allée des Filaos</t>
  </si>
  <si>
    <t>MOREL</t>
  </si>
  <si>
    <t>0692842270</t>
  </si>
  <si>
    <t>LTS-027-012</t>
  </si>
  <si>
    <t>42 Allée des Filaos</t>
  </si>
  <si>
    <t>David Jean Christian</t>
  </si>
  <si>
    <t>LTS-027-013</t>
  </si>
  <si>
    <t>20 Allée des Filaos</t>
  </si>
  <si>
    <t>MUSSARD</t>
  </si>
  <si>
    <t>Elois</t>
  </si>
  <si>
    <t>0692581859</t>
  </si>
  <si>
    <t>LTS-027-014</t>
  </si>
  <si>
    <t>38 Allée des Filaos</t>
  </si>
  <si>
    <t>NIFLORE</t>
  </si>
  <si>
    <t>Sergine</t>
  </si>
  <si>
    <t>0692166595</t>
  </si>
  <si>
    <t>LTS-027-015</t>
  </si>
  <si>
    <t>30 Allée des Filaos</t>
  </si>
  <si>
    <t>LTS-027-016</t>
  </si>
  <si>
    <t>14 Allée des Filaos</t>
  </si>
  <si>
    <t>POTA</t>
  </si>
  <si>
    <t>0692282713</t>
  </si>
  <si>
    <t>LTS-027-017</t>
  </si>
  <si>
    <t>148 Route de Montgaillard</t>
  </si>
  <si>
    <t>POTHIN</t>
  </si>
  <si>
    <t>Jean</t>
  </si>
  <si>
    <t>0692202026</t>
  </si>
  <si>
    <t>LTS-027-018</t>
  </si>
  <si>
    <t>86 Allée des Filaos</t>
  </si>
  <si>
    <t>RAMSAMY MOUTI</t>
  </si>
  <si>
    <t>Georges</t>
  </si>
  <si>
    <t>0692594796</t>
  </si>
  <si>
    <t>LTS-027-019</t>
  </si>
  <si>
    <t>6 Allée des Filaos</t>
  </si>
  <si>
    <t>LTS-027-020</t>
  </si>
  <si>
    <t>52 Allée des Filaos</t>
  </si>
  <si>
    <t>SAVRIMOUTOU</t>
  </si>
  <si>
    <t>0692169458</t>
  </si>
  <si>
    <t>LTS-027-021</t>
  </si>
  <si>
    <t>8 Allée des Filaos</t>
  </si>
  <si>
    <t>TREPORT</t>
  </si>
  <si>
    <t>José Michel</t>
  </si>
  <si>
    <t>0693943382</t>
  </si>
  <si>
    <t>LTS-027-022</t>
  </si>
  <si>
    <t>56 Allée des Filaos</t>
  </si>
  <si>
    <t>VEFOUR</t>
  </si>
  <si>
    <t>Blanche</t>
  </si>
  <si>
    <t>0692826955</t>
  </si>
  <si>
    <t>LTS-027-023</t>
  </si>
  <si>
    <t>12 Allée des Filaos</t>
  </si>
  <si>
    <t>LTS-028</t>
  </si>
  <si>
    <t>LTS-028-001</t>
  </si>
  <si>
    <t>MORANGE 2</t>
  </si>
  <si>
    <t>27 Allée Bellavista</t>
  </si>
  <si>
    <t>ALI</t>
  </si>
  <si>
    <t>Georgette</t>
  </si>
  <si>
    <t>0692256018</t>
  </si>
  <si>
    <t>LTS-028-002</t>
  </si>
  <si>
    <t>6 Allée du Plateau</t>
  </si>
  <si>
    <t>LEOCADIE</t>
  </si>
  <si>
    <t>Marie Lorraine</t>
  </si>
  <si>
    <t>0692509558</t>
  </si>
  <si>
    <t>0692616188</t>
  </si>
  <si>
    <t>LTS-028-003</t>
  </si>
  <si>
    <t>15 Allée du Plateau</t>
  </si>
  <si>
    <t>CELESTIN</t>
  </si>
  <si>
    <t>0693116423</t>
  </si>
  <si>
    <t>LTS-028-004</t>
  </si>
  <si>
    <t>17 Allée du Plateau</t>
  </si>
  <si>
    <t>COPEAU</t>
  </si>
  <si>
    <t>Marie Claire</t>
  </si>
  <si>
    <t>0692097748</t>
  </si>
  <si>
    <t>LTS-028-005</t>
  </si>
  <si>
    <t>27 Allée du Plateau</t>
  </si>
  <si>
    <t>0692905217</t>
  </si>
  <si>
    <t>LTS-028-006</t>
  </si>
  <si>
    <t>19 Allée du Plateau</t>
  </si>
  <si>
    <t>Jean Maurice</t>
  </si>
  <si>
    <t>LTS-028-007</t>
  </si>
  <si>
    <t>11 Allée du Plateau</t>
  </si>
  <si>
    <t>FRANCOIS</t>
  </si>
  <si>
    <t>0693831142</t>
  </si>
  <si>
    <t>LTS-028-008</t>
  </si>
  <si>
    <t>24 Allée du Plateau</t>
  </si>
  <si>
    <t>Rosemay</t>
  </si>
  <si>
    <t>0692658531</t>
  </si>
  <si>
    <t>LTS-028-009</t>
  </si>
  <si>
    <t>4 Allée du Plateau</t>
  </si>
  <si>
    <t>0692326506</t>
  </si>
  <si>
    <t>LTS-028-010</t>
  </si>
  <si>
    <t>20 Allée du Plateau</t>
  </si>
  <si>
    <t>MARCELY</t>
  </si>
  <si>
    <t>Sabine</t>
  </si>
  <si>
    <t>0692561229</t>
  </si>
  <si>
    <t>0262506312</t>
  </si>
  <si>
    <t>LTS-028-011</t>
  </si>
  <si>
    <t>18 Allée du Plateau</t>
  </si>
  <si>
    <t>Sara</t>
  </si>
  <si>
    <t>0692316153</t>
  </si>
  <si>
    <t>0692595017</t>
  </si>
  <si>
    <t>LTS-028-012</t>
  </si>
  <si>
    <t>32 Allée du Plateau</t>
  </si>
  <si>
    <t>Jean Reynald</t>
  </si>
  <si>
    <t>0693315550</t>
  </si>
  <si>
    <t>LTS-028-013</t>
  </si>
  <si>
    <t>5 Allée du Plateau</t>
  </si>
  <si>
    <t>NOEL</t>
  </si>
  <si>
    <t>0692642229</t>
  </si>
  <si>
    <t>LTS-028-014</t>
  </si>
  <si>
    <t>1 Allée du Plateau</t>
  </si>
  <si>
    <t>Marie Monique</t>
  </si>
  <si>
    <t>0692658586</t>
  </si>
  <si>
    <t>0262309764</t>
  </si>
  <si>
    <t>LTS-028-015</t>
  </si>
  <si>
    <t>26 Allée du Plateau</t>
  </si>
  <si>
    <t>SIRET</t>
  </si>
  <si>
    <t>0692007517</t>
  </si>
  <si>
    <t>LTS-029</t>
  </si>
  <si>
    <t>LTS-029-001</t>
  </si>
  <si>
    <t>MURIERS</t>
  </si>
  <si>
    <t>8 Chemin des Frangipaniers</t>
  </si>
  <si>
    <t>Stéphanie Marie Jessica</t>
  </si>
  <si>
    <t>0692771730</t>
  </si>
  <si>
    <t>LTS-029-002</t>
  </si>
  <si>
    <t>6 Chemin des Frangipaniers</t>
  </si>
  <si>
    <t>Marie Guylène</t>
  </si>
  <si>
    <t>0262230524</t>
  </si>
  <si>
    <t>0693902529</t>
  </si>
  <si>
    <t>LTS-029-003</t>
  </si>
  <si>
    <t>7 Chemin de Lourdes</t>
  </si>
  <si>
    <t>Médéric</t>
  </si>
  <si>
    <t>0693019023</t>
  </si>
  <si>
    <t>LTS-029-004</t>
  </si>
  <si>
    <t>9 Chemin de Lourdes</t>
  </si>
  <si>
    <t>0262230184</t>
  </si>
  <si>
    <t>c'est sa Maman qui habite dans le lgt</t>
  </si>
  <si>
    <t>LTS-030</t>
  </si>
  <si>
    <t>LTS-030-001</t>
  </si>
  <si>
    <t>PAMPL</t>
  </si>
  <si>
    <t>259 F Route Gabriel Macé</t>
  </si>
  <si>
    <t>ALEXIS</t>
  </si>
  <si>
    <t>Daniel Virgile</t>
  </si>
  <si>
    <t>0262305284</t>
  </si>
  <si>
    <t>0262474516</t>
  </si>
  <si>
    <t>LTS-030-002</t>
  </si>
  <si>
    <t>259 Route Gabriel Macé</t>
  </si>
  <si>
    <t>Guy Paul</t>
  </si>
  <si>
    <t>0692763302</t>
  </si>
  <si>
    <t>Mme</t>
  </si>
  <si>
    <t>LTS-030-003</t>
  </si>
  <si>
    <t>259 E Route Gabriel Macé</t>
  </si>
  <si>
    <t>0692827727</t>
  </si>
  <si>
    <t>LTS-030-004</t>
  </si>
  <si>
    <t>259 B Route Gabriel Macé</t>
  </si>
  <si>
    <t>Jean Fréderic</t>
  </si>
  <si>
    <t>0693970629</t>
  </si>
  <si>
    <t>LTS-031</t>
  </si>
  <si>
    <t>LTS-031-001</t>
  </si>
  <si>
    <t>P. RAIMB</t>
  </si>
  <si>
    <t>12 Chemin du Cimetière</t>
  </si>
  <si>
    <t>ALBARET</t>
  </si>
  <si>
    <t>Jean Sylvestre</t>
  </si>
  <si>
    <t>LTS-031-002</t>
  </si>
  <si>
    <t>52 Chemin du Cimetière</t>
  </si>
  <si>
    <t>LTS-031-003</t>
  </si>
  <si>
    <t>23 Chemin du Cimetière</t>
  </si>
  <si>
    <t>CERNOT</t>
  </si>
  <si>
    <t>Ange Rolande</t>
  </si>
  <si>
    <t>0693045179</t>
  </si>
  <si>
    <t>0692728253</t>
  </si>
  <si>
    <t>LTS-031-004</t>
  </si>
  <si>
    <t>2 Chemin du Cimetière</t>
  </si>
  <si>
    <t>Arlette</t>
  </si>
  <si>
    <t>0262236699</t>
  </si>
  <si>
    <t>0693396897</t>
  </si>
  <si>
    <t>LTS-031-005</t>
  </si>
  <si>
    <t>54 Chemin du Cimetière</t>
  </si>
  <si>
    <t>GOURREAU</t>
  </si>
  <si>
    <t>0692521358</t>
  </si>
  <si>
    <t>LTS-031-006</t>
  </si>
  <si>
    <t>11 Chemin Michel Debré</t>
  </si>
  <si>
    <t>Marie Samantha</t>
  </si>
  <si>
    <t>0692277932</t>
  </si>
  <si>
    <t>LTS-031-007</t>
  </si>
  <si>
    <t>9 Chemin Michel Debré</t>
  </si>
  <si>
    <t>JANOLAT</t>
  </si>
  <si>
    <t>0692568124</t>
  </si>
  <si>
    <t>LTS-031-008</t>
  </si>
  <si>
    <t>21 Chemin Michel Debré</t>
  </si>
  <si>
    <t>Antoine</t>
  </si>
  <si>
    <t>0262237612</t>
  </si>
  <si>
    <t>0692417821</t>
  </si>
  <si>
    <t>LTS-031-009</t>
  </si>
  <si>
    <t>19 Chemin Michel Debré</t>
  </si>
  <si>
    <t>LACAILLE</t>
  </si>
  <si>
    <t>0692849081</t>
  </si>
  <si>
    <t>LTS-031-010</t>
  </si>
  <si>
    <t>29 Chemin Michel Debré</t>
  </si>
  <si>
    <t>MACORAL</t>
  </si>
  <si>
    <t>Chloé Gertrude</t>
  </si>
  <si>
    <t>0692733441</t>
  </si>
  <si>
    <t>LTS-031-011</t>
  </si>
  <si>
    <t>7 Chemin Michel Debré</t>
  </si>
  <si>
    <t>MULOT</t>
  </si>
  <si>
    <t>Jeanne Marie Guylène</t>
  </si>
  <si>
    <t>0693103006</t>
  </si>
  <si>
    <t>LTS-031-012</t>
  </si>
  <si>
    <t>28 Chemin du Cimetière</t>
  </si>
  <si>
    <t>Johan</t>
  </si>
  <si>
    <t>0693210709</t>
  </si>
  <si>
    <t>LTS-032</t>
  </si>
  <si>
    <t>LTS-032-001</t>
  </si>
  <si>
    <t>POINSETTIAS</t>
  </si>
  <si>
    <t>51 Chemin des Letchis</t>
  </si>
  <si>
    <t>BOURGOGNE</t>
  </si>
  <si>
    <t>Marie Angéline</t>
  </si>
  <si>
    <t>0262464492</t>
  </si>
  <si>
    <t>0692040007</t>
  </si>
  <si>
    <t>LTS-032-002</t>
  </si>
  <si>
    <t>45 Chemin des Letchis</t>
  </si>
  <si>
    <t>CHOPINET</t>
  </si>
  <si>
    <t>Marie Josie</t>
  </si>
  <si>
    <t>LTS-032-003</t>
  </si>
  <si>
    <t>64 Chemin des Letchis</t>
  </si>
  <si>
    <t>Marie Noëline</t>
  </si>
  <si>
    <t>0692505639</t>
  </si>
  <si>
    <t>LTS-032-004</t>
  </si>
  <si>
    <t>41 Chemin des Letchis</t>
  </si>
  <si>
    <t>ETHEVE</t>
  </si>
  <si>
    <t>Elodie Marie Antonia</t>
  </si>
  <si>
    <t>0693136313</t>
  </si>
  <si>
    <t>0262085726</t>
  </si>
  <si>
    <t>LTS-032-005</t>
  </si>
  <si>
    <t>35 A Chemin des Poinsetias</t>
  </si>
  <si>
    <t>Marie Nadège</t>
  </si>
  <si>
    <t>0692701064</t>
  </si>
  <si>
    <t>LTS-032-006</t>
  </si>
  <si>
    <t>56 Chemin des Letchis</t>
  </si>
  <si>
    <t>Rolande Anne</t>
  </si>
  <si>
    <t>0692712651</t>
  </si>
  <si>
    <t>LTS-032-007</t>
  </si>
  <si>
    <t>49 Chemin des Letchis</t>
  </si>
  <si>
    <t>IMIZE</t>
  </si>
  <si>
    <t>Corine Marie Maude</t>
  </si>
  <si>
    <t>0693038347</t>
  </si>
  <si>
    <t>LTS-032-008</t>
  </si>
  <si>
    <t>54 Chemin des Letchis</t>
  </si>
  <si>
    <t>RAVELET</t>
  </si>
  <si>
    <t>0262689629</t>
  </si>
  <si>
    <t>0693307166</t>
  </si>
  <si>
    <t>LTS-032-009</t>
  </si>
  <si>
    <t>53 Chemin des Letchis</t>
  </si>
  <si>
    <t>Valère René</t>
  </si>
  <si>
    <t>0692583782</t>
  </si>
  <si>
    <t>0262305450</t>
  </si>
  <si>
    <t>MICKAEL</t>
  </si>
  <si>
    <t>LTS-032-010</t>
  </si>
  <si>
    <t>35 B Chemin des Poinsetias</t>
  </si>
  <si>
    <t>THIBURCE</t>
  </si>
  <si>
    <t>Jean Christophe</t>
  </si>
  <si>
    <t>0262236978</t>
  </si>
  <si>
    <t>0692179899</t>
  </si>
  <si>
    <t>LTS-032-011</t>
  </si>
  <si>
    <t>35 C Chemin de Poinsetias</t>
  </si>
  <si>
    <t>0692041933</t>
  </si>
  <si>
    <t>0976917359</t>
  </si>
  <si>
    <t>LTS-033</t>
  </si>
  <si>
    <t>LTS-033-001</t>
  </si>
  <si>
    <t>12 8 Rue Jacob de Cordemoy</t>
  </si>
  <si>
    <t>Jean André</t>
  </si>
  <si>
    <t>0692584845</t>
  </si>
  <si>
    <t>0693133942</t>
  </si>
  <si>
    <t>Margarette belle fille</t>
  </si>
  <si>
    <t>LTS-033-002</t>
  </si>
  <si>
    <t>11 8 Rue Jacob de Cordemoy</t>
  </si>
  <si>
    <t>COLLET</t>
  </si>
  <si>
    <t>Thérèse Gislaine</t>
  </si>
  <si>
    <t>0693992360</t>
  </si>
  <si>
    <t>LTS-033-003</t>
  </si>
  <si>
    <t>7 8 Rue Jacob de Cordemoy</t>
  </si>
  <si>
    <t>Guy Maximin</t>
  </si>
  <si>
    <t>0262284862</t>
  </si>
  <si>
    <t>0262284863</t>
  </si>
  <si>
    <t>LTS-033-004</t>
  </si>
  <si>
    <t>15 8 Rue Jacob de Cordemoy</t>
  </si>
  <si>
    <t>FAUBOURG</t>
  </si>
  <si>
    <t>Céser</t>
  </si>
  <si>
    <t>0693830537</t>
  </si>
  <si>
    <t>LTS-033-005</t>
  </si>
  <si>
    <t>16 8 Rue Jacob de Cordemoy</t>
  </si>
  <si>
    <t>0693408551</t>
  </si>
  <si>
    <t>MME DIJOUX</t>
  </si>
  <si>
    <t>LTS-033-006</t>
  </si>
  <si>
    <t>5 8 Rue Jacob de Cordemoy</t>
  </si>
  <si>
    <t>Marie Ghislaine</t>
  </si>
  <si>
    <t>0262280339</t>
  </si>
  <si>
    <t>LTS-033-007</t>
  </si>
  <si>
    <t>8 8 Rue Jacob de Cordemoy</t>
  </si>
  <si>
    <t>Christiane Marie Cecile</t>
  </si>
  <si>
    <t>0692602336</t>
  </si>
  <si>
    <t>0692780751</t>
  </si>
  <si>
    <t>Aide Menagère</t>
  </si>
  <si>
    <t>LTS-033-008</t>
  </si>
  <si>
    <t>9 8 Rue Jacob de Cordemoy</t>
  </si>
  <si>
    <t>Marie Héloïse</t>
  </si>
  <si>
    <t>0262521665</t>
  </si>
  <si>
    <t>LTS-033-009</t>
  </si>
  <si>
    <t>17 8 Rue Jacob de Cordemoy</t>
  </si>
  <si>
    <t>MERLO</t>
  </si>
  <si>
    <t>0692849973</t>
  </si>
  <si>
    <t>LTS-033-010</t>
  </si>
  <si>
    <t>1 8 Rue Jacob de Cordemoy</t>
  </si>
  <si>
    <t>CONSTANTE</t>
  </si>
  <si>
    <t>Philidor</t>
  </si>
  <si>
    <t>0692102304</t>
  </si>
  <si>
    <t>LTS-033-011</t>
  </si>
  <si>
    <t>2 8 Rue Jacob de Cordemoy</t>
  </si>
  <si>
    <t>BARBE</t>
  </si>
  <si>
    <t>Marcelle</t>
  </si>
  <si>
    <t>0693935009</t>
  </si>
  <si>
    <t>LTS-033-012</t>
  </si>
  <si>
    <t>13 8 Rue Jacob de Cordemoy</t>
  </si>
  <si>
    <t>David Dominique</t>
  </si>
  <si>
    <t>0692916184</t>
  </si>
  <si>
    <t>LTS-033-013</t>
  </si>
  <si>
    <t>6 8 Rue Jacob de Cordemoy</t>
  </si>
  <si>
    <t>NAYAGOM</t>
  </si>
  <si>
    <t>MICHEL</t>
  </si>
  <si>
    <t>LTS-033-014</t>
  </si>
  <si>
    <t>20 8 Rue Jacob de Cordemoy</t>
  </si>
  <si>
    <t>PIERRE AUGUSTIN</t>
  </si>
  <si>
    <t>0692721325</t>
  </si>
  <si>
    <t>LTS-033-015</t>
  </si>
  <si>
    <t>21 8 Rue Jacob de Cordemoy</t>
  </si>
  <si>
    <t>OULOUMENI</t>
  </si>
  <si>
    <t>Eugène</t>
  </si>
  <si>
    <t>0692631366</t>
  </si>
  <si>
    <t>LTS-033-016</t>
  </si>
  <si>
    <t>4 8 Rue Jacob de Cordemoy</t>
  </si>
  <si>
    <t>REBECCA</t>
  </si>
  <si>
    <t>Antony</t>
  </si>
  <si>
    <t>LTS-033-017</t>
  </si>
  <si>
    <t>14 8 Rue Jacob de Cordemoy</t>
  </si>
  <si>
    <t>SOUPRAYEN</t>
  </si>
  <si>
    <t>Antoine Jean Maxime</t>
  </si>
  <si>
    <t>0692741343</t>
  </si>
  <si>
    <t>LTS-033-018</t>
  </si>
  <si>
    <t>10 8 Rue Jacob de Cordemoy</t>
  </si>
  <si>
    <t>TETTONI BEGUE</t>
  </si>
  <si>
    <t>Marie Augustine</t>
  </si>
  <si>
    <t>0693313012</t>
  </si>
  <si>
    <t>LTS-033-019</t>
  </si>
  <si>
    <t>18 8 Rue Jacob de Cordemoy</t>
  </si>
  <si>
    <t>CAMIAN</t>
  </si>
  <si>
    <t>GENEVIEVE</t>
  </si>
  <si>
    <t>LTS-033-020</t>
  </si>
  <si>
    <t>3 8 Rue Jacob de Cordemoy</t>
  </si>
  <si>
    <t>OLOT</t>
  </si>
  <si>
    <t>George Emilien</t>
  </si>
  <si>
    <t>0692827293</t>
  </si>
  <si>
    <t>0692739171</t>
  </si>
  <si>
    <t>LTS-034</t>
  </si>
  <si>
    <t>LTS-034-001</t>
  </si>
  <si>
    <t>VANGASSAYES</t>
  </si>
  <si>
    <t>22 Chemin des Letchis</t>
  </si>
  <si>
    <t>ALMAR</t>
  </si>
  <si>
    <t>CHRISTELLE MARIE AUDREY</t>
  </si>
  <si>
    <t>0692636065</t>
  </si>
  <si>
    <t>LTS-034-002</t>
  </si>
  <si>
    <t>12 Allée des Fougères</t>
  </si>
  <si>
    <t>Jeanne Josephines</t>
  </si>
  <si>
    <t>0262237593</t>
  </si>
  <si>
    <t>LTS-034-003</t>
  </si>
  <si>
    <t>8 Allée des Fougères</t>
  </si>
  <si>
    <t>BENARD</t>
  </si>
  <si>
    <t>Joseph Iréné</t>
  </si>
  <si>
    <t>0692923400</t>
  </si>
  <si>
    <t>LTS-034-004</t>
  </si>
  <si>
    <t>10 Allée des Fougères</t>
  </si>
  <si>
    <t>Jean Louis</t>
  </si>
  <si>
    <t>0692594044</t>
  </si>
  <si>
    <t>LTS-034-005</t>
  </si>
  <si>
    <t>6 Allée des Fougères</t>
  </si>
  <si>
    <t>DALELE</t>
  </si>
  <si>
    <t>Marie Paulette</t>
  </si>
  <si>
    <t>0262123860</t>
  </si>
  <si>
    <t>0692101459</t>
  </si>
  <si>
    <t>LTS-034-006</t>
  </si>
  <si>
    <t>26 Chemin des Letchis</t>
  </si>
  <si>
    <t>Paulette</t>
  </si>
  <si>
    <t>0692559278</t>
  </si>
  <si>
    <t>LTS-034-007</t>
  </si>
  <si>
    <t>20 Chemin des Letchis</t>
  </si>
  <si>
    <t>Marie Lucina</t>
  </si>
  <si>
    <t>0692369773</t>
  </si>
  <si>
    <t>LTS-034-008</t>
  </si>
  <si>
    <t>2 Allée des Lataniers</t>
  </si>
  <si>
    <t>0692700443</t>
  </si>
  <si>
    <t>LTS-034-009</t>
  </si>
  <si>
    <t>24 Chemin des Letchis</t>
  </si>
  <si>
    <t>PONTIAC</t>
  </si>
  <si>
    <t>Marie Alexandrine</t>
  </si>
  <si>
    <t>0693949929</t>
  </si>
  <si>
    <t>0693047406</t>
  </si>
  <si>
    <t>LTS-034-010</t>
  </si>
  <si>
    <t>18 Chemin des Letchis</t>
  </si>
  <si>
    <t>0692567398</t>
  </si>
  <si>
    <t>SA SŒURE</t>
  </si>
  <si>
    <t>LTS-034-011</t>
  </si>
  <si>
    <t>2 Allée des Fougères</t>
  </si>
  <si>
    <t>0692596274</t>
  </si>
  <si>
    <t>LTS-034-012</t>
  </si>
  <si>
    <t>1 Allée des Lataniers</t>
  </si>
  <si>
    <t>0692927942</t>
  </si>
  <si>
    <t>LTS-034-013</t>
  </si>
  <si>
    <t>4 Allée des Fougères</t>
  </si>
  <si>
    <t>WONG HANG</t>
  </si>
  <si>
    <t>Johanna Marie</t>
  </si>
  <si>
    <t>0692665132</t>
  </si>
  <si>
    <t>LTS-034-014</t>
  </si>
  <si>
    <t>3 Allée des Fougères</t>
  </si>
  <si>
    <t>ROMILY</t>
  </si>
  <si>
    <t>0692488167</t>
  </si>
  <si>
    <t>LTS-034-015</t>
  </si>
  <si>
    <t>5 Allée des Fougères</t>
  </si>
  <si>
    <t>SAMELOR</t>
  </si>
  <si>
    <t>Johny</t>
  </si>
  <si>
    <t>0692667301</t>
  </si>
  <si>
    <t>telephone_normalise</t>
  </si>
  <si>
    <t>email</t>
  </si>
  <si>
    <t>type_contact</t>
  </si>
  <si>
    <t>date_entree</t>
  </si>
  <si>
    <t>date_sortie</t>
  </si>
  <si>
    <t>motif_sortie</t>
  </si>
  <si>
    <t>telegram_chat_id</t>
  </si>
  <si>
    <t>statut_activation</t>
  </si>
  <si>
    <t>date_activation</t>
  </si>
  <si>
    <t>code_secret</t>
  </si>
  <si>
    <t>secret_utilise</t>
  </si>
  <si>
    <t>tentatives_activation</t>
  </si>
  <si>
    <t>activation_bloquee</t>
  </si>
  <si>
    <t>motif_blocage</t>
  </si>
  <si>
    <t>date_derniere_tentative</t>
  </si>
  <si>
    <t>activation_etape</t>
  </si>
  <si>
    <t>activation_code_temp</t>
  </si>
  <si>
    <t>lien_telegram_start</t>
  </si>
  <si>
    <t>message_activation</t>
  </si>
  <si>
    <t>1001</t>
  </si>
  <si>
    <t>https://t.me/motk_notification_bot?start=LTS-001-001</t>
  </si>
  <si>
    <t>🏛️ Ville de Saint-Denis
Service Habitat – Projet MOTK
Bonjour Fabienne RIVIERE
Activez vos notifications logement :
Lien : https://t.me/motk_notification_bot?start=LTS-001-001
Code secret : 1001
Étapes : 1) Cliquez sur le lien 2) Appuyez sur Start 3) Envoyez votre numéro de téléphone 4) Envoyez votre code secret.</t>
  </si>
  <si>
    <t>1002</t>
  </si>
  <si>
    <t>https://t.me/motk_notification_bot?start=LTS-001-002</t>
  </si>
  <si>
    <t>🏛️ Ville de Saint-Denis
Service Habitat – Projet MOTK
Bonjour Evelyne ARAYE
Activez vos notifications logement :
Lien : https://t.me/motk_notification_bot?start=LTS-001-002
Code secret : 1002
Étapes : 1) Cliquez sur le lien 2) Appuyez sur Start 3) Envoyez votre numéro de téléphone 4) Envoyez votre code secret.</t>
  </si>
  <si>
    <t>1003</t>
  </si>
  <si>
    <t>https://t.me/motk_notification_bot?start=LTS-001-003</t>
  </si>
  <si>
    <t>🏛️ Ville de Saint-Denis
Service Habitat – Projet MOTK
Bonjour Jean Luc ARLANDON
Activez vos notifications logement :
Lien : https://t.me/motk_notification_bot?start=LTS-001-003
Code secret : 1003
Étapes : 1) Cliquez sur le lien 2) Appuyez sur Start 3) Envoyez votre numéro de téléphone 4) Envoyez votre code secret.</t>
  </si>
  <si>
    <t>1004</t>
  </si>
  <si>
    <t>https://t.me/motk_notification_bot?start=LTS-001-004</t>
  </si>
  <si>
    <t>🏛️ Ville de Saint-Denis
Service Habitat – Projet MOTK
Bonjour Jean François CAZAMBO
Activez vos notifications logement :
Lien : https://t.me/motk_notification_bot?start=LTS-001-004
Code secret : 1004
Étapes : 1) Cliquez sur le lien 2) Appuyez sur Start 3) Envoyez votre numéro de téléphone 4) Envoyez votre code secret.</t>
  </si>
  <si>
    <t>1005</t>
  </si>
  <si>
    <t>https://t.me/motk_notification_bot?start=LTS-001-005</t>
  </si>
  <si>
    <t>🏛️ Ville de Saint-Denis
Service Habitat – Projet MOTK
Bonjour Jimmy CHANE LAW
Activez vos notifications logement :
Lien : https://t.me/motk_notification_bot?start=LTS-001-005
Code secret : 1005
Étapes : 1) Cliquez sur le lien 2) Appuyez sur Start 3) Envoyez votre numéro de téléphone 4) Envoyez votre code secret.</t>
  </si>
  <si>
    <t>1006</t>
  </si>
  <si>
    <t>https://t.me/motk_notification_bot?start=LTS-001-006</t>
  </si>
  <si>
    <t>🏛️ Ville de Saint-Denis
Service Habitat – Projet MOTK
Bonjour Stéphane METELLUS
Activez vos notifications logement :
Lien : https://t.me/motk_notification_bot?start=LTS-001-006
Code secret : 1006
Étapes : 1) Cliquez sur le lien 2) Appuyez sur Start 3) Envoyez votre numéro de téléphone 4) Envoyez votre code secret.</t>
  </si>
  <si>
    <t>1007</t>
  </si>
  <si>
    <t>https://t.me/motk_notification_bot?start=LTS-001-007</t>
  </si>
  <si>
    <t>🏛️ Ville de Saint-Denis
Service Habitat – Projet MOTK
Bonjour Armand FICHORA
Activez vos notifications logement :
Lien : https://t.me/motk_notification_bot?start=LTS-001-007
Code secret : 1007
Étapes : 1) Cliquez sur le lien 2) Appuyez sur Start 3) Envoyez votre numéro de téléphone 4) Envoyez votre code secret.</t>
  </si>
  <si>
    <t>1008</t>
  </si>
  <si>
    <t>https://t.me/motk_notification_bot?start=LTS-001-008</t>
  </si>
  <si>
    <t>🏛️ Ville de Saint-Denis
Service Habitat – Projet MOTK
Bonjour Marie LOUISE
Activez vos notifications logement :
Lien : https://t.me/motk_notification_bot?start=LTS-001-008
Code secret : 1008
Étapes : 1) Cliquez sur le lien 2) Appuyez sur Start 3) Envoyez votre numéro de téléphone 4) Envoyez votre code secret.</t>
  </si>
  <si>
    <t>1009</t>
  </si>
  <si>
    <t>https://t.me/motk_notification_bot?start=LTS-001-009</t>
  </si>
  <si>
    <t>🏛️ Ville de Saint-Denis
Service Habitat – Projet MOTK
Bonjour Rita Marie GALTIER
Activez vos notifications logement :
Lien : https://t.me/motk_notification_bot?start=LTS-001-009
Code secret : 1009
Étapes : 1) Cliquez sur le lien 2) Appuyez sur Start 3) Envoyez votre numéro de téléphone 4) Envoyez votre code secret.</t>
  </si>
  <si>
    <t>1010</t>
  </si>
  <si>
    <t>https://t.me/motk_notification_bot?start=LTS-001-010</t>
  </si>
  <si>
    <t>🏛️ Ville de Saint-Denis
Service Habitat – Projet MOTK
Bonjour Rose May GERVILLE
Activez vos notifications logement :
Lien : https://t.me/motk_notification_bot?start=LTS-001-010
Code secret : 1010
Étapes : 1) Cliquez sur le lien 2) Appuyez sur Start 3) Envoyez votre numéro de téléphone 4) Envoyez votre code secret.</t>
  </si>
  <si>
    <t>1011</t>
  </si>
  <si>
    <t>https://t.me/motk_notification_bot?start=LTS-001-011</t>
  </si>
  <si>
    <t>🏛️ Ville de Saint-Denis
Service Habitat – Projet MOTK
Bonjour Ruffine Marie GRENIER
Activez vos notifications logement :
Lien : https://t.me/motk_notification_bot?start=LTS-001-011
Code secret : 1011
Étapes : 1) Cliquez sur le lien 2) Appuyez sur Start 3) Envoyez votre numéro de téléphone 4) Envoyez votre code secret.</t>
  </si>
  <si>
    <t>1012</t>
  </si>
  <si>
    <t>https://t.me/motk_notification_bot?start=LTS-001-012</t>
  </si>
  <si>
    <t>🏛️ Ville de Saint-Denis
Service Habitat – Projet MOTK
Bonjour Willy David SAUTRON
Activez vos notifications logement :
Lien : https://t.me/motk_notification_bot?start=LTS-001-012
Code secret : 1012
Étapes : 1) Cliquez sur le lien 2) Appuyez sur Start 3) Envoyez votre numéro de téléphone 4) Envoyez votre code secret.</t>
  </si>
  <si>
    <t>1013</t>
  </si>
  <si>
    <t>https://t.me/motk_notification_bot?start=LTS-001-013</t>
  </si>
  <si>
    <t>🏛️ Ville de Saint-Denis
Service Habitat – Projet MOTK
Bonjour Philippe LAFABLE
Activez vos notifications logement :
Lien : https://t.me/motk_notification_bot?start=LTS-001-013
Code secret : 1013
Étapes : 1) Cliquez sur le lien 2) Appuyez sur Start 3) Envoyez votre numéro de téléphone 4) Envoyez votre code secret.</t>
  </si>
  <si>
    <t>1014</t>
  </si>
  <si>
    <t>https://t.me/motk_notification_bot?start=LTS-001-014</t>
  </si>
  <si>
    <t>🏛️ Ville de Saint-Denis
Service Habitat – Projet MOTK
Bonjour Jean René LAURENT
Activez vos notifications logement :
Lien : https://t.me/motk_notification_bot?start=LTS-001-014
Code secret : 1014
Étapes : 1) Cliquez sur le lien 2) Appuyez sur Start 3) Envoyez votre numéro de téléphone 4) Envoyez votre code secret.</t>
  </si>
  <si>
    <t>1015</t>
  </si>
  <si>
    <t>https://t.me/motk_notification_bot?start=LTS-001-015</t>
  </si>
  <si>
    <t>🏛️ Ville de Saint-Denis
Service Habitat – Projet MOTK
Bonjour Jean Bernard LAURENT
Activez vos notifications logement :
Lien : https://t.me/motk_notification_bot?start=LTS-001-015
Code secret : 1015
Étapes : 1) Cliquez sur le lien 2) Appuyez sur Start 3) Envoyez votre numéro de téléphone 4) Envoyez votre code secret.</t>
  </si>
  <si>
    <t>1016</t>
  </si>
  <si>
    <t>https://t.me/motk_notification_bot?start=LTS-001-016</t>
  </si>
  <si>
    <t>🏛️ Ville de Saint-Denis
Service Habitat – Projet MOTK
Bonjour Claude MARKA
Activez vos notifications logement :
Lien : https://t.me/motk_notification_bot?start=LTS-001-016
Code secret : 1016
Étapes : 1) Cliquez sur le lien 2) Appuyez sur Start 3) Envoyez votre numéro de téléphone 4) Envoyez votre code secret.</t>
  </si>
  <si>
    <t>1017</t>
  </si>
  <si>
    <t>https://t.me/motk_notification_bot?start=LTS-001-017</t>
  </si>
  <si>
    <t>🏛️ Ville de Saint-Denis
Service Habitat – Projet MOTK
Bonjour Jacques Antoine MOUTOUSSAMY
Activez vos notifications logement :
Lien : https://t.me/motk_notification_bot?start=LTS-001-017
Code secret : 1017
Étapes : 1) Cliquez sur le lien 2) Appuyez sur Start 3) Envoyez votre numéro de téléphone 4) Envoyez votre code secret.</t>
  </si>
  <si>
    <t>1018</t>
  </si>
  <si>
    <t>https://t.me/motk_notification_bot?start=LTS-001-018</t>
  </si>
  <si>
    <t>🏛️ Ville de Saint-Denis
Service Habitat – Projet MOTK
Bonjour Josiane Aline PAYET
Activez vos notifications logement :
Lien : https://t.me/motk_notification_bot?start=LTS-001-018
Code secret : 1018
Étapes : 1) Cliquez sur le lien 2) Appuyez sur Start 3) Envoyez votre numéro de téléphone 4) Envoyez votre code secret.</t>
  </si>
  <si>
    <t>1019</t>
  </si>
  <si>
    <t>https://t.me/motk_notification_bot?start=LTS-001-019</t>
  </si>
  <si>
    <t>🏛️ Ville de Saint-Denis
Service Habitat – Projet MOTK
Bonjour Jean Patrick ROBERT
Activez vos notifications logement :
Lien : https://t.me/motk_notification_bot?start=LTS-001-019
Code secret : 1019
Étapes : 1) Cliquez sur le lien 2) Appuyez sur Start 3) Envoyez votre numéro de téléphone 4) Envoyez votre code secret.</t>
  </si>
  <si>
    <t>1020</t>
  </si>
  <si>
    <t>https://t.me/motk_notification_bot?start=LTS-001-020</t>
  </si>
  <si>
    <t>🏛️ Ville de Saint-Denis
Service Habitat – Projet MOTK
Bonjour Marie Virginie REFANE
Activez vos notifications logement :
Lien : https://t.me/motk_notification_bot?start=LTS-001-020
Code secret : 1020
Étapes : 1) Cliquez sur le lien 2) Appuyez sur Start 3) Envoyez votre numéro de téléphone 4) Envoyez votre code secret.</t>
  </si>
  <si>
    <t>1021</t>
  </si>
  <si>
    <t>https://t.me/motk_notification_bot?start=LTS-001-021</t>
  </si>
  <si>
    <t>🏛️ Ville de Saint-Denis
Service Habitat – Projet MOTK
Bonjour Henriette SINAPAYEN SINAMALE
Activez vos notifications logement :
Lien : https://t.me/motk_notification_bot?start=LTS-001-021
Code secret : 1021
Étapes : 1) Cliquez sur le lien 2) Appuyez sur Start 3) Envoyez votre numéro de téléphone 4) Envoyez votre code secret.</t>
  </si>
  <si>
    <t>1022</t>
  </si>
  <si>
    <t>https://t.me/motk_notification_bot?start=LTS-001-022</t>
  </si>
  <si>
    <t>🏛️ Ville de Saint-Denis
Service Habitat – Projet MOTK
Bonjour GREGORY MARKA
Activez vos notifications logement :
Lien : https://t.me/motk_notification_bot?start=LTS-001-022
Code secret : 1022
Étapes : 1) Cliquez sur le lien 2) Appuyez sur Start 3) Envoyez votre numéro de téléphone 4) Envoyez votre code secret.</t>
  </si>
  <si>
    <t>1023</t>
  </si>
  <si>
    <t>https://t.me/motk_notification_bot?start=LTS-001-023</t>
  </si>
  <si>
    <t>🏛️ Ville de Saint-Denis
Service Habitat – Projet MOTK
Bonjour Jean Fabrice TECHER
Activez vos notifications logement :
Lien : https://t.me/motk_notification_bot?start=LTS-001-023
Code secret : 1023
Étapes : 1) Cliquez sur le lien 2) Appuyez sur Start 3) Envoyez votre numéro de téléphone 4) Envoyez votre code secret.</t>
  </si>
  <si>
    <t>1024</t>
  </si>
  <si>
    <t>https://t.me/motk_notification_bot?start=LTS-001-024</t>
  </si>
  <si>
    <t>🏛️ Ville de Saint-Denis
Service Habitat – Projet MOTK
Bonjour Joseph Francis TECHER
Activez vos notifications logement :
Lien : https://t.me/motk_notification_bot?start=LTS-001-024
Code secret : 1024
Étapes : 1) Cliquez sur le lien 2) Appuyez sur Start 3) Envoyez votre numéro de téléphone 4) Envoyez votre code secret.</t>
  </si>
  <si>
    <t>1025</t>
  </si>
  <si>
    <t>https://t.me/motk_notification_bot?start=LTS-001-025</t>
  </si>
  <si>
    <t>🏛️ Ville de Saint-Denis
Service Habitat – Projet MOTK
Bonjour Marie-Josée VIRAPIN CAROUMBIN
Activez vos notifications logement :
Lien : https://t.me/motk_notification_bot?start=LTS-001-025
Code secret : 1025
Étapes : 1) Cliquez sur le lien 2) Appuyez sur Start 3) Envoyez votre numéro de téléphone 4) Envoyez votre code secret.</t>
  </si>
  <si>
    <t>1026</t>
  </si>
  <si>
    <t>https://t.me/motk_notification_bot?start=LTS-001-026</t>
  </si>
  <si>
    <t>🏛️ Ville de Saint-Denis
Service Habitat – Projet MOTK
Bonjour Laurianne Emmanuelle CORRE
Activez vos notifications logement :
Lien : https://t.me/motk_notification_bot?start=LTS-001-026
Code secret : 1026
Étapes : 1) Cliquez sur le lien 2) Appuyez sur Start 3) Envoyez votre numéro de téléphone 4) Envoyez votre code secret.</t>
  </si>
  <si>
    <t>1027</t>
  </si>
  <si>
    <t>https://t.me/motk_notification_bot?start=LTS-001-027</t>
  </si>
  <si>
    <t>🏛️ Ville de Saint-Denis
Service Habitat – Projet MOTK
Bonjour André Claude SEVERIN
Activez vos notifications logement :
Lien : https://t.me/motk_notification_bot?start=LTS-001-027
Code secret : 1027
Étapes : 1) Cliquez sur le lien 2) Appuyez sur Start 3) Envoyez votre numéro de téléphone 4) Envoyez votre code secret.</t>
  </si>
  <si>
    <t>1028</t>
  </si>
  <si>
    <t>https://t.me/motk_notification_bot?start=LTS-001-028</t>
  </si>
  <si>
    <t>🏛️ Ville de Saint-Denis
Service Habitat – Projet MOTK
Bonjour Thomas LAURENT
Activez vos notifications logement :
Lien : https://t.me/motk_notification_bot?start=LTS-001-028
Code secret : 1028
Étapes : 1) Cliquez sur le lien 2) Appuyez sur Start 3) Envoyez votre numéro de téléphone 4) Envoyez votre code secret.</t>
  </si>
  <si>
    <t>1029</t>
  </si>
  <si>
    <t>https://t.me/motk_notification_bot?start=LTS-001-029</t>
  </si>
  <si>
    <t>🏛️ Ville de Saint-Denis
Service Habitat – Projet MOTK
Bonjour Jean Alain LAURENT
Activez vos notifications logement :
Lien : https://t.me/motk_notification_bot?start=LTS-001-029
Code secret : 1029
Étapes : 1) Cliquez sur le lien 2) Appuyez sur Start 3) Envoyez votre numéro de téléphone 4) Envoyez votre code secret.</t>
  </si>
  <si>
    <t>1030</t>
  </si>
  <si>
    <t>https://t.me/motk_notification_bot?start=LTS-001-030</t>
  </si>
  <si>
    <t>🏛️ Ville de Saint-Denis
Service Habitat – Projet MOTK
Bonjour Marie Hélène FIBAC
Activez vos notifications logement :
Lien : https://t.me/motk_notification_bot?start=LTS-001-030
Code secret : 1030
Étapes : 1) Cliquez sur le lien 2) Appuyez sur Start 3) Envoyez votre numéro de téléphone 4) Envoyez votre code secret.</t>
  </si>
  <si>
    <t>1031</t>
  </si>
  <si>
    <t>https://t.me/motk_notification_bot?start=LTS-002-001</t>
  </si>
  <si>
    <t>🏛️ Ville de Saint-Denis
Service Habitat – Projet MOTK
Bonjour Marie Françoise ANDRIANA
Activez vos notifications logement :
Lien : https://t.me/motk_notification_bot?start=LTS-002-001
Code secret : 1031
Étapes : 1) Cliquez sur le lien 2) Appuyez sur Start 3) Envoyez votre numéro de téléphone 4) Envoyez votre code secret.</t>
  </si>
  <si>
    <t>1032</t>
  </si>
  <si>
    <t>https://t.me/motk_notification_bot?start=LTS-002-002</t>
  </si>
  <si>
    <t>🏛️ Ville de Saint-Denis
Service Habitat – Projet MOTK
Bonjour Jean  Patrick HIVANHOE
Activez vos notifications logement :
Lien : https://t.me/motk_notification_bot?start=LTS-002-002
Code secret : 1032
Étapes : 1) Cliquez sur le lien 2) Appuyez sur Start 3) Envoyez votre numéro de téléphone 4) Envoyez votre code secret.</t>
  </si>
  <si>
    <t>1033</t>
  </si>
  <si>
    <t>https://t.me/motk_notification_bot?start=LTS-002-003</t>
  </si>
  <si>
    <t>🏛️ Ville de Saint-Denis
Service Habitat – Projet MOTK
Bonjour Clarisse Alida MASSEAUX
Activez vos notifications logement :
Lien : https://t.me/motk_notification_bot?start=LTS-002-003
Code secret : 1033
Étapes : 1) Cliquez sur le lien 2) Appuyez sur Start 3) Envoyez votre numéro de téléphone 4) Envoyez votre code secret.</t>
  </si>
  <si>
    <t>1034</t>
  </si>
  <si>
    <t>https://t.me/motk_notification_bot?start=LTS-003-001</t>
  </si>
  <si>
    <t>🏛️ Ville de Saint-Denis
Service Habitat – Projet MOTK
Bonjour Emmanuelle Anne Gaëlle IMAHO
Activez vos notifications logement :
Lien : https://t.me/motk_notification_bot?start=LTS-003-001
Code secret : 1034
Étapes : 1) Cliquez sur le lien 2) Appuyez sur Start 3) Envoyez votre numéro de téléphone 4) Envoyez votre code secret.</t>
  </si>
  <si>
    <t>1035</t>
  </si>
  <si>
    <t>https://t.me/motk_notification_bot?start=LTS-003-002</t>
  </si>
  <si>
    <t>🏛️ Ville de Saint-Denis
Service Habitat – Projet MOTK
Bonjour occupé en attente decision IFIANTEPIA
Activez vos notifications logement :
Lien : https://t.me/motk_notification_bot?start=LTS-003-002
Code secret : 1035
Étapes : 1) Cliquez sur le lien 2) Appuyez sur Start 3) Envoyez votre numéro de téléphone 4) Envoyez votre code secret.</t>
  </si>
  <si>
    <t>1036</t>
  </si>
  <si>
    <t>https://t.me/motk_notification_bot?start=LTS-003-003</t>
  </si>
  <si>
    <t>🏛️ Ville de Saint-Denis
Service Habitat – Projet MOTK
Bonjour Marie Micheline THOMAS NÉE TURPIN
Activez vos notifications logement :
Lien : https://t.me/motk_notification_bot?start=LTS-003-003
Code secret : 1036
Étapes : 1) Cliquez sur le lien 2) Appuyez sur Start 3) Envoyez votre numéro de téléphone 4) Envoyez votre code secret.</t>
  </si>
  <si>
    <t>1037</t>
  </si>
  <si>
    <t>https://t.me/motk_notification_bot?start=LTS-003-004</t>
  </si>
  <si>
    <t>🏛️ Ville de Saint-Denis
Service Habitat – Projet MOTK
Bonjour Joachim POLEYA
Activez vos notifications logement :
Lien : https://t.me/motk_notification_bot?start=LTS-003-004
Code secret : 1037
Étapes : 1) Cliquez sur le lien 2) Appuyez sur Start 3) Envoyez votre numéro de téléphone 4) Envoyez votre code secret.</t>
  </si>
  <si>
    <t>1038</t>
  </si>
  <si>
    <t>https://t.me/motk_notification_bot?start=LTS-004-001</t>
  </si>
  <si>
    <t>🏛️ Ville de Saint-Denis
Service Habitat – Projet MOTK
Bonjour Marie Thérèse ABDALAH BEDANI
Activez vos notifications logement :
Lien : https://t.me/motk_notification_bot?start=LTS-004-001
Code secret : 1038
Étapes : 1) Cliquez sur le lien 2) Appuyez sur Start 3) Envoyez votre numéro de téléphone 4) Envoyez votre code secret.</t>
  </si>
  <si>
    <t>1039</t>
  </si>
  <si>
    <t>https://t.me/motk_notification_bot?start=LTS-004-002</t>
  </si>
  <si>
    <t>🏛️ Ville de Saint-Denis
Service Habitat – Projet MOTK
Bonjour  MAILLOT
Activez vos notifications logement :
Lien : https://t.me/motk_notification_bot?start=LTS-004-002
Code secret : 1039
Étapes : 1) Cliquez sur le lien 2) Appuyez sur Start 3) Envoyez votre numéro de téléphone 4) Envoyez votre code secret.</t>
  </si>
  <si>
    <t>1040</t>
  </si>
  <si>
    <t>https://t.me/motk_notification_bot?start=LTS-004-003</t>
  </si>
  <si>
    <t>🏛️ Ville de Saint-Denis
Service Habitat – Projet MOTK
Bonjour Maximin CARPIN VELLEYEN
Activez vos notifications logement :
Lien : https://t.me/motk_notification_bot?start=LTS-004-003
Code secret : 1040
Étapes : 1) Cliquez sur le lien 2) Appuyez sur Start 3) Envoyez votre numéro de téléphone 4) Envoyez votre code secret.</t>
  </si>
  <si>
    <t>1041</t>
  </si>
  <si>
    <t>https://t.me/motk_notification_bot?start=LTS-004-004</t>
  </si>
  <si>
    <t>🏛️ Ville de Saint-Denis
Service Habitat – Projet MOTK
Bonjour Christian Daniel CLAIN
Activez vos notifications logement :
Lien : https://t.me/motk_notification_bot?start=LTS-004-004
Code secret : 1041
Étapes : 1) Cliquez sur le lien 2) Appuyez sur Start 3) Envoyez votre numéro de téléphone 4) Envoyez votre code secret.</t>
  </si>
  <si>
    <t>1042</t>
  </si>
  <si>
    <t>https://t.me/motk_notification_bot?start=LTS-004-005</t>
  </si>
  <si>
    <t>🏛️ Ville de Saint-Denis
Service Habitat – Projet MOTK
Bonjour Yves Joseph ELEONORE
Activez vos notifications logement :
Lien : https://t.me/motk_notification_bot?start=LTS-004-005
Code secret : 1042
Étapes : 1) Cliquez sur le lien 2) Appuyez sur Start 3) Envoyez votre numéro de téléphone 4) Envoyez votre code secret.</t>
  </si>
  <si>
    <t>1043</t>
  </si>
  <si>
    <t>https://t.me/motk_notification_bot?start=LTS-004-006</t>
  </si>
  <si>
    <t>🏛️ Ville de Saint-Denis
Service Habitat – Projet MOTK
Bonjour Marie Régine ERINACINT
Activez vos notifications logement :
Lien : https://t.me/motk_notification_bot?start=LTS-004-006
Code secret : 1043
Étapes : 1) Cliquez sur le lien 2) Appuyez sur Start 3) Envoyez votre numéro de téléphone 4) Envoyez votre code secret.</t>
  </si>
  <si>
    <t>1044</t>
  </si>
  <si>
    <t>https://t.me/motk_notification_bot?start=LTS-004-007</t>
  </si>
  <si>
    <t>🏛️ Ville de Saint-Denis
Service Habitat – Projet MOTK
Bonjour Marie Rose Andrée ESPARON
Activez vos notifications logement :
Lien : https://t.me/motk_notification_bot?start=LTS-004-007
Code secret : 1044
Étapes : 1) Cliquez sur le lien 2) Appuyez sur Start 3) Envoyez votre numéro de téléphone 4) Envoyez votre code secret.</t>
  </si>
  <si>
    <t>1045</t>
  </si>
  <si>
    <t>https://t.me/motk_notification_bot?start=LTS-004-008</t>
  </si>
  <si>
    <t>🏛️ Ville de Saint-Denis
Service Habitat – Projet MOTK
Bonjour Joseph Jean Yves GRONDIN
Activez vos notifications logement :
Lien : https://t.me/motk_notification_bot?start=LTS-004-008
Code secret : 1045
Étapes : 1) Cliquez sur le lien 2) Appuyez sur Start 3) Envoyez votre numéro de téléphone 4) Envoyez votre code secret.</t>
  </si>
  <si>
    <t>1046</t>
  </si>
  <si>
    <t>https://t.me/motk_notification_bot?start=LTS-004-009</t>
  </si>
  <si>
    <t>🏛️ Ville de Saint-Denis
Service Habitat – Projet MOTK
Bonjour Yousouf IBRAHIM
Activez vos notifications logement :
Lien : https://t.me/motk_notification_bot?start=LTS-004-009
Code secret : 1046
Étapes : 1) Cliquez sur le lien 2) Appuyez sur Start 3) Envoyez votre numéro de téléphone 4) Envoyez votre code secret.</t>
  </si>
  <si>
    <t>1047</t>
  </si>
  <si>
    <t>https://t.me/motk_notification_bot?start=LTS-004-010</t>
  </si>
  <si>
    <t>🏛️ Ville de Saint-Denis
Service Habitat – Projet MOTK
Bonjour Marie Denise JOVIEN
Activez vos notifications logement :
Lien : https://t.me/motk_notification_bot?start=LTS-004-010
Code secret : 1047
Étapes : 1) Cliquez sur le lien 2) Appuyez sur Start 3) Envoyez votre numéro de téléphone 4) Envoyez votre code secret.</t>
  </si>
  <si>
    <t>1048</t>
  </si>
  <si>
    <t>https://t.me/motk_notification_bot?start=LTS-004-011</t>
  </si>
  <si>
    <t>🏛️ Ville de Saint-Denis
Service Habitat – Projet MOTK
Bonjour Marie Françoise KAVO
Activez vos notifications logement :
Lien : https://t.me/motk_notification_bot?start=LTS-004-011
Code secret : 1048
Étapes : 1) Cliquez sur le lien 2) Appuyez sur Start 3) Envoyez votre numéro de téléphone 4) Envoyez votre code secret.</t>
  </si>
  <si>
    <t>1049</t>
  </si>
  <si>
    <t>https://t.me/motk_notification_bot?start=LTS-004-012</t>
  </si>
  <si>
    <t>🏛️ Ville de Saint-Denis
Service Habitat – Projet MOTK
Bonjour Yvette Marie Céline LAVAL
Activez vos notifications logement :
Lien : https://t.me/motk_notification_bot?start=LTS-004-012
Code secret : 1049
Étapes : 1) Cliquez sur le lien 2) Appuyez sur Start 3) Envoyez votre numéro de téléphone 4) Envoyez votre code secret.</t>
  </si>
  <si>
    <t>1050</t>
  </si>
  <si>
    <t>https://t.me/motk_notification_bot?start=LTS-004-013</t>
  </si>
  <si>
    <t>🏛️ Ville de Saint-Denis
Service Habitat – Projet MOTK
Bonjour Halima MADJINDA
Activez vos notifications logement :
Lien : https://t.me/motk_notification_bot?start=LTS-004-013
Code secret : 1050
Étapes : 1) Cliquez sur le lien 2) Appuyez sur Start 3) Envoyez votre numéro de téléphone 4) Envoyez votre code secret.</t>
  </si>
  <si>
    <t>1051</t>
  </si>
  <si>
    <t>https://t.me/motk_notification_bot?start=LTS-004-014</t>
  </si>
  <si>
    <t>🏛️ Ville de Saint-Denis
Service Habitat – Projet MOTK
Bonjour Marie Mélanie MARKA
Activez vos notifications logement :
Lien : https://t.me/motk_notification_bot?start=LTS-004-014
Code secret : 1051
Étapes : 1) Cliquez sur le lien 2) Appuyez sur Start 3) Envoyez votre numéro de téléphone 4) Envoyez votre code secret.</t>
  </si>
  <si>
    <t>1052</t>
  </si>
  <si>
    <t>https://t.me/motk_notification_bot?start=LTS-004-015</t>
  </si>
  <si>
    <t>🏛️ Ville de Saint-Denis
Service Habitat – Projet MOTK
Bonjour Oussoufi M'HOUMADI
Activez vos notifications logement :
Lien : https://t.me/motk_notification_bot?start=LTS-004-015
Code secret : 1052
Étapes : 1) Cliquez sur le lien 2) Appuyez sur Start 3) Envoyez votre numéro de téléphone 4) Envoyez votre code secret.</t>
  </si>
  <si>
    <t>1053</t>
  </si>
  <si>
    <t>https://t.me/motk_notification_bot?start=LTS-004-016</t>
  </si>
  <si>
    <t>🏛️ Ville de Saint-Denis
Service Habitat – Projet MOTK
Bonjour  MAHABO
Activez vos notifications logement :
Lien : https://t.me/motk_notification_bot?start=LTS-004-016
Code secret : 1053
Étapes : 1) Cliquez sur le lien 2) Appuyez sur Start 3) Envoyez votre numéro de téléphone 4) Envoyez votre code secret.</t>
  </si>
  <si>
    <t>1054</t>
  </si>
  <si>
    <t>https://t.me/motk_notification_bot?start=LTS-004-017</t>
  </si>
  <si>
    <t>🏛️ Ville de Saint-Denis
Service Habitat – Projet MOTK
Bonjour Simone PAROS
Activez vos notifications logement :
Lien : https://t.me/motk_notification_bot?start=LTS-004-017
Code secret : 1054
Étapes : 1) Cliquez sur le lien 2) Appuyez sur Start 3) Envoyez votre numéro de téléphone 4) Envoyez votre code secret.</t>
  </si>
  <si>
    <t>1055</t>
  </si>
  <si>
    <t>https://t.me/motk_notification_bot?start=LTS-004-018</t>
  </si>
  <si>
    <t>🏛️ Ville de Saint-Denis
Service Habitat – Projet MOTK
Bonjour David PAYET
Activez vos notifications logement :
Lien : https://t.me/motk_notification_bot?start=LTS-004-018
Code secret : 1055
Étapes : 1) Cliquez sur le lien 2) Appuyez sur Start 3) Envoyez votre numéro de téléphone 4) Envoyez votre code secret.</t>
  </si>
  <si>
    <t>1056</t>
  </si>
  <si>
    <t>https://t.me/motk_notification_bot?start=LTS-004-019</t>
  </si>
  <si>
    <t>🏛️ Ville de Saint-Denis
Service Habitat – Projet MOTK
Bonjour Marie Danielle PAYET
Activez vos notifications logement :
Lien : https://t.me/motk_notification_bot?start=LTS-004-019
Code secret : 1056
Étapes : 1) Cliquez sur le lien 2) Appuyez sur Start 3) Envoyez votre numéro de téléphone 4) Envoyez votre code secret.</t>
  </si>
  <si>
    <t>1057</t>
  </si>
  <si>
    <t>https://t.me/motk_notification_bot?start=LTS-004-020</t>
  </si>
  <si>
    <t>🏛️ Ville de Saint-Denis
Service Habitat – Projet MOTK
Bonjour Fatema RAVAT
Activez vos notifications logement :
Lien : https://t.me/motk_notification_bot?start=LTS-004-020
Code secret : 1057
Étapes : 1) Cliquez sur le lien 2) Appuyez sur Start 3) Envoyez votre numéro de téléphone 4) Envoyez votre code secret.</t>
  </si>
  <si>
    <t>1058</t>
  </si>
  <si>
    <t>https://t.me/motk_notification_bot?start=LTS-004-021</t>
  </si>
  <si>
    <t>🏛️ Ville de Saint-Denis
Service Habitat – Projet MOTK
Bonjour Patricia ROSENTAL
Activez vos notifications logement :
Lien : https://t.me/motk_notification_bot?start=LTS-004-021
Code secret : 1058
Étapes : 1) Cliquez sur le lien 2) Appuyez sur Start 3) Envoyez votre numéro de téléphone 4) Envoyez votre code secret.</t>
  </si>
  <si>
    <t>1059</t>
  </si>
  <si>
    <t>https://t.me/motk_notification_bot?start=LTS-004-022</t>
  </si>
  <si>
    <t>🏛️ Ville de Saint-Denis
Service Habitat – Projet MOTK
Bonjour Jean Eric et Joseph Raoul SABABADICHETTY
Activez vos notifications logement :
Lien : https://t.me/motk_notification_bot?start=LTS-004-022
Code secret : 1059
Étapes : 1) Cliquez sur le lien 2) Appuyez sur Start 3) Envoyez votre numéro de téléphone 4) Envoyez votre code secret.</t>
  </si>
  <si>
    <t>1060</t>
  </si>
  <si>
    <t>https://t.me/motk_notification_bot?start=LTS-004-023</t>
  </si>
  <si>
    <t>🏛️ Ville de Saint-Denis
Service Habitat – Projet MOTK
Bonjour Brice SALEM
Activez vos notifications logement :
Lien : https://t.me/motk_notification_bot?start=LTS-004-023
Code secret : 1060
Étapes : 1) Cliquez sur le lien 2) Appuyez sur Start 3) Envoyez votre numéro de téléphone 4) Envoyez votre code secret.</t>
  </si>
  <si>
    <t>1061</t>
  </si>
  <si>
    <t>https://t.me/motk_notification_bot?start=LTS-004-024</t>
  </si>
  <si>
    <t>🏛️ Ville de Saint-Denis
Service Habitat – Projet MOTK
Bonjour Eva Bibi SANOLAH
Activez vos notifications logement :
Lien : https://t.me/motk_notification_bot?start=LTS-004-024
Code secret : 1061
Étapes : 1) Cliquez sur le lien 2) Appuyez sur Start 3) Envoyez votre numéro de téléphone 4) Envoyez votre code secret.</t>
  </si>
  <si>
    <t>1062</t>
  </si>
  <si>
    <t>https://t.me/motk_notification_bot?start=LTS-004-025</t>
  </si>
  <si>
    <t>🏛️ Ville de Saint-Denis
Service Habitat – Projet MOTK
Bonjour Fabrice ELIZEON
Activez vos notifications logement :
Lien : https://t.me/motk_notification_bot?start=LTS-004-025
Code secret : 1062
Étapes : 1) Cliquez sur le lien 2) Appuyez sur Start 3) Envoyez votre numéro de téléphone 4) Envoyez votre code secret.</t>
  </si>
  <si>
    <t>1063</t>
  </si>
  <si>
    <t>https://t.me/motk_notification_bot?start=LTS-005-001</t>
  </si>
  <si>
    <t>🏛️ Ville de Saint-Denis
Service Habitat – Projet MOTK
Bonjour Darina ARABOUT
Activez vos notifications logement :
Lien : https://t.me/motk_notification_bot?start=LTS-005-001
Code secret : 1063
Étapes : 1) Cliquez sur le lien 2) Appuyez sur Start 3) Envoyez votre numéro de téléphone 4) Envoyez votre code secret.</t>
  </si>
  <si>
    <t>1064</t>
  </si>
  <si>
    <t>https://t.me/motk_notification_bot?start=LTS-005-002</t>
  </si>
  <si>
    <t>🏛️ Ville de Saint-Denis
Service Habitat – Projet MOTK
Bonjour Frédéric BELVISEE
Activez vos notifications logement :
Lien : https://t.me/motk_notification_bot?start=LTS-005-002
Code secret : 1064
Étapes : 1) Cliquez sur le lien 2) Appuyez sur Start 3) Envoyez votre numéro de téléphone 4) Envoyez votre code secret.</t>
  </si>
  <si>
    <t>1065</t>
  </si>
  <si>
    <t>https://t.me/motk_notification_bot?start=LTS-005-003</t>
  </si>
  <si>
    <t>🏛️ Ville de Saint-Denis
Service Habitat – Projet MOTK
Bonjour Marie Sylvie ROBERT
Activez vos notifications logement :
Lien : https://t.me/motk_notification_bot?start=LTS-005-003
Code secret : 1065
Étapes : 1) Cliquez sur le lien 2) Appuyez sur Start 3) Envoyez votre numéro de téléphone 4) Envoyez votre code secret.</t>
  </si>
  <si>
    <t>1066</t>
  </si>
  <si>
    <t>https://t.me/motk_notification_bot?start=LTS-005-004</t>
  </si>
  <si>
    <t>🏛️ Ville de Saint-Denis
Service Habitat – Projet MOTK
Bonjour Mimose BOYER
Activez vos notifications logement :
Lien : https://t.me/motk_notification_bot?start=LTS-005-004
Code secret : 1066
Étapes : 1) Cliquez sur le lien 2) Appuyez sur Start 3) Envoyez votre numéro de téléphone 4) Envoyez votre code secret.</t>
  </si>
  <si>
    <t>1067</t>
  </si>
  <si>
    <t>https://t.me/motk_notification_bot?start=LTS-005-005</t>
  </si>
  <si>
    <t>🏛️ Ville de Saint-Denis
Service Habitat – Projet MOTK
Bonjour Cyril Joseph BOYER
Activez vos notifications logement :
Lien : https://t.me/motk_notification_bot?start=LTS-005-005
Code secret : 1067
Étapes : 1) Cliquez sur le lien 2) Appuyez sur Start 3) Envoyez votre numéro de téléphone 4) Envoyez votre code secret.</t>
  </si>
  <si>
    <t>1068</t>
  </si>
  <si>
    <t>https://t.me/motk_notification_bot?start=LTS-005-006</t>
  </si>
  <si>
    <t>🏛️ Ville de Saint-Denis
Service Habitat – Projet MOTK
Bonjour Camille Joël ROCROU
Activez vos notifications logement :
Lien : https://t.me/motk_notification_bot?start=LTS-005-006
Code secret : 1068
Étapes : 1) Cliquez sur le lien 2) Appuyez sur Start 3) Envoyez votre numéro de téléphone 4) Envoyez votre code secret.</t>
  </si>
  <si>
    <t>1069</t>
  </si>
  <si>
    <t>https://t.me/motk_notification_bot?start=LTS-005-007</t>
  </si>
  <si>
    <t>🏛️ Ville de Saint-Denis
Service Habitat – Projet MOTK
Bonjour Dounia CHNAYTI
Activez vos notifications logement :
Lien : https://t.me/motk_notification_bot?start=LTS-005-007
Code secret : 1069
Étapes : 1) Cliquez sur le lien 2) Appuyez sur Start 3) Envoyez votre numéro de téléphone 4) Envoyez votre code secret.</t>
  </si>
  <si>
    <t>1070</t>
  </si>
  <si>
    <t>https://t.me/motk_notification_bot?start=LTS-005-008</t>
  </si>
  <si>
    <t>🏛️ Ville de Saint-Denis
Service Habitat – Projet MOTK
Bonjour Jenifer HOAREAU
Activez vos notifications logement :
Lien : https://t.me/motk_notification_bot?start=LTS-005-008
Code secret : 1070
Étapes : 1) Cliquez sur le lien 2) Appuyez sur Start 3) Envoyez votre numéro de téléphone 4) Envoyez votre code secret.</t>
  </si>
  <si>
    <t>1071</t>
  </si>
  <si>
    <t>https://t.me/motk_notification_bot?start=LTS-005-009</t>
  </si>
  <si>
    <t>🏛️ Ville de Saint-Denis
Service Habitat – Projet MOTK
Bonjour Marie Michèle GRONDIN
Activez vos notifications logement :
Lien : https://t.me/motk_notification_bot?start=LTS-005-009
Code secret : 1071
Étapes : 1) Cliquez sur le lien 2) Appuyez sur Start 3) Envoyez votre numéro de téléphone 4) Envoyez votre code secret.</t>
  </si>
  <si>
    <t>1072</t>
  </si>
  <si>
    <t>https://t.me/motk_notification_bot?start=LTS-005-010</t>
  </si>
  <si>
    <t>🏛️ Ville de Saint-Denis
Service Habitat – Projet MOTK
Bonjour Suzette Lourdes HOAREAU
Activez vos notifications logement :
Lien : https://t.me/motk_notification_bot?start=LTS-005-010
Code secret : 1072
Étapes : 1) Cliquez sur le lien 2) Appuyez sur Start 3) Envoyez votre numéro de téléphone 4) Envoyez votre code secret.</t>
  </si>
  <si>
    <t>1073</t>
  </si>
  <si>
    <t>https://t.me/motk_notification_bot?start=LTS-005-011</t>
  </si>
  <si>
    <t>🏛️ Ville de Saint-Denis
Service Habitat – Projet MOTK
Bonjour Marie Ingrid HUET
Activez vos notifications logement :
Lien : https://t.me/motk_notification_bot?start=LTS-005-011
Code secret : 1073
Étapes : 1) Cliquez sur le lien 2) Appuyez sur Start 3) Envoyez votre numéro de téléphone 4) Envoyez votre code secret.</t>
  </si>
  <si>
    <t>1074</t>
  </si>
  <si>
    <t>https://t.me/motk_notification_bot?start=LTS-005-012</t>
  </si>
  <si>
    <t>🏛️ Ville de Saint-Denis
Service Habitat – Projet MOTK
Bonjour Béatrice ICHOUZA
Activez vos notifications logement :
Lien : https://t.me/motk_notification_bot?start=LTS-005-012
Code secret : 1074
Étapes : 1) Cliquez sur le lien 2) Appuyez sur Start 3) Envoyez votre numéro de téléphone 4) Envoyez votre code secret.</t>
  </si>
  <si>
    <t>1075</t>
  </si>
  <si>
    <t>https://t.me/motk_notification_bot?start=LTS-005-013</t>
  </si>
  <si>
    <t>🏛️ Ville de Saint-Denis
Service Habitat – Projet MOTK
Bonjour Marie Gladys ICHOUZA
Activez vos notifications logement :
Lien : https://t.me/motk_notification_bot?start=LTS-005-013
Code secret : 1075
Étapes : 1) Cliquez sur le lien 2) Appuyez sur Start 3) Envoyez votre numéro de téléphone 4) Envoyez votre code secret.</t>
  </si>
  <si>
    <t>1076</t>
  </si>
  <si>
    <t>https://t.me/motk_notification_bot?start=LTS-005-014</t>
  </si>
  <si>
    <t>🏛️ Ville de Saint-Denis
Service Habitat – Projet MOTK
Bonjour Marie Rita IMIRA
Activez vos notifications logement :
Lien : https://t.me/motk_notification_bot?start=LTS-005-014
Code secret : 1076
Étapes : 1) Cliquez sur le lien 2) Appuyez sur Start 3) Envoyez votre numéro de téléphone 4) Envoyez votre code secret.</t>
  </si>
  <si>
    <t>1077</t>
  </si>
  <si>
    <t>https://t.me/motk_notification_bot?start=LTS-005-015</t>
  </si>
  <si>
    <t>🏛️ Ville de Saint-Denis
Service Habitat – Projet MOTK
Bonjour Alexandra JEAN BAPTISTE
Activez vos notifications logement :
Lien : https://t.me/motk_notification_bot?start=LTS-005-015
Code secret : 1077
Étapes : 1) Cliquez sur le lien 2) Appuyez sur Start 3) Envoyez votre numéro de téléphone 4) Envoyez votre code secret.</t>
  </si>
  <si>
    <t>1078</t>
  </si>
  <si>
    <t>https://t.me/motk_notification_bot?start=LTS-005-016</t>
  </si>
  <si>
    <t>🏛️ Ville de Saint-Denis
Service Habitat – Projet MOTK
Bonjour Rock LEBON
Activez vos notifications logement :
Lien : https://t.me/motk_notification_bot?start=LTS-005-016
Code secret : 1078
Étapes : 1) Cliquez sur le lien 2) Appuyez sur Start 3) Envoyez votre numéro de téléphone 4) Envoyez votre code secret.</t>
  </si>
  <si>
    <t>1079</t>
  </si>
  <si>
    <t>https://t.me/motk_notification_bot?start=LTS-005-017</t>
  </si>
  <si>
    <t>🏛️ Ville de Saint-Denis
Service Habitat – Projet MOTK
Bonjour Yanito LEBRETON
Activez vos notifications logement :
Lien : https://t.me/motk_notification_bot?start=LTS-005-017
Code secret : 1079
Étapes : 1) Cliquez sur le lien 2) Appuyez sur Start 3) Envoyez votre numéro de téléphone 4) Envoyez votre code secret.</t>
  </si>
  <si>
    <t>1080</t>
  </si>
  <si>
    <t>https://t.me/motk_notification_bot?start=LTS-005-018</t>
  </si>
  <si>
    <t>🏛️ Ville de Saint-Denis
Service Habitat – Projet MOTK
Bonjour Kayliane KIBIO
Activez vos notifications logement :
Lien : https://t.me/motk_notification_bot?start=LTS-005-018
Code secret : 1080
Étapes : 1) Cliquez sur le lien 2) Appuyez sur Start 3) Envoyez votre numéro de téléphone 4) Envoyez votre code secret.</t>
  </si>
  <si>
    <t>1081</t>
  </si>
  <si>
    <t>https://t.me/motk_notification_bot?start=LTS-005-019</t>
  </si>
  <si>
    <t>🏛️ Ville de Saint-Denis
Service Habitat – Projet MOTK
Bonjour Eugénie ROBERT
Activez vos notifications logement :
Lien : https://t.me/motk_notification_bot?start=LTS-005-019
Code secret : 1081
Étapes : 1) Cliquez sur le lien 2) Appuyez sur Start 3) Envoyez votre numéro de téléphone 4) Envoyez votre code secret.</t>
  </si>
  <si>
    <t>1082</t>
  </si>
  <si>
    <t>https://t.me/motk_notification_bot?start=LTS-005-020</t>
  </si>
  <si>
    <t>🏛️ Ville de Saint-Denis
Service Habitat – Projet MOTK
Bonjour Marie Jeanine SADON
Activez vos notifications logement :
Lien : https://t.me/motk_notification_bot?start=LTS-005-020
Code secret : 1082
Étapes : 1) Cliquez sur le lien 2) Appuyez sur Start 3) Envoyez votre numéro de téléphone 4) Envoyez votre code secret.</t>
  </si>
  <si>
    <t>1083</t>
  </si>
  <si>
    <t>https://t.me/motk_notification_bot?start=LTS-005-021</t>
  </si>
  <si>
    <t>🏛️ Ville de Saint-Denis
Service Habitat – Projet MOTK
Bonjour Marie Anièle SINAN
Activez vos notifications logement :
Lien : https://t.me/motk_notification_bot?start=LTS-005-021
Code secret : 1083
Étapes : 1) Cliquez sur le lien 2) Appuyez sur Start 3) Envoyez votre numéro de téléphone 4) Envoyez votre code secret.</t>
  </si>
  <si>
    <t>1084</t>
  </si>
  <si>
    <t>https://t.me/motk_notification_bot?start=LTS-005-022</t>
  </si>
  <si>
    <t>🏛️ Ville de Saint-Denis
Service Habitat – Projet MOTK
Bonjour Josian TURPIN
Activez vos notifications logement :
Lien : https://t.me/motk_notification_bot?start=LTS-005-022
Code secret : 1084
Étapes : 1) Cliquez sur le lien 2) Appuyez sur Start 3) Envoyez votre numéro de téléphone 4) Envoyez votre code secret.</t>
  </si>
  <si>
    <t>1085</t>
  </si>
  <si>
    <t>https://t.me/motk_notification_bot?start=LTS-005-023</t>
  </si>
  <si>
    <t>🏛️ Ville de Saint-Denis
Service Habitat – Projet MOTK
Bonjour Marie Julienne TURPIN
Activez vos notifications logement :
Lien : https://t.me/motk_notification_bot?start=LTS-005-023
Code secret : 1085
Étapes : 1) Cliquez sur le lien 2) Appuyez sur Start 3) Envoyez votre numéro de téléphone 4) Envoyez votre code secret.</t>
  </si>
  <si>
    <t>1086</t>
  </si>
  <si>
    <t>https://t.me/motk_notification_bot?start=LTS-005-024</t>
  </si>
  <si>
    <t>🏛️ Ville de Saint-Denis
Service Habitat – Projet MOTK
Bonjour Marie Claude VIDOT
Activez vos notifications logement :
Lien : https://t.me/motk_notification_bot?start=LTS-005-024
Code secret : 1086
Étapes : 1) Cliquez sur le lien 2) Appuyez sur Start 3) Envoyez votre numéro de téléphone 4) Envoyez votre code secret.</t>
  </si>
  <si>
    <t>1087</t>
  </si>
  <si>
    <t>https://t.me/motk_notification_bot?start=LTS-006-001</t>
  </si>
  <si>
    <t>🏛️ Ville de Saint-Denis
Service Habitat – Projet MOTK
Bonjour  SAITI
Activez vos notifications logement :
Lien : https://t.me/motk_notification_bot?start=LTS-006-001
Code secret : 1087
Étapes : 1) Cliquez sur le lien 2) Appuyez sur Start 3) Envoyez votre numéro de téléphone 4) Envoyez votre code secret.</t>
  </si>
  <si>
    <t>1088</t>
  </si>
  <si>
    <t>https://t.me/motk_notification_bot?start=LTS-006-002</t>
  </si>
  <si>
    <t>🏛️ Ville de Saint-Denis
Service Habitat – Projet MOTK
Bonjour  PANECHOU
Activez vos notifications logement :
Lien : https://t.me/motk_notification_bot?start=LTS-006-002
Code secret : 1088
Étapes : 1) Cliquez sur le lien 2) Appuyez sur Start 3) Envoyez votre numéro de téléphone 4) Envoyez votre code secret.</t>
  </si>
  <si>
    <t>1089</t>
  </si>
  <si>
    <t>https://t.me/motk_notification_bot?start=LTS-007-001</t>
  </si>
  <si>
    <t>🏛️ Ville de Saint-Denis
Service Habitat – Projet MOTK
Bonjour Sébastien DIJOUX
Activez vos notifications logement :
Lien : https://t.me/motk_notification_bot?start=LTS-007-001
Code secret : 1089
Étapes : 1) Cliquez sur le lien 2) Appuyez sur Start 3) Envoyez votre numéro de téléphone 4) Envoyez votre code secret.</t>
  </si>
  <si>
    <t>1090</t>
  </si>
  <si>
    <t>https://t.me/motk_notification_bot?start=LTS-007-002</t>
  </si>
  <si>
    <t>🏛️ Ville de Saint-Denis
Service Habitat – Projet MOTK
Bonjour Ignace Clémént PICARD
Activez vos notifications logement :
Lien : https://t.me/motk_notification_bot?start=LTS-007-002
Code secret : 1090
Étapes : 1) Cliquez sur le lien 2) Appuyez sur Start 3) Envoyez votre numéro de téléphone 4) Envoyez votre code secret.</t>
  </si>
  <si>
    <t>1091</t>
  </si>
  <si>
    <t>https://t.me/motk_notification_bot?start=LTS-007-003</t>
  </si>
  <si>
    <t>🏛️ Ville de Saint-Denis
Service Habitat – Projet MOTK
Bonjour Sheila HOARAU
Activez vos notifications logement :
Lien : https://t.me/motk_notification_bot?start=LTS-007-003
Code secret : 1091
Étapes : 1) Cliquez sur le lien 2) Appuyez sur Start 3) Envoyez votre numéro de téléphone 4) Envoyez votre code secret.</t>
  </si>
  <si>
    <t>1092</t>
  </si>
  <si>
    <t>https://t.me/motk_notification_bot?start=LTS-007-004</t>
  </si>
  <si>
    <t>🏛️ Ville de Saint-Denis
Service Habitat – Projet MOTK
Bonjour Marie Thérèse JOSON
Activez vos notifications logement :
Lien : https://t.me/motk_notification_bot?start=LTS-007-004
Code secret : 1092
Étapes : 1) Cliquez sur le lien 2) Appuyez sur Start 3) Envoyez votre numéro de téléphone 4) Envoyez votre code secret.</t>
  </si>
  <si>
    <t>1093</t>
  </si>
  <si>
    <t>https://t.me/motk_notification_bot?start=LTS-007-005</t>
  </si>
  <si>
    <t>🏛️ Ville de Saint-Denis
Service Habitat – Projet MOTK
Bonjour René-Claude MAILLOT
Activez vos notifications logement :
Lien : https://t.me/motk_notification_bot?start=LTS-007-005
Code secret : 1093
Étapes : 1) Cliquez sur le lien 2) Appuyez sur Start 3) Envoyez votre numéro de téléphone 4) Envoyez votre code secret.</t>
  </si>
  <si>
    <t>1094</t>
  </si>
  <si>
    <t>https://t.me/motk_notification_bot?start=LTS-007-006</t>
  </si>
  <si>
    <t>🏛️ Ville de Saint-Denis
Service Habitat – Projet MOTK
Bonjour Jean Raymond MALAYA
Activez vos notifications logement :
Lien : https://t.me/motk_notification_bot?start=LTS-007-006
Code secret : 1094
Étapes : 1) Cliquez sur le lien 2) Appuyez sur Start 3) Envoyez votre numéro de téléphone 4) Envoyez votre code secret.</t>
  </si>
  <si>
    <t>1095</t>
  </si>
  <si>
    <t>https://t.me/motk_notification_bot?start=LTS-007-007</t>
  </si>
  <si>
    <t>🏛️ Ville de Saint-Denis
Service Habitat – Projet MOTK
Bonjour Simone MALAYA
Activez vos notifications logement :
Lien : https://t.me/motk_notification_bot?start=LTS-007-007
Code secret : 1095
Étapes : 1) Cliquez sur le lien 2) Appuyez sur Start 3) Envoyez votre numéro de téléphone 4) Envoyez votre code secret.</t>
  </si>
  <si>
    <t>1096</t>
  </si>
  <si>
    <t>https://t.me/motk_notification_bot?start=LTS-007-008</t>
  </si>
  <si>
    <t>🏛️ Ville de Saint-Denis
Service Habitat – Projet MOTK
Bonjour Anne Marie Catherine NAZE
Activez vos notifications logement :
Lien : https://t.me/motk_notification_bot?start=LTS-007-008
Code secret : 1096
Étapes : 1) Cliquez sur le lien 2) Appuyez sur Start 3) Envoyez votre numéro de téléphone 4) Envoyez votre code secret.</t>
  </si>
  <si>
    <t>1097</t>
  </si>
  <si>
    <t>https://t.me/motk_notification_bot?start=LTS-007-009</t>
  </si>
  <si>
    <t>🏛️ Ville de Saint-Denis
Service Habitat – Projet MOTK
Bonjour Marie Laetitia TURPIN
Activez vos notifications logement :
Lien : https://t.me/motk_notification_bot?start=LTS-007-009
Code secret : 1097
Étapes : 1) Cliquez sur le lien 2) Appuyez sur Start 3) Envoyez votre numéro de téléphone 4) Envoyez votre code secret.</t>
  </si>
  <si>
    <t>1098</t>
  </si>
  <si>
    <t>https://t.me/motk_notification_bot?start=LTS-008-001</t>
  </si>
  <si>
    <t>🏛️ Ville de Saint-Denis
Service Habitat – Projet MOTK
Bonjour Jeannine Yvette BATONNET
Activez vos notifications logement :
Lien : https://t.me/motk_notification_bot?start=LTS-008-001
Code secret : 1098
Étapes : 1) Cliquez sur le lien 2) Appuyez sur Start 3) Envoyez votre numéro de téléphone 4) Envoyez votre code secret.</t>
  </si>
  <si>
    <t>1099</t>
  </si>
  <si>
    <t>https://t.me/motk_notification_bot?start=LTS-008-002</t>
  </si>
  <si>
    <t>🏛️ Ville de Saint-Denis
Service Habitat – Projet MOTK
Bonjour Catherine SALEZ
Activez vos notifications logement :
Lien : https://t.me/motk_notification_bot?start=LTS-008-002
Code secret : 1099
Étapes : 1) Cliquez sur le lien 2) Appuyez sur Start 3) Envoyez votre numéro de téléphone 4) Envoyez votre code secret.</t>
  </si>
  <si>
    <t>1100</t>
  </si>
  <si>
    <t>https://t.me/motk_notification_bot?start=LTS-008-003</t>
  </si>
  <si>
    <t>🏛️ Ville de Saint-Denis
Service Habitat – Projet MOTK
Bonjour Maryse Marie Christelle BOYER
Activez vos notifications logement :
Lien : https://t.me/motk_notification_bot?start=LTS-008-003
Code secret : 1100
Étapes : 1) Cliquez sur le lien 2) Appuyez sur Start 3) Envoyez votre numéro de téléphone 4) Envoyez votre code secret.</t>
  </si>
  <si>
    <t>1101</t>
  </si>
  <si>
    <t>https://t.me/motk_notification_bot?start=LTS-008-004</t>
  </si>
  <si>
    <t>🏛️ Ville de Saint-Denis
Service Habitat – Projet MOTK
Bonjour Antonine CALIAMA
Activez vos notifications logement :
Lien : https://t.me/motk_notification_bot?start=LTS-008-004
Code secret : 1101
Étapes : 1) Cliquez sur le lien 2) Appuyez sur Start 3) Envoyez votre numéro de téléphone 4) Envoyez votre code secret.</t>
  </si>
  <si>
    <t>1102</t>
  </si>
  <si>
    <t>https://t.me/motk_notification_bot?start=LTS-008-005</t>
  </si>
  <si>
    <t>🏛️ Ville de Saint-Denis
Service Habitat – Projet MOTK
Bonjour Marie Céline CAMARET
Activez vos notifications logement :
Lien : https://t.me/motk_notification_bot?start=LTS-008-005
Code secret : 1102
Étapes : 1) Cliquez sur le lien 2) Appuyez sur Start 3) Envoyez votre numéro de téléphone 4) Envoyez votre code secret.</t>
  </si>
  <si>
    <t>1103</t>
  </si>
  <si>
    <t>https://t.me/motk_notification_bot?start=LTS-008-006</t>
  </si>
  <si>
    <t>🏛️ Ville de Saint-Denis
Service Habitat – Projet MOTK
Bonjour Patrick CATHERINE
Activez vos notifications logement :
Lien : https://t.me/motk_notification_bot?start=LTS-008-006
Code secret : 1103
Étapes : 1) Cliquez sur le lien 2) Appuyez sur Start 3) Envoyez votre numéro de téléphone 4) Envoyez votre code secret.</t>
  </si>
  <si>
    <t>1104</t>
  </si>
  <si>
    <t>https://t.me/motk_notification_bot?start=LTS-008-007</t>
  </si>
  <si>
    <t>🏛️ Ville de Saint-Denis
Service Habitat – Projet MOTK
Bonjour Gilbert DIJOUX
Activez vos notifications logement :
Lien : https://t.me/motk_notification_bot?start=LTS-008-007
Code secret : 1104
Étapes : 1) Cliquez sur le lien 2) Appuyez sur Start 3) Envoyez votre numéro de téléphone 4) Envoyez votre code secret.</t>
  </si>
  <si>
    <t>1105</t>
  </si>
  <si>
    <t>https://t.me/motk_notification_bot?start=LTS-008-008</t>
  </si>
  <si>
    <t>🏛️ Ville de Saint-Denis
Service Habitat – Projet MOTK
Bonjour Stéphane DIJOUX
Activez vos notifications logement :
Lien : https://t.me/motk_notification_bot?start=LTS-008-008
Code secret : 1105
Étapes : 1) Cliquez sur le lien 2) Appuyez sur Start 3) Envoyez votre numéro de téléphone 4) Envoyez votre code secret.</t>
  </si>
  <si>
    <t>1106</t>
  </si>
  <si>
    <t>https://t.me/motk_notification_bot?start=LTS-008-009</t>
  </si>
  <si>
    <t>🏛️ Ville de Saint-Denis
Service Habitat – Projet MOTK
Bonjour Véronique FERINOUT
Activez vos notifications logement :
Lien : https://t.me/motk_notification_bot?start=LTS-008-009
Code secret : 1106
Étapes : 1) Cliquez sur le lien 2) Appuyez sur Start 3) Envoyez votre numéro de téléphone 4) Envoyez votre code secret.</t>
  </si>
  <si>
    <t>1107</t>
  </si>
  <si>
    <t>https://t.me/motk_notification_bot?start=LTS-008-010</t>
  </si>
  <si>
    <t>🏛️ Ville de Saint-Denis
Service Habitat – Projet MOTK
Bonjour David Jean Patrice GRONDIN
Activez vos notifications logement :
Lien : https://t.me/motk_notification_bot?start=LTS-008-010
Code secret : 1107
Étapes : 1) Cliquez sur le lien 2) Appuyez sur Start 3) Envoyez votre numéro de téléphone 4) Envoyez votre code secret.</t>
  </si>
  <si>
    <t>1108</t>
  </si>
  <si>
    <t>https://t.me/motk_notification_bot?start=LTS-008-011</t>
  </si>
  <si>
    <t>🏛️ Ville de Saint-Denis
Service Habitat – Projet MOTK
Bonjour Lise May INJIRAKY
Activez vos notifications logement :
Lien : https://t.me/motk_notification_bot?start=LTS-008-011
Code secret : 1108
Étapes : 1) Cliquez sur le lien 2) Appuyez sur Start 3) Envoyez votre numéro de téléphone 4) Envoyez votre code secret.</t>
  </si>
  <si>
    <t>1109</t>
  </si>
  <si>
    <t>https://t.me/motk_notification_bot?start=LTS-008-012</t>
  </si>
  <si>
    <t>🏛️ Ville de Saint-Denis
Service Habitat – Projet MOTK
Bonjour Benjy LAFABLE
Activez vos notifications logement :
Lien : https://t.me/motk_notification_bot?start=LTS-008-012
Code secret : 1109
Étapes : 1) Cliquez sur le lien 2) Appuyez sur Start 3) Envoyez votre numéro de téléphone 4) Envoyez votre code secret.</t>
  </si>
  <si>
    <t>1110</t>
  </si>
  <si>
    <t>https://t.me/motk_notification_bot?start=LTS-008-013</t>
  </si>
  <si>
    <t>🏛️ Ville de Saint-Denis
Service Habitat – Projet MOTK
Bonjour Marie Franceline LEPINAY
Activez vos notifications logement :
Lien : https://t.me/motk_notification_bot?start=LTS-008-013
Code secret : 1110
Étapes : 1) Cliquez sur le lien 2) Appuyez sur Start 3) Envoyez votre numéro de téléphone 4) Envoyez votre code secret.</t>
  </si>
  <si>
    <t>1111</t>
  </si>
  <si>
    <t>https://t.me/motk_notification_bot?start=LTS-008-014</t>
  </si>
  <si>
    <t>🏛️ Ville de Saint-Denis
Service Habitat – Projet MOTK
Bonjour Hafoussoiti MADI
Activez vos notifications logement :
Lien : https://t.me/motk_notification_bot?start=LTS-008-014
Code secret : 1111
Étapes : 1) Cliquez sur le lien 2) Appuyez sur Start 3) Envoyez votre numéro de téléphone 4) Envoyez votre code secret.</t>
  </si>
  <si>
    <t>1112</t>
  </si>
  <si>
    <t>https://t.me/motk_notification_bot?start=LTS-008-015</t>
  </si>
  <si>
    <t>🏛️ Ville de Saint-Denis
Service Habitat – Projet MOTK
Bonjour Paul MALLARD
Activez vos notifications logement :
Lien : https://t.me/motk_notification_bot?start=LTS-008-015
Code secret : 1112
Étapes : 1) Cliquez sur le lien 2) Appuyez sur Start 3) Envoyez votre numéro de téléphone 4) Envoyez votre code secret.</t>
  </si>
  <si>
    <t>1113</t>
  </si>
  <si>
    <t>https://t.me/motk_notification_bot?start=LTS-008-016</t>
  </si>
  <si>
    <t>🏛️ Ville de Saint-Denis
Service Habitat – Projet MOTK
Bonjour Marie Roselyne MOUCASSAGUENE
Activez vos notifications logement :
Lien : https://t.me/motk_notification_bot?start=LTS-008-016
Code secret : 1113
Étapes : 1) Cliquez sur le lien 2) Appuyez sur Start 3) Envoyez votre numéro de téléphone 4) Envoyez votre code secret.</t>
  </si>
  <si>
    <t>1114</t>
  </si>
  <si>
    <t>https://t.me/motk_notification_bot?start=LTS-008-017</t>
  </si>
  <si>
    <t>🏛️ Ville de Saint-Denis
Service Habitat – Projet MOTK
Bonjour JEAN GEOFFROY CARPAYE
Activez vos notifications logement :
Lien : https://t.me/motk_notification_bot?start=LTS-008-017
Code secret : 1114
Étapes : 1) Cliquez sur le lien 2) Appuyez sur Start 3) Envoyez votre numéro de téléphone 4) Envoyez votre code secret.</t>
  </si>
  <si>
    <t>1115</t>
  </si>
  <si>
    <t>https://t.me/motk_notification_bot?start=LTS-008-018</t>
  </si>
  <si>
    <t>🏛️ Ville de Saint-Denis
Service Habitat – Projet MOTK
Bonjour Rajaram RAMDEEHUL
Activez vos notifications logement :
Lien : https://t.me/motk_notification_bot?start=LTS-008-018
Code secret : 1115
Étapes : 1) Cliquez sur le lien 2) Appuyez sur Start 3) Envoyez votre numéro de téléphone 4) Envoyez votre code secret.</t>
  </si>
  <si>
    <t>1116</t>
  </si>
  <si>
    <t>https://t.me/motk_notification_bot?start=LTS-008-019</t>
  </si>
  <si>
    <t>🏛️ Ville de Saint-Denis
Service Habitat – Projet MOTK
Bonjour Cédric RASI
Activez vos notifications logement :
Lien : https://t.me/motk_notification_bot?start=LTS-008-019
Code secret : 1116
Étapes : 1) Cliquez sur le lien 2) Appuyez sur Start 3) Envoyez votre numéro de téléphone 4) Envoyez votre code secret.</t>
  </si>
  <si>
    <t>1117</t>
  </si>
  <si>
    <t>https://t.me/motk_notification_bot?start=LTS-008-020</t>
  </si>
  <si>
    <t>🏛️ Ville de Saint-Denis
Service Habitat – Projet MOTK
Bonjour Yannick ROBERT
Activez vos notifications logement :
Lien : https://t.me/motk_notification_bot?start=LTS-008-020
Code secret : 1117
Étapes : 1) Cliquez sur le lien 2) Appuyez sur Start 3) Envoyez votre numéro de téléphone 4) Envoyez votre code secret.</t>
  </si>
  <si>
    <t>1118</t>
  </si>
  <si>
    <t>https://t.me/motk_notification_bot?start=LTS-008-021</t>
  </si>
  <si>
    <t>🏛️ Ville de Saint-Denis
Service Habitat – Projet MOTK
Bonjour Charles Eric SERAPHIN
Activez vos notifications logement :
Lien : https://t.me/motk_notification_bot?start=LTS-008-021
Code secret : 1118
Étapes : 1) Cliquez sur le lien 2) Appuyez sur Start 3) Envoyez votre numéro de téléphone 4) Envoyez votre code secret.</t>
  </si>
  <si>
    <t>1119</t>
  </si>
  <si>
    <t>https://t.me/motk_notification_bot?start=LTS-008-022</t>
  </si>
  <si>
    <t>🏛️ Ville de Saint-Denis
Service Habitat – Projet MOTK
Bonjour Marie Hélène DCD TANGATCHY
Activez vos notifications logement :
Lien : https://t.me/motk_notification_bot?start=LTS-008-022
Code secret : 1119
Étapes : 1) Cliquez sur le lien 2) Appuyez sur Start 3) Envoyez votre numéro de téléphone 4) Envoyez votre code secret.</t>
  </si>
  <si>
    <t>1120</t>
  </si>
  <si>
    <t>https://t.me/motk_notification_bot?start=LTS-008-023</t>
  </si>
  <si>
    <t>🏛️ Ville de Saint-Denis
Service Habitat – Projet MOTK
Bonjour Jean Luc TETTONI
Activez vos notifications logement :
Lien : https://t.me/motk_notification_bot?start=LTS-008-023
Code secret : 1120
Étapes : 1) Cliquez sur le lien 2) Appuyez sur Start 3) Envoyez votre numéro de téléphone 4) Envoyez votre code secret.</t>
  </si>
  <si>
    <t>1121</t>
  </si>
  <si>
    <t>https://t.me/motk_notification_bot?start=LTS-008-024</t>
  </si>
  <si>
    <t>🏛️ Ville de Saint-Denis
Service Habitat – Projet MOTK
Bonjour Jean Philippe THIONG KAY
Activez vos notifications logement :
Lien : https://t.me/motk_notification_bot?start=LTS-008-024
Code secret : 1121
Étapes : 1) Cliquez sur le lien 2) Appuyez sur Start 3) Envoyez votre numéro de téléphone 4) Envoyez votre code secret.</t>
  </si>
  <si>
    <t>1122</t>
  </si>
  <si>
    <t>https://t.me/motk_notification_bot?start=LTS-008-025</t>
  </si>
  <si>
    <t>🏛️ Ville de Saint-Denis
Service Habitat – Projet MOTK
Bonjour Jules Yoland THOMAS
Activez vos notifications logement :
Lien : https://t.me/motk_notification_bot?start=LTS-008-025
Code secret : 1122
Étapes : 1) Cliquez sur le lien 2) Appuyez sur Start 3) Envoyez votre numéro de téléphone 4) Envoyez votre code secret.</t>
  </si>
  <si>
    <t>1123</t>
  </si>
  <si>
    <t>https://t.me/motk_notification_bot?start=LTS-008-026</t>
  </si>
  <si>
    <t>🏛️ Ville de Saint-Denis
Service Habitat – Projet MOTK
Bonjour Floris TILIN
Activez vos notifications logement :
Lien : https://t.me/motk_notification_bot?start=LTS-008-026
Code secret : 1123
Étapes : 1) Cliquez sur le lien 2) Appuyez sur Start 3) Envoyez votre numéro de téléphone 4) Envoyez votre code secret.</t>
  </si>
  <si>
    <t>1124</t>
  </si>
  <si>
    <t>https://t.me/motk_notification_bot?start=LTS-008-027</t>
  </si>
  <si>
    <t>🏛️ Ville de Saint-Denis
Service Habitat – Projet MOTK
Bonjour
Activez vos notifications logement :
Lien : https://t.me/motk_notification_bot?start=LTS-008-027
Code secret : 1124
Étapes : 1) Cliquez sur le lien 2) Appuyez sur Start 3) Envoyez votre numéro de téléphone 4) Envoyez votre code secret.</t>
  </si>
  <si>
    <t>1125</t>
  </si>
  <si>
    <t>https://t.me/motk_notification_bot?start=LTS-009-001</t>
  </si>
  <si>
    <t>🏛️ Ville de Saint-Denis
Service Habitat – Projet MOTK
Bonjour Eliane Thérèse Gabrielle LEBON
Activez vos notifications logement :
Lien : https://t.me/motk_notification_bot?start=LTS-009-001
Code secret : 1125
Étapes : 1) Cliquez sur le lien 2) Appuyez sur Start 3) Envoyez votre numéro de téléphone 4) Envoyez votre code secret.</t>
  </si>
  <si>
    <t>1126</t>
  </si>
  <si>
    <t>https://t.me/motk_notification_bot?start=LTS-009-002</t>
  </si>
  <si>
    <t>🏛️ Ville de Saint-Denis
Service Habitat – Projet MOTK
Bonjour
Activez vos notifications logement :
Lien : https://t.me/motk_notification_bot?start=LTS-009-002
Code secret : 1126
Étapes : 1) Cliquez sur le lien 2) Appuyez sur Start 3) Envoyez votre numéro de téléphone 4) Envoyez votre code secret.</t>
  </si>
  <si>
    <t>1127</t>
  </si>
  <si>
    <t>https://t.me/motk_notification_bot?start=LTS-010-001</t>
  </si>
  <si>
    <t>🏛️ Ville de Saint-Denis
Service Habitat – Projet MOTK
Bonjour Marie France GONTHIER
Activez vos notifications logement :
Lien : https://t.me/motk_notification_bot?start=LTS-010-001
Code secret : 1127
Étapes : 1) Cliquez sur le lien 2) Appuyez sur Start 3) Envoyez votre numéro de téléphone 4) Envoyez votre code secret.</t>
  </si>
  <si>
    <t>1128</t>
  </si>
  <si>
    <t>https://t.me/motk_notification_bot?start=LTS-010-002</t>
  </si>
  <si>
    <t>🏛️ Ville de Saint-Denis
Service Habitat – Projet MOTK
Bonjour Marie Daisy NERINA
Activez vos notifications logement :
Lien : https://t.me/motk_notification_bot?start=LTS-010-002
Code secret : 1128
Étapes : 1) Cliquez sur le lien 2) Appuyez sur Start 3) Envoyez votre numéro de téléphone 4) Envoyez votre code secret.</t>
  </si>
  <si>
    <t>1129</t>
  </si>
  <si>
    <t>https://t.me/motk_notification_bot?start=LTS-010-003</t>
  </si>
  <si>
    <t>🏛️ Ville de Saint-Denis
Service Habitat – Projet MOTK
Bonjour Julien Mathias NODODUS
Activez vos notifications logement :
Lien : https://t.me/motk_notification_bot?start=LTS-010-003
Code secret : 1129
Étapes : 1) Cliquez sur le lien 2) Appuyez sur Start 3) Envoyez votre numéro de téléphone 4) Envoyez votre code secret.</t>
  </si>
  <si>
    <t>1130</t>
  </si>
  <si>
    <t>https://t.me/motk_notification_bot?start=LTS-011-001</t>
  </si>
  <si>
    <t>🏛️ Ville de Saint-Denis
Service Habitat – Projet MOTK
Bonjour Jean Paul WILMANN
Activez vos notifications logement :
Lien : https://t.me/motk_notification_bot?start=LTS-011-001
Code secret : 1130
Étapes : 1) Cliquez sur le lien 2) Appuyez sur Start 3) Envoyez votre numéro de téléphone 4) Envoyez votre code secret.</t>
  </si>
  <si>
    <t>1131</t>
  </si>
  <si>
    <t>https://t.me/motk_notification_bot?start=LTS-011-002</t>
  </si>
  <si>
    <t>🏛️ Ville de Saint-Denis
Service Habitat – Projet MOTK
Bonjour Marie Claudine GRONDIN
Activez vos notifications logement :
Lien : https://t.me/motk_notification_bot?start=LTS-011-002
Code secret : 1131
Étapes : 1) Cliquez sur le lien 2) Appuyez sur Start 3) Envoyez votre numéro de téléphone 4) Envoyez votre code secret.</t>
  </si>
  <si>
    <t>1132</t>
  </si>
  <si>
    <t>https://t.me/motk_notification_bot?start=LTS-012-001</t>
  </si>
  <si>
    <t>🏛️ Ville de Saint-Denis
Service Habitat – Projet MOTK
Bonjour Jean Denis BATAILLE
Activez vos notifications logement :
Lien : https://t.me/motk_notification_bot?start=LTS-012-001
Code secret : 1132
Étapes : 1) Cliquez sur le lien 2) Appuyez sur Start 3) Envoyez votre numéro de téléphone 4) Envoyez votre code secret.</t>
  </si>
  <si>
    <t>1133</t>
  </si>
  <si>
    <t>https://t.me/motk_notification_bot?start=LTS-012-002</t>
  </si>
  <si>
    <t>🏛️ Ville de Saint-Denis
Service Habitat – Projet MOTK
Bonjour Marie Louisane DAMOUR
Activez vos notifications logement :
Lien : https://t.me/motk_notification_bot?start=LTS-012-002
Code secret : 1133
Étapes : 1) Cliquez sur le lien 2) Appuyez sur Start 3) Envoyez votre numéro de téléphone 4) Envoyez votre code secret.</t>
  </si>
  <si>
    <t>1134</t>
  </si>
  <si>
    <t>https://t.me/motk_notification_bot?start=LTS-012-003</t>
  </si>
  <si>
    <t>🏛️ Ville de Saint-Denis
Service Habitat – Projet MOTK
Bonjour Marie Alda DIJOUX
Activez vos notifications logement :
Lien : https://t.me/motk_notification_bot?start=LTS-012-003
Code secret : 1134
Étapes : 1) Cliquez sur le lien 2) Appuyez sur Start 3) Envoyez votre numéro de téléphone 4) Envoyez votre code secret.</t>
  </si>
  <si>
    <t>1135</t>
  </si>
  <si>
    <t>https://t.me/motk_notification_bot?start=LTS-012-004</t>
  </si>
  <si>
    <t>🏛️ Ville de Saint-Denis
Service Habitat – Projet MOTK
Bonjour Marie Rosita IEVE  PARIS
Activez vos notifications logement :
Lien : https://t.me/motk_notification_bot?start=LTS-012-004
Code secret : 1135
Étapes : 1) Cliquez sur le lien 2) Appuyez sur Start 3) Envoyez votre numéro de téléphone 4) Envoyez votre code secret.</t>
  </si>
  <si>
    <t>1136</t>
  </si>
  <si>
    <t>https://t.me/motk_notification_bot?start=LTS-013-001</t>
  </si>
  <si>
    <t>🏛️ Ville de Saint-Denis
Service Habitat – Projet MOTK
Bonjour Marie Mireille ADOLPHE VENEROSY
Activez vos notifications logement :
Lien : https://t.me/motk_notification_bot?start=LTS-013-001
Code secret : 1136
Étapes : 1) Cliquez sur le lien 2) Appuyez sur Start 3) Envoyez votre numéro de téléphone 4) Envoyez votre code secret.</t>
  </si>
  <si>
    <t>1137</t>
  </si>
  <si>
    <t>https://t.me/motk_notification_bot?start=LTS-013-002</t>
  </si>
  <si>
    <t>🏛️ Ville de Saint-Denis
Service Habitat – Projet MOTK
Bonjour Jean Henri Fred BOYER
Activez vos notifications logement :
Lien : https://t.me/motk_notification_bot?start=LTS-013-002
Code secret : 1137
Étapes : 1) Cliquez sur le lien 2) Appuyez sur Start 3) Envoyez votre numéro de téléphone 4) Envoyez votre code secret.</t>
  </si>
  <si>
    <t>1138</t>
  </si>
  <si>
    <t>https://t.me/motk_notification_bot?start=LTS-013-003</t>
  </si>
  <si>
    <t>🏛️ Ville de Saint-Denis
Service Habitat – Projet MOTK
Bonjour Marie Berthe DALLEAU
Activez vos notifications logement :
Lien : https://t.me/motk_notification_bot?start=LTS-013-003
Code secret : 1138
Étapes : 1) Cliquez sur le lien 2) Appuyez sur Start 3) Envoyez votre numéro de téléphone 4) Envoyez votre code secret.</t>
  </si>
  <si>
    <t>1139</t>
  </si>
  <si>
    <t>https://t.me/motk_notification_bot?start=LTS-013-004</t>
  </si>
  <si>
    <t>🏛️ Ville de Saint-Denis
Service Habitat – Projet MOTK
Bonjour Jean Claude HOAREAU
Activez vos notifications logement :
Lien : https://t.me/motk_notification_bot?start=LTS-013-004
Code secret : 1139
Étapes : 1) Cliquez sur le lien 2) Appuyez sur Start 3) Envoyez votre numéro de téléphone 4) Envoyez votre code secret.</t>
  </si>
  <si>
    <t>1140</t>
  </si>
  <si>
    <t>https://t.me/motk_notification_bot?start=LTS-013-005</t>
  </si>
  <si>
    <t>🏛️ Ville de Saint-Denis
Service Habitat – Projet MOTK
Bonjour Jean Claude NUMA
Activez vos notifications logement :
Lien : https://t.me/motk_notification_bot?start=LTS-013-005
Code secret : 1140
Étapes : 1) Cliquez sur le lien 2) Appuyez sur Start 3) Envoyez votre numéro de téléphone 4) Envoyez votre code secret.</t>
  </si>
  <si>
    <t>1141</t>
  </si>
  <si>
    <t>https://t.me/motk_notification_bot?start=LTS-013-006</t>
  </si>
  <si>
    <t>🏛️ Ville de Saint-Denis
Service Habitat – Projet MOTK
Bonjour Marie Nathalie PHOCION
Activez vos notifications logement :
Lien : https://t.me/motk_notification_bot?start=LTS-013-006
Code secret : 1141
Étapes : 1) Cliquez sur le lien 2) Appuyez sur Start 3) Envoyez votre numéro de téléphone 4) Envoyez votre code secret.</t>
  </si>
  <si>
    <t>1142</t>
  </si>
  <si>
    <t>https://t.me/motk_notification_bot?start=LTS-013-007</t>
  </si>
  <si>
    <t>🏛️ Ville de Saint-Denis
Service Habitat – Projet MOTK
Bonjour Jean Alex Bernard TURPIN
Activez vos notifications logement :
Lien : https://t.me/motk_notification_bot?start=LTS-013-007
Code secret : 1142
Étapes : 1) Cliquez sur le lien 2) Appuyez sur Start 3) Envoyez votre numéro de téléphone 4) Envoyez votre code secret.</t>
  </si>
  <si>
    <t>1143</t>
  </si>
  <si>
    <t>https://t.me/motk_notification_bot?start=LTS-013-008</t>
  </si>
  <si>
    <t>🏛️ Ville de Saint-Denis
Service Habitat – Projet MOTK
Bonjour MARIE AGNES TURPIN
Activez vos notifications logement :
Lien : https://t.me/motk_notification_bot?start=LTS-013-008
Code secret : 1143
Étapes : 1) Cliquez sur le lien 2) Appuyez sur Start 3) Envoyez votre numéro de téléphone 4) Envoyez votre code secret.</t>
  </si>
  <si>
    <t>1144</t>
  </si>
  <si>
    <t>https://t.me/motk_notification_bot?start=LTS-014-001</t>
  </si>
  <si>
    <t>🏛️ Ville de Saint-Denis
Service Habitat – Projet MOTK
Bonjour Jean Marie BEGUE
Activez vos notifications logement :
Lien : https://t.me/motk_notification_bot?start=LTS-014-001
Code secret : 1144
Étapes : 1) Cliquez sur le lien 2) Appuyez sur Start 3) Envoyez votre numéro de téléphone 4) Envoyez votre code secret.</t>
  </si>
  <si>
    <t>1145</t>
  </si>
  <si>
    <t>https://t.me/motk_notification_bot?start=LTS-014-002</t>
  </si>
  <si>
    <t>🏛️ Ville de Saint-Denis
Service Habitat – Projet MOTK
Bonjour Jean Yves CADET
Activez vos notifications logement :
Lien : https://t.me/motk_notification_bot?start=LTS-014-002
Code secret : 1145
Étapes : 1) Cliquez sur le lien 2) Appuyez sur Start 3) Envoyez votre numéro de téléphone 4) Envoyez votre code secret.</t>
  </si>
  <si>
    <t>1146</t>
  </si>
  <si>
    <t>https://t.me/motk_notification_bot?start=LTS-014-003</t>
  </si>
  <si>
    <t>🏛️ Ville de Saint-Denis
Service Habitat – Projet MOTK
Bonjour Marie Nathalie BEGUE (EX FONTAINE)
Activez vos notifications logement :
Lien : https://t.me/motk_notification_bot?start=LTS-014-003
Code secret : 1146
Étapes : 1) Cliquez sur le lien 2) Appuyez sur Start 3) Envoyez votre numéro de téléphone 4) Envoyez votre code secret.</t>
  </si>
  <si>
    <t>1147</t>
  </si>
  <si>
    <t>https://t.me/motk_notification_bot?start=LTS-014-004</t>
  </si>
  <si>
    <t>🏛️ Ville de Saint-Denis
Service Habitat – Projet MOTK
Bonjour JEAN SYLVANO ENGUERRAND
Activez vos notifications logement :
Lien : https://t.me/motk_notification_bot?start=LTS-014-004
Code secret : 1147
Étapes : 1) Cliquez sur le lien 2) Appuyez sur Start 3) Envoyez votre numéro de téléphone 4) Envoyez votre code secret.</t>
  </si>
  <si>
    <t>1148</t>
  </si>
  <si>
    <t>https://t.me/motk_notification_bot?start=LTS-014-005</t>
  </si>
  <si>
    <t>🏛️ Ville de Saint-Denis
Service Habitat – Projet MOTK
Bonjour Marie Suzanne MALAYA
Activez vos notifications logement :
Lien : https://t.me/motk_notification_bot?start=LTS-014-005
Code secret : 1148
Étapes : 1) Cliquez sur le lien 2) Appuyez sur Start 3) Envoyez votre numéro de téléphone 4) Envoyez votre code secret.</t>
  </si>
  <si>
    <t>1149</t>
  </si>
  <si>
    <t>https://t.me/motk_notification_bot?start=LTS-014-006</t>
  </si>
  <si>
    <t>🏛️ Ville de Saint-Denis
Service Habitat – Projet MOTK
Bonjour Georges Fernand PAYET
Activez vos notifications logement :
Lien : https://t.me/motk_notification_bot?start=LTS-014-006
Code secret : 1149
Étapes : 1) Cliquez sur le lien 2) Appuyez sur Start 3) Envoyez votre numéro de téléphone 4) Envoyez votre code secret.</t>
  </si>
  <si>
    <t>1150</t>
  </si>
  <si>
    <t>https://t.me/motk_notification_bot?start=LTS-014-007</t>
  </si>
  <si>
    <t>🏛️ Ville de Saint-Denis
Service Habitat – Projet MOTK
Bonjour Claudine SAMAL
Activez vos notifications logement :
Lien : https://t.me/motk_notification_bot?start=LTS-014-007
Code secret : 1150
Étapes : 1) Cliquez sur le lien 2) Appuyez sur Start 3) Envoyez votre numéro de téléphone 4) Envoyez votre code secret.</t>
  </si>
  <si>
    <t>1151</t>
  </si>
  <si>
    <t>https://t.me/motk_notification_bot?start=LTS-014-008</t>
  </si>
  <si>
    <t>🏛️ Ville de Saint-Denis
Service Habitat – Projet MOTK
Bonjour Audrey SISAHAYES
Activez vos notifications logement :
Lien : https://t.me/motk_notification_bot?start=LTS-014-008
Code secret : 1151
Étapes : 1) Cliquez sur le lien 2) Appuyez sur Start 3) Envoyez votre numéro de téléphone 4) Envoyez votre code secret.</t>
  </si>
  <si>
    <t>1152</t>
  </si>
  <si>
    <t>https://t.me/motk_notification_bot?start=LTS-014-009</t>
  </si>
  <si>
    <t>🏛️ Ville de Saint-Denis
Service Habitat – Projet MOTK
Bonjour JEAN FREDERIC TECHER
Activez vos notifications logement :
Lien : https://t.me/motk_notification_bot?start=LTS-014-009
Code secret : 1152
Étapes : 1) Cliquez sur le lien 2) Appuyez sur Start 3) Envoyez votre numéro de téléphone 4) Envoyez votre code secret.</t>
  </si>
  <si>
    <t>1153</t>
  </si>
  <si>
    <t>https://t.me/motk_notification_bot?start=LTS-014-010</t>
  </si>
  <si>
    <t>🏛️ Ville de Saint-Denis
Service Habitat – Projet MOTK
Bonjour JEAN RENE TECHER
Activez vos notifications logement :
Lien : https://t.me/motk_notification_bot?start=LTS-014-010
Code secret : 1153
Étapes : 1) Cliquez sur le lien 2) Appuyez sur Start 3) Envoyez votre numéro de téléphone 4) Envoyez votre code secret.</t>
  </si>
  <si>
    <t>1154</t>
  </si>
  <si>
    <t>https://t.me/motk_notification_bot?start=LTS-015-001</t>
  </si>
  <si>
    <t>🏛️ Ville de Saint-Denis
Service Habitat – Projet MOTK
Bonjour Richard BOYER
Activez vos notifications logement :
Lien : https://t.me/motk_notification_bot?start=LTS-015-001
Code secret : 1154
Étapes : 1) Cliquez sur le lien 2) Appuyez sur Start 3) Envoyez votre numéro de téléphone 4) Envoyez votre code secret.</t>
  </si>
  <si>
    <t>1155</t>
  </si>
  <si>
    <t>https://t.me/motk_notification_bot?start=LTS-015-002</t>
  </si>
  <si>
    <t>🏛️ Ville de Saint-Denis
Service Habitat – Projet MOTK
Bonjour Marie Céline Margarette FONTAINE
Activez vos notifications logement :
Lien : https://t.me/motk_notification_bot?start=LTS-015-002
Code secret : 1155
Étapes : 1) Cliquez sur le lien 2) Appuyez sur Start 3) Envoyez votre numéro de téléphone 4) Envoyez votre code secret.</t>
  </si>
  <si>
    <t>1156</t>
  </si>
  <si>
    <t>https://t.me/motk_notification_bot?start=LTS-015-003</t>
  </si>
  <si>
    <t>🏛️ Ville de Saint-Denis
Service Habitat – Projet MOTK
Bonjour  GAUVIN
Activez vos notifications logement :
Lien : https://t.me/motk_notification_bot?start=LTS-015-003
Code secret : 1156
Étapes : 1) Cliquez sur le lien 2) Appuyez sur Start 3) Envoyez votre numéro de téléphone 4) Envoyez votre code secret.</t>
  </si>
  <si>
    <t>1157</t>
  </si>
  <si>
    <t>https://t.me/motk_notification_bot?start=LTS-015-004</t>
  </si>
  <si>
    <t>🏛️ Ville de Saint-Denis
Service Habitat – Projet MOTK
Bonjour Saint Ange IZOU
Activez vos notifications logement :
Lien : https://t.me/motk_notification_bot?start=LTS-015-004
Code secret : 1157
Étapes : 1) Cliquez sur le lien 2) Appuyez sur Start 3) Envoyez votre numéro de téléphone 4) Envoyez votre code secret.</t>
  </si>
  <si>
    <t>1158</t>
  </si>
  <si>
    <t>https://t.me/motk_notification_bot?start=LTS-015-005</t>
  </si>
  <si>
    <t>🏛️ Ville de Saint-Denis
Service Habitat – Projet MOTK
Bonjour Jean Patrick LAUDE
Activez vos notifications logement :
Lien : https://t.me/motk_notification_bot?start=LTS-015-005
Code secret : 1158
Étapes : 1) Cliquez sur le lien 2) Appuyez sur Start 3) Envoyez votre numéro de téléphone 4) Envoyez votre code secret.</t>
  </si>
  <si>
    <t>1159</t>
  </si>
  <si>
    <t>https://t.me/motk_notification_bot?start=LTS-015-006</t>
  </si>
  <si>
    <t>🏛️ Ville de Saint-Denis
Service Habitat – Projet MOTK
Bonjour Chantal LUSINIER
Activez vos notifications logement :
Lien : https://t.me/motk_notification_bot?start=LTS-015-006
Code secret : 1159
Étapes : 1) Cliquez sur le lien 2) Appuyez sur Start 3) Envoyez votre numéro de téléphone 4) Envoyez votre code secret.</t>
  </si>
  <si>
    <t>1160</t>
  </si>
  <si>
    <t>https://t.me/motk_notification_bot?start=LTS-015-007</t>
  </si>
  <si>
    <t>🏛️ Ville de Saint-Denis
Service Habitat – Projet MOTK
Bonjour Doris Nicolas RIVIERE
Activez vos notifications logement :
Lien : https://t.me/motk_notification_bot?start=LTS-015-007
Code secret : 1160
Étapes : 1) Cliquez sur le lien 2) Appuyez sur Start 3) Envoyez votre numéro de téléphone 4) Envoyez votre code secret.</t>
  </si>
  <si>
    <t>1161</t>
  </si>
  <si>
    <t>https://t.me/motk_notification_bot?start=LTS-015-008</t>
  </si>
  <si>
    <t>🏛️ Ville de Saint-Denis
Service Habitat – Projet MOTK
Bonjour Noëlio Franceau ROULLIN
Activez vos notifications logement :
Lien : https://t.me/motk_notification_bot?start=LTS-015-008
Code secret : 1161
Étapes : 1) Cliquez sur le lien 2) Appuyez sur Start 3) Envoyez votre numéro de téléphone 4) Envoyez votre code secret.</t>
  </si>
  <si>
    <t>1162</t>
  </si>
  <si>
    <t>https://t.me/motk_notification_bot?start=LTS-015-009</t>
  </si>
  <si>
    <t>🏛️ Ville de Saint-Denis
Service Habitat – Projet MOTK
Bonjour Jean Denis SAUTRON
Activez vos notifications logement :
Lien : https://t.me/motk_notification_bot?start=LTS-015-009
Code secret : 1162
Étapes : 1) Cliquez sur le lien 2) Appuyez sur Start 3) Envoyez votre numéro de téléphone 4) Envoyez votre code secret.</t>
  </si>
  <si>
    <t>1163</t>
  </si>
  <si>
    <t>https://t.me/motk_notification_bot?start=LTS-015-010</t>
  </si>
  <si>
    <t>🏛️ Ville de Saint-Denis
Service Habitat – Projet MOTK
Bonjour Gabrielle SAUTRON (EX RIVIERE)
Activez vos notifications logement :
Lien : https://t.me/motk_notification_bot?start=LTS-015-010
Code secret : 1163
Étapes : 1) Cliquez sur le lien 2) Appuyez sur Start 3) Envoyez votre numéro de téléphone 4) Envoyez votre code secret.</t>
  </si>
  <si>
    <t>1164</t>
  </si>
  <si>
    <t>https://t.me/motk_notification_bot?start=LTS-016-001</t>
  </si>
  <si>
    <t>🏛️ Ville de Saint-Denis
Service Habitat – Projet MOTK
Bonjour Anne Marie DUCHEMANN
Activez vos notifications logement :
Lien : https://t.me/motk_notification_bot?start=LTS-016-001
Code secret : 1164
Étapes : 1) Cliquez sur le lien 2) Appuyez sur Start 3) Envoyez votre numéro de téléphone 4) Envoyez votre code secret.</t>
  </si>
  <si>
    <t>1165</t>
  </si>
  <si>
    <t>https://t.me/motk_notification_bot?start=LTS-016-002</t>
  </si>
  <si>
    <t>🏛️ Ville de Saint-Denis
Service Habitat – Projet MOTK
Bonjour Marie  Anasthasie OINDA
Activez vos notifications logement :
Lien : https://t.me/motk_notification_bot?start=LTS-016-002
Code secret : 1165
Étapes : 1) Cliquez sur le lien 2) Appuyez sur Start 3) Envoyez votre numéro de téléphone 4) Envoyez votre code secret.</t>
  </si>
  <si>
    <t>1166</t>
  </si>
  <si>
    <t>https://t.me/motk_notification_bot?start=LTS-017-001</t>
  </si>
  <si>
    <t>🏛️ Ville de Saint-Denis
Service Habitat – Projet MOTK
Bonjour Marie Céline BANOR
Activez vos notifications logement :
Lien : https://t.me/motk_notification_bot?start=LTS-017-001
Code secret : 1166
Étapes : 1) Cliquez sur le lien 2) Appuyez sur Start 3) Envoyez votre numéro de téléphone 4) Envoyez votre code secret.</t>
  </si>
  <si>
    <t>1167</t>
  </si>
  <si>
    <t>https://t.me/motk_notification_bot?start=LTS-017-002</t>
  </si>
  <si>
    <t>🏛️ Ville de Saint-Denis
Service Habitat – Projet MOTK
Bonjour Gisèle Rénette BEGUE
Activez vos notifications logement :
Lien : https://t.me/motk_notification_bot?start=LTS-017-002
Code secret : 1167
Étapes : 1) Cliquez sur le lien 2) Appuyez sur Start 3) Envoyez votre numéro de téléphone 4) Envoyez votre code secret.</t>
  </si>
  <si>
    <t>1168</t>
  </si>
  <si>
    <t>https://t.me/motk_notification_bot?start=LTS-017-003</t>
  </si>
  <si>
    <t>🏛️ Ville de Saint-Denis
Service Habitat – Projet MOTK
Bonjour Eddy Jean Alain BEGUE
Activez vos notifications logement :
Lien : https://t.me/motk_notification_bot?start=LTS-017-003
Code secret : 1168
Étapes : 1) Cliquez sur le lien 2) Appuyez sur Start 3) Envoyez votre numéro de téléphone 4) Envoyez votre code secret.</t>
  </si>
  <si>
    <t>1169</t>
  </si>
  <si>
    <t>https://t.me/motk_notification_bot?start=LTS-017-004</t>
  </si>
  <si>
    <t>🏛️ Ville de Saint-Denis
Service Habitat – Projet MOTK
Bonjour Johny Paul BREDA
Activez vos notifications logement :
Lien : https://t.me/motk_notification_bot?start=LTS-017-004
Code secret : 1169
Étapes : 1) Cliquez sur le lien 2) Appuyez sur Start 3) Envoyez votre numéro de téléphone 4) Envoyez votre code secret.</t>
  </si>
  <si>
    <t>1170</t>
  </si>
  <si>
    <t>https://t.me/motk_notification_bot?start=LTS-017-005</t>
  </si>
  <si>
    <t>🏛️ Ville de Saint-Denis
Service Habitat – Projet MOTK
Bonjour Marie Suzie CHELES
Activez vos notifications logement :
Lien : https://t.me/motk_notification_bot?start=LTS-017-005
Code secret : 1170
Étapes : 1) Cliquez sur le lien 2) Appuyez sur Start 3) Envoyez votre numéro de téléphone 4) Envoyez votre code secret.</t>
  </si>
  <si>
    <t>1171</t>
  </si>
  <si>
    <t>https://t.me/motk_notification_bot?start=LTS-017-006</t>
  </si>
  <si>
    <t>🏛️ Ville de Saint-Denis
Service Habitat – Projet MOTK
Bonjour Marie Suzie DASSACHETTY
Activez vos notifications logement :
Lien : https://t.me/motk_notification_bot?start=LTS-017-006
Code secret : 1171
Étapes : 1) Cliquez sur le lien 2) Appuyez sur Start 3) Envoyez votre numéro de téléphone 4) Envoyez votre code secret.</t>
  </si>
  <si>
    <t>1172</t>
  </si>
  <si>
    <t>https://t.me/motk_notification_bot?start=LTS-017-007</t>
  </si>
  <si>
    <t>🏛️ Ville de Saint-Denis
Service Habitat – Projet MOTK
Bonjour Fabrice DIJOUX
Activez vos notifications logement :
Lien : https://t.me/motk_notification_bot?start=LTS-017-007
Code secret : 1172
Étapes : 1) Cliquez sur le lien 2) Appuyez sur Start 3) Envoyez votre numéro de téléphone 4) Envoyez votre code secret.</t>
  </si>
  <si>
    <t>1173</t>
  </si>
  <si>
    <t>https://t.me/motk_notification_bot?start=LTS-017-008</t>
  </si>
  <si>
    <t>🏛️ Ville de Saint-Denis
Service Habitat – Projet MOTK
Bonjour GIOVANNY JEAN CEDRIC PADRE
Activez vos notifications logement :
Lien : https://t.me/motk_notification_bot?start=LTS-017-008
Code secret : 1173
Étapes : 1) Cliquez sur le lien 2) Appuyez sur Start 3) Envoyez votre numéro de téléphone 4) Envoyez votre code secret.</t>
  </si>
  <si>
    <t>1174</t>
  </si>
  <si>
    <t>https://t.me/motk_notification_bot?start=LTS-017-009</t>
  </si>
  <si>
    <t>🏛️ Ville de Saint-Denis
Service Habitat – Projet MOTK
Bonjour Norbert DIJOUX
Activez vos notifications logement :
Lien : https://t.me/motk_notification_bot?start=LTS-017-009
Code secret : 1174
Étapes : 1) Cliquez sur le lien 2) Appuyez sur Start 3) Envoyez votre numéro de téléphone 4) Envoyez votre code secret.</t>
  </si>
  <si>
    <t>1175</t>
  </si>
  <si>
    <t>https://t.me/motk_notification_bot?start=LTS-017-010</t>
  </si>
  <si>
    <t>🏛️ Ville de Saint-Denis
Service Habitat – Projet MOTK
Bonjour Jimmy DIJOUX
Activez vos notifications logement :
Lien : https://t.me/motk_notification_bot?start=LTS-017-010
Code secret : 1175
Étapes : 1) Cliquez sur le lien 2) Appuyez sur Start 3) Envoyez votre numéro de téléphone 4) Envoyez votre code secret.</t>
  </si>
  <si>
    <t>1176</t>
  </si>
  <si>
    <t>https://t.me/motk_notification_bot?start=LTS-017-011</t>
  </si>
  <si>
    <t>🏛️ Ville de Saint-Denis
Service Habitat – Projet MOTK
Bonjour Denise Marlène DRULA
Activez vos notifications logement :
Lien : https://t.me/motk_notification_bot?start=LTS-017-011
Code secret : 1176
Étapes : 1) Cliquez sur le lien 2) Appuyez sur Start 3) Envoyez votre numéro de téléphone 4) Envoyez votre code secret.</t>
  </si>
  <si>
    <t>1177</t>
  </si>
  <si>
    <t>https://t.me/motk_notification_bot?start=LTS-017-012</t>
  </si>
  <si>
    <t>🏛️ Ville de Saint-Denis
Service Habitat – Projet MOTK
Bonjour BRUNO LEBRETON
Activez vos notifications logement :
Lien : https://t.me/motk_notification_bot?start=LTS-017-012
Code secret : 1177
Étapes : 1) Cliquez sur le lien 2) Appuyez sur Start 3) Envoyez votre numéro de téléphone 4) Envoyez votre code secret.</t>
  </si>
  <si>
    <t>1178</t>
  </si>
  <si>
    <t>https://t.me/motk_notification_bot?start=LTS-017-013</t>
  </si>
  <si>
    <t>🏛️ Ville de Saint-Denis
Service Habitat – Projet MOTK
Bonjour Jean Paul DUCAP
Activez vos notifications logement :
Lien : https://t.me/motk_notification_bot?start=LTS-017-013
Code secret : 1178
Étapes : 1) Cliquez sur le lien 2) Appuyez sur Start 3) Envoyez votre numéro de téléphone 4) Envoyez votre code secret.</t>
  </si>
  <si>
    <t>1179</t>
  </si>
  <si>
    <t>https://t.me/motk_notification_bot?start=LTS-017-014</t>
  </si>
  <si>
    <t>🏛️ Ville de Saint-Denis
Service Habitat – Projet MOTK
Bonjour Lindsay Marie Josie DUCAP
Activez vos notifications logement :
Lien : https://t.me/motk_notification_bot?start=LTS-017-014
Code secret : 1179
Étapes : 1) Cliquez sur le lien 2) Appuyez sur Start 3) Envoyez votre numéro de téléphone 4) Envoyez votre code secret.</t>
  </si>
  <si>
    <t>1180</t>
  </si>
  <si>
    <t>https://t.me/motk_notification_bot?start=LTS-017-015</t>
  </si>
  <si>
    <t>🏛️ Ville de Saint-Denis
Service Habitat – Projet MOTK
Bonjour Philippe DUCHEMANN
Activez vos notifications logement :
Lien : https://t.me/motk_notification_bot?start=LTS-017-015
Code secret : 1180
Étapes : 1) Cliquez sur le lien 2) Appuyez sur Start 3) Envoyez votre numéro de téléphone 4) Envoyez votre code secret.</t>
  </si>
  <si>
    <t>1181</t>
  </si>
  <si>
    <t>https://t.me/motk_notification_bot?start=LTS-017-016</t>
  </si>
  <si>
    <t>🏛️ Ville de Saint-Denis
Service Habitat – Projet MOTK
Bonjour Mathilde ELISABETH
Activez vos notifications logement :
Lien : https://t.me/motk_notification_bot?start=LTS-017-016
Code secret : 1181
Étapes : 1) Cliquez sur le lien 2) Appuyez sur Start 3) Envoyez votre numéro de téléphone 4) Envoyez votre code secret.</t>
  </si>
  <si>
    <t>1182</t>
  </si>
  <si>
    <t>https://t.me/motk_notification_bot?start=LTS-017-017</t>
  </si>
  <si>
    <t>🏛️ Ville de Saint-Denis
Service Habitat – Projet MOTK
Bonjour Jean Yves ESPEL
Activez vos notifications logement :
Lien : https://t.me/motk_notification_bot?start=LTS-017-017
Code secret : 1182
Étapes : 1) Cliquez sur le lien 2) Appuyez sur Start 3) Envoyez votre numéro de téléphone 4) Envoyez votre code secret.</t>
  </si>
  <si>
    <t>1183</t>
  </si>
  <si>
    <t>https://t.me/motk_notification_bot?start=LTS-017-018</t>
  </si>
  <si>
    <t>🏛️ Ville de Saint-Denis
Service Habitat – Projet MOTK
Bonjour Géraldine EVAN
Activez vos notifications logement :
Lien : https://t.me/motk_notification_bot?start=LTS-017-018
Code secret : 1183
Étapes : 1) Cliquez sur le lien 2) Appuyez sur Start 3) Envoyez votre numéro de téléphone 4) Envoyez votre code secret.</t>
  </si>
  <si>
    <t>1184</t>
  </si>
  <si>
    <t>https://t.me/motk_notification_bot?start=LTS-017-019</t>
  </si>
  <si>
    <t>🏛️ Ville de Saint-Denis
Service Habitat – Projet MOTK
Bonjour Germaine FURCY
Activez vos notifications logement :
Lien : https://t.me/motk_notification_bot?start=LTS-017-019
Code secret : 1184
Étapes : 1) Cliquez sur le lien 2) Appuyez sur Start 3) Envoyez votre numéro de téléphone 4) Envoyez votre code secret.</t>
  </si>
  <si>
    <t>1185</t>
  </si>
  <si>
    <t>https://t.me/motk_notification_bot?start=LTS-017-020</t>
  </si>
  <si>
    <t>🏛️ Ville de Saint-Denis
Service Habitat – Projet MOTK
Bonjour Emilienne GANGNANT
Activez vos notifications logement :
Lien : https://t.me/motk_notification_bot?start=LTS-017-020
Code secret : 1185
Étapes : 1) Cliquez sur le lien 2) Appuyez sur Start 3) Envoyez votre numéro de téléphone 4) Envoyez votre code secret.</t>
  </si>
  <si>
    <t>1186</t>
  </si>
  <si>
    <t>https://t.me/motk_notification_bot?start=LTS-017-021</t>
  </si>
  <si>
    <t>🏛️ Ville de Saint-Denis
Service Habitat – Projet MOTK
Bonjour Patrick GROSSET
Activez vos notifications logement :
Lien : https://t.me/motk_notification_bot?start=LTS-017-021
Code secret : 1186
Étapes : 1) Cliquez sur le lien 2) Appuyez sur Start 3) Envoyez votre numéro de téléphone 4) Envoyez votre code secret.</t>
  </si>
  <si>
    <t>1187</t>
  </si>
  <si>
    <t>https://t.me/motk_notification_bot?start=LTS-017-022</t>
  </si>
  <si>
    <t>🏛️ Ville de Saint-Denis
Service Habitat – Projet MOTK
Bonjour Florence HOARAU
Activez vos notifications logement :
Lien : https://t.me/motk_notification_bot?start=LTS-017-022
Code secret : 1187
Étapes : 1) Cliquez sur le lien 2) Appuyez sur Start 3) Envoyez votre numéro de téléphone 4) Envoyez votre code secret.</t>
  </si>
  <si>
    <t>1188</t>
  </si>
  <si>
    <t>https://t.me/motk_notification_bot?start=LTS-017-023</t>
  </si>
  <si>
    <t>🏛️ Ville de Saint-Denis
Service Habitat – Projet MOTK
Bonjour François Patrick HOARAU
Activez vos notifications logement :
Lien : https://t.me/motk_notification_bot?start=LTS-017-023
Code secret : 1188
Étapes : 1) Cliquez sur le lien 2) Appuyez sur Start 3) Envoyez votre numéro de téléphone 4) Envoyez votre code secret.</t>
  </si>
  <si>
    <t>1189</t>
  </si>
  <si>
    <t>https://t.me/motk_notification_bot?start=LTS-017-024</t>
  </si>
  <si>
    <t>🏛️ Ville de Saint-Denis
Service Habitat – Projet MOTK
Bonjour MARIE MELANIE GETOIS
Activez vos notifications logement :
Lien : https://t.me/motk_notification_bot?start=LTS-017-024
Code secret : 1189
Étapes : 1) Cliquez sur le lien 2) Appuyez sur Start 3) Envoyez votre numéro de téléphone 4) Envoyez votre code secret.</t>
  </si>
  <si>
    <t>1190</t>
  </si>
  <si>
    <t>https://t.me/motk_notification_bot?start=LTS-017-025</t>
  </si>
  <si>
    <t>🏛️ Ville de Saint-Denis
Service Habitat – Projet MOTK
Bonjour Bernadette PUYLAURENT
Activez vos notifications logement :
Lien : https://t.me/motk_notification_bot?start=LTS-017-025
Code secret : 1190
Étapes : 1) Cliquez sur le lien 2) Appuyez sur Start 3) Envoyez votre numéro de téléphone 4) Envoyez votre code secret.</t>
  </si>
  <si>
    <t>1191</t>
  </si>
  <si>
    <t>https://t.me/motk_notification_bot?start=LTS-017-026</t>
  </si>
  <si>
    <t>🏛️ Ville de Saint-Denis
Service Habitat – Projet MOTK
Bonjour Daniel Hugues JULIENNE
Activez vos notifications logement :
Lien : https://t.me/motk_notification_bot?start=LTS-017-026
Code secret : 1191
Étapes : 1) Cliquez sur le lien 2) Appuyez sur Start 3) Envoyez votre numéro de téléphone 4) Envoyez votre code secret.</t>
  </si>
  <si>
    <t>1192</t>
  </si>
  <si>
    <t>https://t.me/motk_notification_bot?start=LTS-017-027</t>
  </si>
  <si>
    <t>🏛️ Ville de Saint-Denis
Service Habitat – Projet MOTK
Bonjour Audrey M'TIMA
Activez vos notifications logement :
Lien : https://t.me/motk_notification_bot?start=LTS-017-027
Code secret : 1192
Étapes : 1) Cliquez sur le lien 2) Appuyez sur Start 3) Envoyez votre numéro de téléphone 4) Envoyez votre code secret.</t>
  </si>
  <si>
    <t>1193</t>
  </si>
  <si>
    <t>https://t.me/motk_notification_bot?start=LTS-017-028</t>
  </si>
  <si>
    <t>🏛️ Ville de Saint-Denis
Service Habitat – Projet MOTK
Bonjour Augustin MANDERE
Activez vos notifications logement :
Lien : https://t.me/motk_notification_bot?start=LTS-017-028
Code secret : 1193
Étapes : 1) Cliquez sur le lien 2) Appuyez sur Start 3) Envoyez votre numéro de téléphone 4) Envoyez votre code secret.</t>
  </si>
  <si>
    <t>1194</t>
  </si>
  <si>
    <t>https://t.me/motk_notification_bot?start=LTS-017-029</t>
  </si>
  <si>
    <t>🏛️ Ville de Saint-Denis
Service Habitat – Projet MOTK
Bonjour THIERRY LUCAIN
Activez vos notifications logement :
Lien : https://t.me/motk_notification_bot?start=LTS-017-029
Code secret : 1194
Étapes : 1) Cliquez sur le lien 2) Appuyez sur Start 3) Envoyez votre numéro de téléphone 4) Envoyez votre code secret.</t>
  </si>
  <si>
    <t>1195</t>
  </si>
  <si>
    <t>https://t.me/motk_notification_bot?start=LTS-017-030</t>
  </si>
  <si>
    <t>🏛️ Ville de Saint-Denis
Service Habitat – Projet MOTK
Bonjour Sidonie Marie Geneviève MARTIN
Activez vos notifications logement :
Lien : https://t.me/motk_notification_bot?start=LTS-017-030
Code secret : 1195
Étapes : 1) Cliquez sur le lien 2) Appuyez sur Start 3) Envoyez votre numéro de téléphone 4) Envoyez votre code secret.</t>
  </si>
  <si>
    <t>1196</t>
  </si>
  <si>
    <t>https://t.me/motk_notification_bot?start=LTS-017-031</t>
  </si>
  <si>
    <t>🏛️ Ville de Saint-Denis
Service Habitat – Projet MOTK
Bonjour Jacques Alfred MAXIMIN
Activez vos notifications logement :
Lien : https://t.me/motk_notification_bot?start=LTS-017-031
Code secret : 1196
Étapes : 1) Cliquez sur le lien 2) Appuyez sur Start 3) Envoyez votre numéro de téléphone 4) Envoyez votre code secret.</t>
  </si>
  <si>
    <t>1197</t>
  </si>
  <si>
    <t>https://t.me/motk_notification_bot?start=LTS-017-032</t>
  </si>
  <si>
    <t>🏛️ Ville de Saint-Denis
Service Habitat – Projet MOTK
Bonjour Luc Henri MAXIMIN
Activez vos notifications logement :
Lien : https://t.me/motk_notification_bot?start=LTS-017-032
Code secret : 1197
Étapes : 1) Cliquez sur le lien 2) Appuyez sur Start 3) Envoyez votre numéro de téléphone 4) Envoyez votre code secret.</t>
  </si>
  <si>
    <t>1198</t>
  </si>
  <si>
    <t>https://t.me/motk_notification_bot?start=LTS-017-033</t>
  </si>
  <si>
    <t>🏛️ Ville de Saint-Denis
Service Habitat – Projet MOTK
Bonjour BRICE HOARAU
Activez vos notifications logement :
Lien : https://t.me/motk_notification_bot?start=LTS-017-033
Code secret : 1198
Étapes : 1) Cliquez sur le lien 2) Appuyez sur Start 3) Envoyez votre numéro de téléphone 4) Envoyez votre code secret.</t>
  </si>
  <si>
    <t>1199</t>
  </si>
  <si>
    <t>https://t.me/motk_notification_bot?start=LTS-017-034</t>
  </si>
  <si>
    <t>🏛️ Ville de Saint-Denis
Service Habitat – Projet MOTK
Bonjour René Michel MIRANVILLE
Activez vos notifications logement :
Lien : https://t.me/motk_notification_bot?start=LTS-017-034
Code secret : 1199
Étapes : 1) Cliquez sur le lien 2) Appuyez sur Start 3) Envoyez votre numéro de téléphone 4) Envoyez votre code secret.</t>
  </si>
  <si>
    <t>1200</t>
  </si>
  <si>
    <t>https://t.me/motk_notification_bot?start=LTS-017-035</t>
  </si>
  <si>
    <t>🏛️ Ville de Saint-Denis
Service Habitat – Projet MOTK
Bonjour Ivrin MOUTOUSSAMY
Activez vos notifications logement :
Lien : https://t.me/motk_notification_bot?start=LTS-017-035
Code secret : 1200
Étapes : 1) Cliquez sur le lien 2) Appuyez sur Start 3) Envoyez votre numéro de téléphone 4) Envoyez votre code secret.</t>
  </si>
  <si>
    <t>1201</t>
  </si>
  <si>
    <t>https://t.me/motk_notification_bot?start=LTS-017-036</t>
  </si>
  <si>
    <t>🏛️ Ville de Saint-Denis
Service Habitat – Projet MOTK
Bonjour ANAIS MARIE ELIANE BREDA
Activez vos notifications logement :
Lien : https://t.me/motk_notification_bot?start=LTS-017-036
Code secret : 1201
Étapes : 1) Cliquez sur le lien 2) Appuyez sur Start 3) Envoyez votre numéro de téléphone 4) Envoyez votre code secret.</t>
  </si>
  <si>
    <t>1202</t>
  </si>
  <si>
    <t>https://t.me/motk_notification_bot?start=LTS-017-037</t>
  </si>
  <si>
    <t>🏛️ Ville de Saint-Denis
Service Habitat – Projet MOTK
Bonjour PATRICK CHARLES RAPHAEL ORRICO
Activez vos notifications logement :
Lien : https://t.me/motk_notification_bot?start=LTS-017-037
Code secret : 1202
Étapes : 1) Cliquez sur le lien 2) Appuyez sur Start 3) Envoyez votre numéro de téléphone 4) Envoyez votre code secret.</t>
  </si>
  <si>
    <t>1203</t>
  </si>
  <si>
    <t>https://t.me/motk_notification_bot?start=LTS-017-038</t>
  </si>
  <si>
    <t>🏛️ Ville de Saint-Denis
Service Habitat – Projet MOTK
Bonjour André Michel PARAZIE
Activez vos notifications logement :
Lien : https://t.me/motk_notification_bot?start=LTS-017-038
Code secret : 1203
Étapes : 1) Cliquez sur le lien 2) Appuyez sur Start 3) Envoyez votre numéro de téléphone 4) Envoyez votre code secret.</t>
  </si>
  <si>
    <t>1204</t>
  </si>
  <si>
    <t>https://t.me/motk_notification_bot?start=LTS-017-039</t>
  </si>
  <si>
    <t>🏛️ Ville de Saint-Denis
Service Habitat – Projet MOTK
Bonjour Jessie Marie Christelle REFITAHA
Activez vos notifications logement :
Lien : https://t.me/motk_notification_bot?start=LTS-017-039
Code secret : 1204
Étapes : 1) Cliquez sur le lien 2) Appuyez sur Start 3) Envoyez votre numéro de téléphone 4) Envoyez votre code secret.</t>
  </si>
  <si>
    <t>1205</t>
  </si>
  <si>
    <t>https://t.me/motk_notification_bot?start=LTS-017-040</t>
  </si>
  <si>
    <t>🏛️ Ville de Saint-Denis
Service Habitat – Projet MOTK
Bonjour
Activez vos notifications logement :
Lien : https://t.me/motk_notification_bot?start=LTS-017-040
Code secret : 1205
Étapes : 1) Cliquez sur le lien 2) Appuyez sur Start 3) Envoyez votre numéro de téléphone 4) Envoyez votre code secret.</t>
  </si>
  <si>
    <t>1206</t>
  </si>
  <si>
    <t>https://t.me/motk_notification_bot?start=LTS-017-041</t>
  </si>
  <si>
    <t>🏛️ Ville de Saint-Denis
Service Habitat – Projet MOTK
Bonjour Sully SUMATRA
Activez vos notifications logement :
Lien : https://t.me/motk_notification_bot?start=LTS-017-041
Code secret : 1206
Étapes : 1) Cliquez sur le lien 2) Appuyez sur Start 3) Envoyez votre numéro de téléphone 4) Envoyez votre code secret.</t>
  </si>
  <si>
    <t>1207</t>
  </si>
  <si>
    <t>https://t.me/motk_notification_bot?start=LTS-017-042</t>
  </si>
  <si>
    <t>🏛️ Ville de Saint-Denis
Service Habitat – Projet MOTK
Bonjour Bertrand TIMON
Activez vos notifications logement :
Lien : https://t.me/motk_notification_bot?start=LTS-017-042
Code secret : 1207
Étapes : 1) Cliquez sur le lien 2) Appuyez sur Start 3) Envoyez votre numéro de téléphone 4) Envoyez votre code secret.</t>
  </si>
  <si>
    <t>1208</t>
  </si>
  <si>
    <t>https://t.me/motk_notification_bot?start=LTS-017-043</t>
  </si>
  <si>
    <t>🏛️ Ville de Saint-Denis
Service Habitat – Projet MOTK
Bonjour Freddy DORMEUIL
Activez vos notifications logement :
Lien : https://t.me/motk_notification_bot?start=LTS-017-043
Code secret : 1208
Étapes : 1) Cliquez sur le lien 2) Appuyez sur Start 3) Envoyez votre numéro de téléphone 4) Envoyez votre code secret.</t>
  </si>
  <si>
    <t>1209</t>
  </si>
  <si>
    <t>https://t.me/motk_notification_bot?start=LTS-017-044</t>
  </si>
  <si>
    <t>🏛️ Ville de Saint-Denis
Service Habitat – Projet MOTK
Bonjour Jocelyn VIRAMA
Activez vos notifications logement :
Lien : https://t.me/motk_notification_bot?start=LTS-017-044
Code secret : 1209
Étapes : 1) Cliquez sur le lien 2) Appuyez sur Start 3) Envoyez votre numéro de téléphone 4) Envoyez votre code secret.</t>
  </si>
  <si>
    <t>1210</t>
  </si>
  <si>
    <t>https://t.me/motk_notification_bot?start=LTS-017-045</t>
  </si>
  <si>
    <t>🏛️ Ville de Saint-Denis
Service Habitat – Projet MOTK
Bonjour Angélique ZITTE
Activez vos notifications logement :
Lien : https://t.me/motk_notification_bot?start=LTS-017-045
Code secret : 1210
Étapes : 1) Cliquez sur le lien 2) Appuyez sur Start 3) Envoyez votre numéro de téléphone 4) Envoyez votre code secret.</t>
  </si>
  <si>
    <t>1211</t>
  </si>
  <si>
    <t>https://t.me/motk_notification_bot?start=LTS-018-001</t>
  </si>
  <si>
    <t>🏛️ Ville de Saint-Denis
Service Habitat – Projet MOTK
Bonjour Jean Paul APAYA
Activez vos notifications logement :
Lien : https://t.me/motk_notification_bot?start=LTS-018-001
Code secret : 1211
Étapes : 1) Cliquez sur le lien 2) Appuyez sur Start 3) Envoyez votre numéro de téléphone 4) Envoyez votre code secret.</t>
  </si>
  <si>
    <t>1212</t>
  </si>
  <si>
    <t>https://t.me/motk_notification_bot?start=LTS-018-002</t>
  </si>
  <si>
    <t>🏛️ Ville de Saint-Denis
Service Habitat – Projet MOTK
Bonjour Jean Pierre AUBER
Activez vos notifications logement :
Lien : https://t.me/motk_notification_bot?start=LTS-018-002
Code secret : 1212
Étapes : 1) Cliquez sur le lien 2) Appuyez sur Start 3) Envoyez votre numéro de téléphone 4) Envoyez votre code secret.</t>
  </si>
  <si>
    <t>1213</t>
  </si>
  <si>
    <t>https://t.me/motk_notification_bot?start=LTS-018-003</t>
  </si>
  <si>
    <t>🏛️ Ville de Saint-Denis
Service Habitat – Projet MOTK
Bonjour Marie Therese CHAMBAUD
Activez vos notifications logement :
Lien : https://t.me/motk_notification_bot?start=LTS-018-003
Code secret : 1213
Étapes : 1) Cliquez sur le lien 2) Appuyez sur Start 3) Envoyez votre numéro de téléphone 4) Envoyez votre code secret.</t>
  </si>
  <si>
    <t>1214</t>
  </si>
  <si>
    <t>https://t.me/motk_notification_bot?start=LTS-018-004</t>
  </si>
  <si>
    <t>🏛️ Ville de Saint-Denis
Service Habitat – Projet MOTK
Bonjour Marie Thérèse BARAKE
Activez vos notifications logement :
Lien : https://t.me/motk_notification_bot?start=LTS-018-004
Code secret : 1214
Étapes : 1) Cliquez sur le lien 2) Appuyez sur Start 3) Envoyez votre numéro de téléphone 4) Envoyez votre code secret.</t>
  </si>
  <si>
    <t>1215</t>
  </si>
  <si>
    <t>https://t.me/motk_notification_bot?start=LTS-018-005</t>
  </si>
  <si>
    <t>🏛️ Ville de Saint-Denis
Service Habitat – Projet MOTK
Bonjour Marie Roseline BARAKE
Activez vos notifications logement :
Lien : https://t.me/motk_notification_bot?start=LTS-018-005
Code secret : 1215
Étapes : 1) Cliquez sur le lien 2) Appuyez sur Start 3) Envoyez votre numéro de téléphone 4) Envoyez votre code secret.</t>
  </si>
  <si>
    <t>1216</t>
  </si>
  <si>
    <t>https://t.me/motk_notification_bot?start=LTS-018-006</t>
  </si>
  <si>
    <t>🏛️ Ville de Saint-Denis
Service Habitat – Projet MOTK
Bonjour Jean Pascal BIDOIS
Activez vos notifications logement :
Lien : https://t.me/motk_notification_bot?start=LTS-018-006
Code secret : 1216
Étapes : 1) Cliquez sur le lien 2) Appuyez sur Start 3) Envoyez votre numéro de téléphone 4) Envoyez votre code secret.</t>
  </si>
  <si>
    <t>1217</t>
  </si>
  <si>
    <t>https://t.me/motk_notification_bot?start=LTS-018-007</t>
  </si>
  <si>
    <t>🏛️ Ville de Saint-Denis
Service Habitat – Projet MOTK
Bonjour Heliard BORDIER
Activez vos notifications logement :
Lien : https://t.me/motk_notification_bot?start=LTS-018-007
Code secret : 1217
Étapes : 1) Cliquez sur le lien 2) Appuyez sur Start 3) Envoyez votre numéro de téléphone 4) Envoyez votre code secret.</t>
  </si>
  <si>
    <t>1218</t>
  </si>
  <si>
    <t>https://t.me/motk_notification_bot?start=LTS-018-008</t>
  </si>
  <si>
    <t>🏛️ Ville de Saint-Denis
Service Habitat – Projet MOTK
Bonjour  BRANCARD
Activez vos notifications logement :
Lien : https://t.me/motk_notification_bot?start=LTS-018-008
Code secret : 1218
Étapes : 1) Cliquez sur le lien 2) Appuyez sur Start 3) Envoyez votre numéro de téléphone 4) Envoyez votre code secret.</t>
  </si>
  <si>
    <t>1219</t>
  </si>
  <si>
    <t>https://t.me/motk_notification_bot?start=LTS-018-009</t>
  </si>
  <si>
    <t>🏛️ Ville de Saint-Denis
Service Habitat – Projet MOTK
Bonjour Marie Kelly CADY
Activez vos notifications logement :
Lien : https://t.me/motk_notification_bot?start=LTS-018-009
Code secret : 1219
Étapes : 1) Cliquez sur le lien 2) Appuyez sur Start 3) Envoyez votre numéro de téléphone 4) Envoyez votre code secret.</t>
  </si>
  <si>
    <t>1220</t>
  </si>
  <si>
    <t>https://t.me/motk_notification_bot?start=LTS-018-010</t>
  </si>
  <si>
    <t>🏛️ Ville de Saint-Denis
Service Habitat – Projet MOTK
Bonjour Chantal CHEFFIARE
Activez vos notifications logement :
Lien : https://t.me/motk_notification_bot?start=LTS-018-010
Code secret : 1220
Étapes : 1) Cliquez sur le lien 2) Appuyez sur Start 3) Envoyez votre numéro de téléphone 4) Envoyez votre code secret.</t>
  </si>
  <si>
    <t>1221</t>
  </si>
  <si>
    <t>https://t.me/motk_notification_bot?start=LTS-018-011</t>
  </si>
  <si>
    <t>🏛️ Ville de Saint-Denis
Service Habitat – Projet MOTK
Bonjour Marie Annick DIJOUX
Activez vos notifications logement :
Lien : https://t.me/motk_notification_bot?start=LTS-018-011
Code secret : 1221
Étapes : 1) Cliquez sur le lien 2) Appuyez sur Start 3) Envoyez votre numéro de téléphone 4) Envoyez votre code secret.</t>
  </si>
  <si>
    <t>1222</t>
  </si>
  <si>
    <t>https://t.me/motk_notification_bot?start=LTS-018-012</t>
  </si>
  <si>
    <t>🏛️ Ville de Saint-Denis
Service Habitat – Projet MOTK
Bonjour Marie Elodie HOARAU
Activez vos notifications logement :
Lien : https://t.me/motk_notification_bot?start=LTS-018-012
Code secret : 1222
Étapes : 1) Cliquez sur le lien 2) Appuyez sur Start 3) Envoyez votre numéro de téléphone 4) Envoyez votre code secret.</t>
  </si>
  <si>
    <t>1223</t>
  </si>
  <si>
    <t>https://t.me/motk_notification_bot?start=LTS-018-013</t>
  </si>
  <si>
    <t>🏛️ Ville de Saint-Denis
Service Habitat – Projet MOTK
Bonjour MARIE THERESE ARLETTE HUBERT
Activez vos notifications logement :
Lien : https://t.me/motk_notification_bot?start=LTS-018-013
Code secret : 1223
Étapes : 1) Cliquez sur le lien 2) Appuyez sur Start 3) Envoyez votre numéro de téléphone 4) Envoyez votre code secret.</t>
  </si>
  <si>
    <t>1224</t>
  </si>
  <si>
    <t>https://t.me/motk_notification_bot?start=LTS-018-014</t>
  </si>
  <si>
    <t>🏛️ Ville de Saint-Denis
Service Habitat – Projet MOTK
Bonjour IRENE HUBERT
Activez vos notifications logement :
Lien : https://t.me/motk_notification_bot?start=LTS-018-014
Code secret : 1224
Étapes : 1) Cliquez sur le lien 2) Appuyez sur Start 3) Envoyez votre numéro de téléphone 4) Envoyez votre code secret.</t>
  </si>
  <si>
    <t>1225</t>
  </si>
  <si>
    <t>https://t.me/motk_notification_bot?start=LTS-018-015</t>
  </si>
  <si>
    <t>🏛️ Ville de Saint-Denis
Service Habitat – Projet MOTK
Bonjour Marie Alice IEVE
Activez vos notifications logement :
Lien : https://t.me/motk_notification_bot?start=LTS-018-015
Code secret : 1225
Étapes : 1) Cliquez sur le lien 2) Appuyez sur Start 3) Envoyez votre numéro de téléphone 4) Envoyez votre code secret.</t>
  </si>
  <si>
    <t>1226</t>
  </si>
  <si>
    <t>https://t.me/motk_notification_bot?start=LTS-018-016</t>
  </si>
  <si>
    <t>🏛️ Ville de Saint-Denis
Service Habitat – Projet MOTK
Bonjour Marie Stéphanie IFANGOUSINE
Activez vos notifications logement :
Lien : https://t.me/motk_notification_bot?start=LTS-018-016
Code secret : 1226
Étapes : 1) Cliquez sur le lien 2) Appuyez sur Start 3) Envoyez votre numéro de téléphone 4) Envoyez votre code secret.</t>
  </si>
  <si>
    <t>1227</t>
  </si>
  <si>
    <t>https://t.me/motk_notification_bot?start=LTS-018-017</t>
  </si>
  <si>
    <t>🏛️ Ville de Saint-Denis
Service Habitat – Projet MOTK
Bonjour Catherine LEBEAU
Activez vos notifications logement :
Lien : https://t.me/motk_notification_bot?start=LTS-018-017
Code secret : 1227
Étapes : 1) Cliquez sur le lien 2) Appuyez sur Start 3) Envoyez votre numéro de téléphone 4) Envoyez votre code secret.</t>
  </si>
  <si>
    <t>1228</t>
  </si>
  <si>
    <t>https://t.me/motk_notification_bot?start=LTS-018-018</t>
  </si>
  <si>
    <t>🏛️ Ville de Saint-Denis
Service Habitat – Projet MOTK
Bonjour Alexandrine LEBON
Activez vos notifications logement :
Lien : https://t.me/motk_notification_bot?start=LTS-018-018
Code secret : 1228
Étapes : 1) Cliquez sur le lien 2) Appuyez sur Start 3) Envoyez votre numéro de téléphone 4) Envoyez votre code secret.</t>
  </si>
  <si>
    <t>1229</t>
  </si>
  <si>
    <t>https://t.me/motk_notification_bot?start=LTS-018-019</t>
  </si>
  <si>
    <t>🏛️ Ville de Saint-Denis
Service Habitat – Projet MOTK
Bonjour Marie Claudette MACA INOURE
Activez vos notifications logement :
Lien : https://t.me/motk_notification_bot?start=LTS-018-019
Code secret : 1229
Étapes : 1) Cliquez sur le lien 2) Appuyez sur Start 3) Envoyez votre numéro de téléphone 4) Envoyez votre code secret.</t>
  </si>
  <si>
    <t>1230</t>
  </si>
  <si>
    <t>https://t.me/motk_notification_bot?start=LTS-018-020</t>
  </si>
  <si>
    <t>🏛️ Ville de Saint-Denis
Service Habitat – Projet MOTK
Bonjour Dalila Isabelle MAILLOT
Activez vos notifications logement :
Lien : https://t.me/motk_notification_bot?start=LTS-018-020
Code secret : 1230
Étapes : 1) Cliquez sur le lien 2) Appuyez sur Start 3) Envoyez votre numéro de téléphone 4) Envoyez votre code secret.</t>
  </si>
  <si>
    <t>1231</t>
  </si>
  <si>
    <t>https://t.me/motk_notification_bot?start=LTS-018-021</t>
  </si>
  <si>
    <t>🏛️ Ville de Saint-Denis
Service Habitat – Projet MOTK
Bonjour Josiane MALET
Activez vos notifications logement :
Lien : https://t.me/motk_notification_bot?start=LTS-018-021
Code secret : 1231
Étapes : 1) Cliquez sur le lien 2) Appuyez sur Start 3) Envoyez votre numéro de téléphone 4) Envoyez votre code secret.</t>
  </si>
  <si>
    <t>1232</t>
  </si>
  <si>
    <t>https://t.me/motk_notification_bot?start=LTS-018-022</t>
  </si>
  <si>
    <t>🏛️ Ville de Saint-Denis
Service Habitat – Projet MOTK
Bonjour GAËL JEAN CEDRIC MALET
Activez vos notifications logement :
Lien : https://t.me/motk_notification_bot?start=LTS-018-022
Code secret : 1232
Étapes : 1) Cliquez sur le lien 2) Appuyez sur Start 3) Envoyez votre numéro de téléphone 4) Envoyez votre code secret.</t>
  </si>
  <si>
    <t>1233</t>
  </si>
  <si>
    <t>https://t.me/motk_notification_bot?start=LTS-018-023</t>
  </si>
  <si>
    <t>🏛️ Ville de Saint-Denis
Service Habitat – Projet MOTK
Bonjour Marie Aliette MOUTOUSSAMY
Activez vos notifications logement :
Lien : https://t.me/motk_notification_bot?start=LTS-018-023
Code secret : 1233
Étapes : 1) Cliquez sur le lien 2) Appuyez sur Start 3) Envoyez votre numéro de téléphone 4) Envoyez votre code secret.</t>
  </si>
  <si>
    <t>1234</t>
  </si>
  <si>
    <t>https://t.me/motk_notification_bot?start=LTS-018-024</t>
  </si>
  <si>
    <t>🏛️ Ville de Saint-Denis
Service Habitat – Projet MOTK
Bonjour Rose May IVA
Activez vos notifications logement :
Lien : https://t.me/motk_notification_bot?start=LTS-018-024
Code secret : 1234
Étapes : 1) Cliquez sur le lien 2) Appuyez sur Start 3) Envoyez votre numéro de téléphone 4) Envoyez votre code secret.</t>
  </si>
  <si>
    <t>1235</t>
  </si>
  <si>
    <t>https://t.me/motk_notification_bot?start=LTS-018-025</t>
  </si>
  <si>
    <t>🏛️ Ville de Saint-Denis
Service Habitat – Projet MOTK
Bonjour Marie Jacqueline NAVOU SIROUMBAL
Activez vos notifications logement :
Lien : https://t.me/motk_notification_bot?start=LTS-018-025
Code secret : 1235
Étapes : 1) Cliquez sur le lien 2) Appuyez sur Start 3) Envoyez votre numéro de téléphone 4) Envoyez votre code secret.</t>
  </si>
  <si>
    <t>1236</t>
  </si>
  <si>
    <t>https://t.me/motk_notification_bot?start=LTS-018-026</t>
  </si>
  <si>
    <t>🏛️ Ville de Saint-Denis
Service Habitat – Projet MOTK
Bonjour Jean Victor PARIS
Activez vos notifications logement :
Lien : https://t.me/motk_notification_bot?start=LTS-018-026
Code secret : 1236
Étapes : 1) Cliquez sur le lien 2) Appuyez sur Start 3) Envoyez votre numéro de téléphone 4) Envoyez votre code secret.</t>
  </si>
  <si>
    <t>1237</t>
  </si>
  <si>
    <t>https://t.me/motk_notification_bot?start=LTS-018-027</t>
  </si>
  <si>
    <t>🏛️ Ville de Saint-Denis
Service Habitat – Projet MOTK
Bonjour Valérie PHILEAS
Activez vos notifications logement :
Lien : https://t.me/motk_notification_bot?start=LTS-018-027
Code secret : 1237
Étapes : 1) Cliquez sur le lien 2) Appuyez sur Start 3) Envoyez votre numéro de téléphone 4) Envoyez votre code secret.</t>
  </si>
  <si>
    <t>1238</t>
  </si>
  <si>
    <t>https://t.me/motk_notification_bot?start=LTS-018-028</t>
  </si>
  <si>
    <t>🏛️ Ville de Saint-Denis
Service Habitat – Projet MOTK
Bonjour Josiane PRETO
Activez vos notifications logement :
Lien : https://t.me/motk_notification_bot?start=LTS-018-028
Code secret : 1238
Étapes : 1) Cliquez sur le lien 2) Appuyez sur Start 3) Envoyez votre numéro de téléphone 4) Envoyez votre code secret.</t>
  </si>
  <si>
    <t>1239</t>
  </si>
  <si>
    <t>https://t.me/motk_notification_bot?start=LTS-018-029</t>
  </si>
  <si>
    <t>🏛️ Ville de Saint-Denis
Service Habitat – Projet MOTK
Bonjour Marie Daisy RAMAYE
Activez vos notifications logement :
Lien : https://t.me/motk_notification_bot?start=LTS-018-029
Code secret : 1239
Étapes : 1) Cliquez sur le lien 2) Appuyez sur Start 3) Envoyez votre numéro de téléphone 4) Envoyez votre code secret.</t>
  </si>
  <si>
    <t>1240</t>
  </si>
  <si>
    <t>https://t.me/motk_notification_bot?start=LTS-018-030</t>
  </si>
  <si>
    <t>🏛️ Ville de Saint-Denis
Service Habitat – Projet MOTK
Bonjour Ludovic Jacky RAMAYE
Activez vos notifications logement :
Lien : https://t.me/motk_notification_bot?start=LTS-018-030
Code secret : 1240
Étapes : 1) Cliquez sur le lien 2) Appuyez sur Start 3) Envoyez votre numéro de téléphone 4) Envoyez votre code secret.</t>
  </si>
  <si>
    <t>1241</t>
  </si>
  <si>
    <t>https://t.me/motk_notification_bot?start=LTS-018-031</t>
  </si>
  <si>
    <t>🏛️ Ville de Saint-Denis
Service Habitat – Projet MOTK
Bonjour Marie Gladys ROBERT
Activez vos notifications logement :
Lien : https://t.me/motk_notification_bot?start=LTS-018-031
Code secret : 1241
Étapes : 1) Cliquez sur le lien 2) Appuyez sur Start 3) Envoyez votre numéro de téléphone 4) Envoyez votre code secret.</t>
  </si>
  <si>
    <t>1242</t>
  </si>
  <si>
    <t>https://t.me/motk_notification_bot?start=LTS-018-032</t>
  </si>
  <si>
    <t>🏛️ Ville de Saint-Denis
Service Habitat – Projet MOTK
Bonjour Gilberte SEPEROUMAL
Activez vos notifications logement :
Lien : https://t.me/motk_notification_bot?start=LTS-018-032
Code secret : 1242
Étapes : 1) Cliquez sur le lien 2) Appuyez sur Start 3) Envoyez votre numéro de téléphone 4) Envoyez votre code secret.</t>
  </si>
  <si>
    <t>1243</t>
  </si>
  <si>
    <t>https://t.me/motk_notification_bot?start=LTS-018-033</t>
  </si>
  <si>
    <t>🏛️ Ville de Saint-Denis
Service Habitat – Projet MOTK
Bonjour Eloi Jean Claude SERVANTES
Activez vos notifications logement :
Lien : https://t.me/motk_notification_bot?start=LTS-018-033
Code secret : 1243
Étapes : 1) Cliquez sur le lien 2) Appuyez sur Start 3) Envoyez votre numéro de téléphone 4) Envoyez votre code secret.</t>
  </si>
  <si>
    <t>1244</t>
  </si>
  <si>
    <t>https://t.me/motk_notification_bot?start=LTS-018-034</t>
  </si>
  <si>
    <t>🏛️ Ville de Saint-Denis
Service Habitat – Projet MOTK
Bonjour Rowan Jean Alberto IEVE
Activez vos notifications logement :
Lien : https://t.me/motk_notification_bot?start=LTS-018-034
Code secret : 1244
Étapes : 1) Cliquez sur le lien 2) Appuyez sur Start 3) Envoyez votre numéro de téléphone 4) Envoyez votre code secret.</t>
  </si>
  <si>
    <t>1245</t>
  </si>
  <si>
    <t>https://t.me/motk_notification_bot?start=LTS-018-035</t>
  </si>
  <si>
    <t>🏛️ Ville de Saint-Denis
Service Habitat – Projet MOTK
Bonjour Jean LucThierry TARBY
Activez vos notifications logement :
Lien : https://t.me/motk_notification_bot?start=LTS-018-035
Code secret : 1245
Étapes : 1) Cliquez sur le lien 2) Appuyez sur Start 3) Envoyez votre numéro de téléphone 4) Envoyez votre code secret.</t>
  </si>
  <si>
    <t>1246</t>
  </si>
  <si>
    <t>https://t.me/motk_notification_bot?start=LTS-018-036</t>
  </si>
  <si>
    <t>🏛️ Ville de Saint-Denis
Service Habitat – Projet MOTK
Bonjour Marie Roselyne TARMALINGOM SINAMA
Activez vos notifications logement :
Lien : https://t.me/motk_notification_bot?start=LTS-018-036
Code secret : 1246
Étapes : 1) Cliquez sur le lien 2) Appuyez sur Start 3) Envoyez votre numéro de téléphone 4) Envoyez votre code secret.</t>
  </si>
  <si>
    <t>1247</t>
  </si>
  <si>
    <t>https://t.me/motk_notification_bot?start=LTS-018-037</t>
  </si>
  <si>
    <t>🏛️ Ville de Saint-Denis
Service Habitat – Projet MOTK
Bonjour Georges Marie TOINON
Activez vos notifications logement :
Lien : https://t.me/motk_notification_bot?start=LTS-018-037
Code secret : 1247
Étapes : 1) Cliquez sur le lien 2) Appuyez sur Start 3) Envoyez votre numéro de téléphone 4) Envoyez votre code secret.</t>
  </si>
  <si>
    <t>1248</t>
  </si>
  <si>
    <t>https://t.me/motk_notification_bot?start=LTS-018-038</t>
  </si>
  <si>
    <t>🏛️ Ville de Saint-Denis
Service Habitat – Projet MOTK
Bonjour Jean Alain Denis TOUSSAINT
Activez vos notifications logement :
Lien : https://t.me/motk_notification_bot?start=LTS-018-038
Code secret : 1248
Étapes : 1) Cliquez sur le lien 2) Appuyez sur Start 3) Envoyez votre numéro de téléphone 4) Envoyez votre code secret.</t>
  </si>
  <si>
    <t>1249</t>
  </si>
  <si>
    <t>https://t.me/motk_notification_bot?start=LTS-018-039</t>
  </si>
  <si>
    <t>🏛️ Ville de Saint-Denis
Service Habitat – Projet MOTK
Bonjour Julien SAUTRON
Activez vos notifications logement :
Lien : https://t.me/motk_notification_bot?start=LTS-018-039
Code secret : 1249
Étapes : 1) Cliquez sur le lien 2) Appuyez sur Start 3) Envoyez votre numéro de téléphone 4) Envoyez votre code secret.</t>
  </si>
  <si>
    <t>1250</t>
  </si>
  <si>
    <t>https://t.me/motk_notification_bot?start=LTS-018-040</t>
  </si>
  <si>
    <t>🏛️ Ville de Saint-Denis
Service Habitat – Projet MOTK
Bonjour Marthe Chantal SEPEROUMAL
Activez vos notifications logement :
Lien : https://t.me/motk_notification_bot?start=LTS-018-040
Code secret : 1250
Étapes : 1) Cliquez sur le lien 2) Appuyez sur Start 3) Envoyez votre numéro de téléphone 4) Envoyez votre code secret.</t>
  </si>
  <si>
    <t>1251</t>
  </si>
  <si>
    <t>https://t.me/motk_notification_bot?start=LTS-019-001</t>
  </si>
  <si>
    <t>🏛️ Ville de Saint-Denis
Service Habitat – Projet MOTK
Bonjour Denise ANGO
Activez vos notifications logement :
Lien : https://t.me/motk_notification_bot?start=LTS-019-001
Code secret : 1251
Étapes : 1) Cliquez sur le lien 2) Appuyez sur Start 3) Envoyez votre numéro de téléphone 4) Envoyez votre code secret.</t>
  </si>
  <si>
    <t>1252</t>
  </si>
  <si>
    <t>https://t.me/motk_notification_bot?start=LTS-019-002</t>
  </si>
  <si>
    <t>🏛️ Ville de Saint-Denis
Service Habitat – Projet MOTK
Bonjour Rose Marie ARZAC
Activez vos notifications logement :
Lien : https://t.me/motk_notification_bot?start=LTS-019-002
Code secret : 1252
Étapes : 1) Cliquez sur le lien 2) Appuyez sur Start 3) Envoyez votre numéro de téléphone 4) Envoyez votre code secret.</t>
  </si>
  <si>
    <t>1253</t>
  </si>
  <si>
    <t>https://t.me/motk_notification_bot?start=LTS-019-003</t>
  </si>
  <si>
    <t>🏛️ Ville de Saint-Denis
Service Habitat – Projet MOTK
Bonjour Marie Noëlie BEGUE
Activez vos notifications logement :
Lien : https://t.me/motk_notification_bot?start=LTS-019-003
Code secret : 1253
Étapes : 1) Cliquez sur le lien 2) Appuyez sur Start 3) Envoyez votre numéro de téléphone 4) Envoyez votre code secret.</t>
  </si>
  <si>
    <t>1254</t>
  </si>
  <si>
    <t>https://t.me/motk_notification_bot?start=LTS-019-004</t>
  </si>
  <si>
    <t>🏛️ Ville de Saint-Denis
Service Habitat – Projet MOTK
Bonjour Augustine BIDOIS
Activez vos notifications logement :
Lien : https://t.me/motk_notification_bot?start=LTS-019-004
Code secret : 1254
Étapes : 1) Cliquez sur le lien 2) Appuyez sur Start 3) Envoyez votre numéro de téléphone 4) Envoyez votre code secret.</t>
  </si>
  <si>
    <t>1255</t>
  </si>
  <si>
    <t>https://t.me/motk_notification_bot?start=LTS-019-005</t>
  </si>
  <si>
    <t>🏛️ Ville de Saint-Denis
Service Habitat – Projet MOTK
Bonjour Marie Claudine BOYER
Activez vos notifications logement :
Lien : https://t.me/motk_notification_bot?start=LTS-019-005
Code secret : 1255
Étapes : 1) Cliquez sur le lien 2) Appuyez sur Start 3) Envoyez votre numéro de téléphone 4) Envoyez votre code secret.</t>
  </si>
  <si>
    <t>1256</t>
  </si>
  <si>
    <t>https://t.me/motk_notification_bot?start=LTS-019-006</t>
  </si>
  <si>
    <t>🏛️ Ville de Saint-Denis
Service Habitat – Projet MOTK
Bonjour Idriss CAMBRAY
Activez vos notifications logement :
Lien : https://t.me/motk_notification_bot?start=LTS-019-006
Code secret : 1256
Étapes : 1) Cliquez sur le lien 2) Appuyez sur Start 3) Envoyez votre numéro de téléphone 4) Envoyez votre code secret.</t>
  </si>
  <si>
    <t>1257</t>
  </si>
  <si>
    <t>https://t.me/motk_notification_bot?start=LTS-019-007</t>
  </si>
  <si>
    <t>🏛️ Ville de Saint-Denis
Service Habitat – Projet MOTK
Bonjour Jacques Simon CARLIER
Activez vos notifications logement :
Lien : https://t.me/motk_notification_bot?start=LTS-019-007
Code secret : 1257
Étapes : 1) Cliquez sur le lien 2) Appuyez sur Start 3) Envoyez votre numéro de téléphone 4) Envoyez votre code secret.</t>
  </si>
  <si>
    <t>1258</t>
  </si>
  <si>
    <t>https://t.me/motk_notification_bot?start=LTS-019-008</t>
  </si>
  <si>
    <t>🏛️ Ville de Saint-Denis
Service Habitat – Projet MOTK
Bonjour Tamara LELOUP
Activez vos notifications logement :
Lien : https://t.me/motk_notification_bot?start=LTS-019-008
Code secret : 1258
Étapes : 1) Cliquez sur le lien 2) Appuyez sur Start 3) Envoyez votre numéro de téléphone 4) Envoyez votre code secret.</t>
  </si>
  <si>
    <t>1259</t>
  </si>
  <si>
    <t>https://t.me/motk_notification_bot?start=LTS-019-009</t>
  </si>
  <si>
    <t>🏛️ Ville de Saint-Denis
Service Habitat – Projet MOTK
Bonjour Sylvain GRINDU
Activez vos notifications logement :
Lien : https://t.me/motk_notification_bot?start=LTS-019-009
Code secret : 1259
Étapes : 1) Cliquez sur le lien 2) Appuyez sur Start 3) Envoyez votre numéro de téléphone 4) Envoyez votre code secret.</t>
  </si>
  <si>
    <t>1260</t>
  </si>
  <si>
    <t>https://t.me/motk_notification_bot?start=LTS-019-010</t>
  </si>
  <si>
    <t>🏛️ Ville de Saint-Denis
Service Habitat – Projet MOTK
Bonjour Huguette Claudine GRONDIN
Activez vos notifications logement :
Lien : https://t.me/motk_notification_bot?start=LTS-019-010
Code secret : 1260
Étapes : 1) Cliquez sur le lien 2) Appuyez sur Start 3) Envoyez votre numéro de téléphone 4) Envoyez votre code secret.</t>
  </si>
  <si>
    <t>1261</t>
  </si>
  <si>
    <t>https://t.me/motk_notification_bot?start=LTS-019-011</t>
  </si>
  <si>
    <t>🏛️ Ville de Saint-Denis
Service Habitat – Projet MOTK
Bonjour CORINE MARIE FRANCOISE MADELEINE
Activez vos notifications logement :
Lien : https://t.me/motk_notification_bot?start=LTS-019-011
Code secret : 1261
Étapes : 1) Cliquez sur le lien 2) Appuyez sur Start 3) Envoyez votre numéro de téléphone 4) Envoyez votre code secret.</t>
  </si>
  <si>
    <t>1262</t>
  </si>
  <si>
    <t>https://t.me/motk_notification_bot?start=LTS-019-012</t>
  </si>
  <si>
    <t>🏛️ Ville de Saint-Denis
Service Habitat – Projet MOTK
Bonjour Yolande MADELEINE
Activez vos notifications logement :
Lien : https://t.me/motk_notification_bot?start=LTS-019-012
Code secret : 1262
Étapes : 1) Cliquez sur le lien 2) Appuyez sur Start 3) Envoyez votre numéro de téléphone 4) Envoyez votre code secret.</t>
  </si>
  <si>
    <t>1263</t>
  </si>
  <si>
    <t>https://t.me/motk_notification_bot?start=LTS-019-013</t>
  </si>
  <si>
    <t>🏛️ Ville de Saint-Denis
Service Habitat – Projet MOTK
Bonjour Noëline MOUNOUSSAMY
Activez vos notifications logement :
Lien : https://t.me/motk_notification_bot?start=LTS-019-013
Code secret : 1263
Étapes : 1) Cliquez sur le lien 2) Appuyez sur Start 3) Envoyez votre numéro de téléphone 4) Envoyez votre code secret.</t>
  </si>
  <si>
    <t>1264</t>
  </si>
  <si>
    <t>https://t.me/motk_notification_bot?start=LTS-019-014</t>
  </si>
  <si>
    <t>🏛️ Ville de Saint-Denis
Service Habitat – Projet MOTK
Bonjour KRISHNA JEAN PAUL ARMOURDOM
Activez vos notifications logement :
Lien : https://t.me/motk_notification_bot?start=LTS-019-014
Code secret : 1264
Étapes : 1) Cliquez sur le lien 2) Appuyez sur Start 3) Envoyez votre numéro de téléphone 4) Envoyez votre code secret.</t>
  </si>
  <si>
    <t>1265</t>
  </si>
  <si>
    <t>https://t.me/motk_notification_bot?start=LTS-019-015</t>
  </si>
  <si>
    <t>🏛️ Ville de Saint-Denis
Service Habitat – Projet MOTK
Bonjour Marie Thérèse SAUTRON
Activez vos notifications logement :
Lien : https://t.me/motk_notification_bot?start=LTS-019-015
Code secret : 1265
Étapes : 1) Cliquez sur le lien 2) Appuyez sur Start 3) Envoyez votre numéro de téléphone 4) Envoyez votre code secret.</t>
  </si>
  <si>
    <t>1266</t>
  </si>
  <si>
    <t>https://t.me/motk_notification_bot?start=LTS-019-016</t>
  </si>
  <si>
    <t>🏛️ Ville de Saint-Denis
Service Habitat – Projet MOTK
Bonjour Michel André PAJANIANDY
Activez vos notifications logement :
Lien : https://t.me/motk_notification_bot?start=LTS-019-016
Code secret : 1266
Étapes : 1) Cliquez sur le lien 2) Appuyez sur Start 3) Envoyez votre numéro de téléphone 4) Envoyez votre code secret.</t>
  </si>
  <si>
    <t>1267</t>
  </si>
  <si>
    <t>https://t.me/motk_notification_bot?start=LTS-019-017</t>
  </si>
  <si>
    <t>🏛️ Ville de Saint-Denis
Service Habitat – Projet MOTK
Bonjour Francelin TOINON
Activez vos notifications logement :
Lien : https://t.me/motk_notification_bot?start=LTS-019-017
Code secret : 1267
Étapes : 1) Cliquez sur le lien 2) Appuyez sur Start 3) Envoyez votre numéro de téléphone 4) Envoyez votre code secret.</t>
  </si>
  <si>
    <t>1268</t>
  </si>
  <si>
    <t>https://t.me/motk_notification_bot?start=LTS-019-018</t>
  </si>
  <si>
    <t>🏛️ Ville de Saint-Denis
Service Habitat – Projet MOTK
Bonjour Marie Natacha TOINON
Activez vos notifications logement :
Lien : https://t.me/motk_notification_bot?start=LTS-019-018
Code secret : 1268
Étapes : 1) Cliquez sur le lien 2) Appuyez sur Start 3) Envoyez votre numéro de téléphone 4) Envoyez votre code secret.</t>
  </si>
  <si>
    <t>1269</t>
  </si>
  <si>
    <t>https://t.me/motk_notification_bot?start=LTS-019-019</t>
  </si>
  <si>
    <t>🏛️ Ville de Saint-Denis
Service Habitat – Projet MOTK
Bonjour occupé en attente decision
Activez vos notifications logement :
Lien : https://t.me/motk_notification_bot?start=LTS-019-019
Code secret : 1269
Étapes : 1) Cliquez sur le lien 2) Appuyez sur Start 3) Envoyez votre numéro de téléphone 4) Envoyez votre code secret.</t>
  </si>
  <si>
    <t>1270</t>
  </si>
  <si>
    <t>https://t.me/motk_notification_bot?start=LTS-019-020</t>
  </si>
  <si>
    <t>🏛️ Ville de Saint-Denis
Service Habitat – Projet MOTK
Bonjour Florence ZILMIA
Activez vos notifications logement :
Lien : https://t.me/motk_notification_bot?start=LTS-019-020
Code secret : 1270
Étapes : 1) Cliquez sur le lien 2) Appuyez sur Start 3) Envoyez votre numéro de téléphone 4) Envoyez votre code secret.</t>
  </si>
  <si>
    <t>1271</t>
  </si>
  <si>
    <t>https://t.me/motk_notification_bot?start=LTS-020-001</t>
  </si>
  <si>
    <t>🏛️ Ville de Saint-Denis
Service Habitat – Projet MOTK
Bonjour Ali ATTOUMANI
Activez vos notifications logement :
Lien : https://t.me/motk_notification_bot?start=LTS-020-001
Code secret : 1271
Étapes : 1) Cliquez sur le lien 2) Appuyez sur Start 3) Envoyez votre numéro de téléphone 4) Envoyez votre code secret.</t>
  </si>
  <si>
    <t>1272</t>
  </si>
  <si>
    <t>https://t.me/motk_notification_bot?start=LTS-020-002</t>
  </si>
  <si>
    <t>🏛️ Ville de Saint-Denis
Service Habitat – Projet MOTK
Bonjour Nicole ANDY
Activez vos notifications logement :
Lien : https://t.me/motk_notification_bot?start=LTS-020-002
Code secret : 1272
Étapes : 1) Cliquez sur le lien 2) Appuyez sur Start 3) Envoyez votre numéro de téléphone 4) Envoyez votre code secret.</t>
  </si>
  <si>
    <t>1273</t>
  </si>
  <si>
    <t>https://t.me/motk_notification_bot?start=LTS-020-003</t>
  </si>
  <si>
    <t>🏛️ Ville de Saint-Denis
Service Habitat – Projet MOTK
Bonjour Claude ARMOET
Activez vos notifications logement :
Lien : https://t.me/motk_notification_bot?start=LTS-020-003
Code secret : 1273
Étapes : 1) Cliquez sur le lien 2) Appuyez sur Start 3) Envoyez votre numéro de téléphone 4) Envoyez votre code secret.</t>
  </si>
  <si>
    <t>1274</t>
  </si>
  <si>
    <t>https://t.me/motk_notification_bot?start=LTS-020-004</t>
  </si>
  <si>
    <t>🏛️ Ville de Saint-Denis
Service Habitat – Projet MOTK
Bonjour Marie Suzanne TECHER
Activez vos notifications logement :
Lien : https://t.me/motk_notification_bot?start=LTS-020-004
Code secret : 1274
Étapes : 1) Cliquez sur le lien 2) Appuyez sur Start 3) Envoyez votre numéro de téléphone 4) Envoyez votre code secret.</t>
  </si>
  <si>
    <t>1275</t>
  </si>
  <si>
    <t>https://t.me/motk_notification_bot?start=LTS-020-005</t>
  </si>
  <si>
    <t>🏛️ Ville de Saint-Denis
Service Habitat – Projet MOTK
Bonjour FRANCOISE BARAKE
Activez vos notifications logement :
Lien : https://t.me/motk_notification_bot?start=LTS-020-005
Code secret : 1275
Étapes : 1) Cliquez sur le lien 2) Appuyez sur Start 3) Envoyez votre numéro de téléphone 4) Envoyez votre code secret.</t>
  </si>
  <si>
    <t>1276</t>
  </si>
  <si>
    <t>https://t.me/motk_notification_bot?start=LTS-020-006</t>
  </si>
  <si>
    <t>🏛️ Ville de Saint-Denis
Service Habitat – Projet MOTK
Bonjour Joël BEGUE
Activez vos notifications logement :
Lien : https://t.me/motk_notification_bot?start=LTS-020-006
Code secret : 1276
Étapes : 1) Cliquez sur le lien 2) Appuyez sur Start 3) Envoyez votre numéro de téléphone 4) Envoyez votre code secret.</t>
  </si>
  <si>
    <t>1277</t>
  </si>
  <si>
    <t>https://t.me/motk_notification_bot?start=LTS-020-007</t>
  </si>
  <si>
    <t>🏛️ Ville de Saint-Denis
Service Habitat – Projet MOTK
Bonjour Marie Raymonde BEGUE
Activez vos notifications logement :
Lien : https://t.me/motk_notification_bot?start=LTS-020-007
Code secret : 1277
Étapes : 1) Cliquez sur le lien 2) Appuyez sur Start 3) Envoyez votre numéro de téléphone 4) Envoyez votre code secret.</t>
  </si>
  <si>
    <t>1278</t>
  </si>
  <si>
    <t>https://t.me/motk_notification_bot?start=LTS-020-008</t>
  </si>
  <si>
    <t>🏛️ Ville de Saint-Denis
Service Habitat – Projet MOTK
Bonjour Jean François BELLANGER
Activez vos notifications logement :
Lien : https://t.me/motk_notification_bot?start=LTS-020-008
Code secret : 1278
Étapes : 1) Cliquez sur le lien 2) Appuyez sur Start 3) Envoyez votre numéro de téléphone 4) Envoyez votre code secret.</t>
  </si>
  <si>
    <t>1279</t>
  </si>
  <si>
    <t>https://t.me/motk_notification_bot?start=LTS-020-009</t>
  </si>
  <si>
    <t>🏛️ Ville de Saint-Denis
Service Habitat – Projet MOTK
Bonjour Jean Frédéric BIDOIS
Activez vos notifications logement :
Lien : https://t.me/motk_notification_bot?start=LTS-020-009
Code secret : 1279
Étapes : 1) Cliquez sur le lien 2) Appuyez sur Start 3) Envoyez votre numéro de téléphone 4) Envoyez votre code secret.</t>
  </si>
  <si>
    <t>1280</t>
  </si>
  <si>
    <t>https://t.me/motk_notification_bot?start=LTS-020-010</t>
  </si>
  <si>
    <t>🏛️ Ville de Saint-Denis
Service Habitat – Projet MOTK
Bonjour JEROME RICHARD
Activez vos notifications logement :
Lien : https://t.me/motk_notification_bot?start=LTS-020-010
Code secret : 1280
Étapes : 1) Cliquez sur le lien 2) Appuyez sur Start 3) Envoyez votre numéro de téléphone 4) Envoyez votre code secret.</t>
  </si>
  <si>
    <t>1281</t>
  </si>
  <si>
    <t>https://t.me/motk_notification_bot?start=LTS-020-011</t>
  </si>
  <si>
    <t>🏛️ Ville de Saint-Denis
Service Habitat – Projet MOTK
Bonjour Gilette Vivienne BOYER
Activez vos notifications logement :
Lien : https://t.me/motk_notification_bot?start=LTS-020-011
Code secret : 1281
Étapes : 1) Cliquez sur le lien 2) Appuyez sur Start 3) Envoyez votre numéro de téléphone 4) Envoyez votre code secret.</t>
  </si>
  <si>
    <t>1282</t>
  </si>
  <si>
    <t>https://t.me/motk_notification_bot?start=LTS-020-012</t>
  </si>
  <si>
    <t>🏛️ Ville de Saint-Denis
Service Habitat – Projet MOTK
Bonjour Jean Claude DALLEAU
Activez vos notifications logement :
Lien : https://t.me/motk_notification_bot?start=LTS-020-012
Code secret : 1282
Étapes : 1) Cliquez sur le lien 2) Appuyez sur Start 3) Envoyez votre numéro de téléphone 4) Envoyez votre code secret.</t>
  </si>
  <si>
    <t>1283</t>
  </si>
  <si>
    <t>https://t.me/motk_notification_bot?start=LTS-020-013</t>
  </si>
  <si>
    <t>🏛️ Ville de Saint-Denis
Service Habitat – Projet MOTK
Bonjour Margareth DENISET
Activez vos notifications logement :
Lien : https://t.me/motk_notification_bot?start=LTS-020-013
Code secret : 1283
Étapes : 1) Cliquez sur le lien 2) Appuyez sur Start 3) Envoyez votre numéro de téléphone 4) Envoyez votre code secret.</t>
  </si>
  <si>
    <t>1284</t>
  </si>
  <si>
    <t>https://t.me/motk_notification_bot?start=LTS-020-014</t>
  </si>
  <si>
    <t>🏛️ Ville de Saint-Denis
Service Habitat – Projet MOTK
Bonjour Jean Marie DIJOUX
Activez vos notifications logement :
Lien : https://t.me/motk_notification_bot?start=LTS-020-014
Code secret : 1284
Étapes : 1) Cliquez sur le lien 2) Appuyez sur Start 3) Envoyez votre numéro de téléphone 4) Envoyez votre code secret.</t>
  </si>
  <si>
    <t>1285</t>
  </si>
  <si>
    <t>https://t.me/motk_notification_bot?start=LTS-020-015</t>
  </si>
  <si>
    <t>🏛️ Ville de Saint-Denis
Service Habitat – Projet MOTK
Bonjour Jean Norbert DORLA
Activez vos notifications logement :
Lien : https://t.me/motk_notification_bot?start=LTS-020-015
Code secret : 1285
Étapes : 1) Cliquez sur le lien 2) Appuyez sur Start 3) Envoyez votre numéro de téléphone 4) Envoyez votre code secret.</t>
  </si>
  <si>
    <t>1286</t>
  </si>
  <si>
    <t>https://t.me/motk_notification_bot?start=LTS-020-016</t>
  </si>
  <si>
    <t>🏛️ Ville de Saint-Denis
Service Habitat – Projet MOTK
Bonjour Françoise JAURES
Activez vos notifications logement :
Lien : https://t.me/motk_notification_bot?start=LTS-020-016
Code secret : 1286
Étapes : 1) Cliquez sur le lien 2) Appuyez sur Start 3) Envoyez votre numéro de téléphone 4) Envoyez votre code secret.</t>
  </si>
  <si>
    <t>1287</t>
  </si>
  <si>
    <t>https://t.me/motk_notification_bot?start=LTS-020-017</t>
  </si>
  <si>
    <t>🏛️ Ville de Saint-Denis
Service Habitat – Projet MOTK
Bonjour Jean Hugues FAMAHA
Activez vos notifications logement :
Lien : https://t.me/motk_notification_bot?start=LTS-020-017
Code secret : 1287
Étapes : 1) Cliquez sur le lien 2) Appuyez sur Start 3) Envoyez votre numéro de téléphone 4) Envoyez votre code secret.</t>
  </si>
  <si>
    <t>1288</t>
  </si>
  <si>
    <t>https://t.me/motk_notification_bot?start=LTS-020-018</t>
  </si>
  <si>
    <t>🏛️ Ville de Saint-Denis
Service Habitat – Projet MOTK
Bonjour Jean Patrick FENELON
Activez vos notifications logement :
Lien : https://t.me/motk_notification_bot?start=LTS-020-018
Code secret : 1288
Étapes : 1) Cliquez sur le lien 2) Appuyez sur Start 3) Envoyez votre numéro de téléphone 4) Envoyez votre code secret.</t>
  </si>
  <si>
    <t>1289</t>
  </si>
  <si>
    <t>https://t.me/motk_notification_bot?start=LTS-020-019</t>
  </si>
  <si>
    <t>🏛️ Ville de Saint-Denis
Service Habitat – Projet MOTK
Bonjour Marie Laure DUCHEMANE
Activez vos notifications logement :
Lien : https://t.me/motk_notification_bot?start=LTS-020-019
Code secret : 1289
Étapes : 1) Cliquez sur le lien 2) Appuyez sur Start 3) Envoyez votre numéro de téléphone 4) Envoyez votre code secret.</t>
  </si>
  <si>
    <t>1290</t>
  </si>
  <si>
    <t>https://t.me/motk_notification_bot?start=LTS-020-020</t>
  </si>
  <si>
    <t>🏛️ Ville de Saint-Denis
Service Habitat – Projet MOTK
Bonjour René Paul FONTAINE
Activez vos notifications logement :
Lien : https://t.me/motk_notification_bot?start=LTS-020-020
Code secret : 1290
Étapes : 1) Cliquez sur le lien 2) Appuyez sur Start 3) Envoyez votre numéro de téléphone 4) Envoyez votre code secret.</t>
  </si>
  <si>
    <t>1291</t>
  </si>
  <si>
    <t>https://t.me/motk_notification_bot?start=LTS-020-021</t>
  </si>
  <si>
    <t>🏛️ Ville de Saint-Denis
Service Habitat – Projet MOTK
Bonjour Marie Thérèse GALAIS
Activez vos notifications logement :
Lien : https://t.me/motk_notification_bot?start=LTS-020-021
Code secret : 1291
Étapes : 1) Cliquez sur le lien 2) Appuyez sur Start 3) Envoyez votre numéro de téléphone 4) Envoyez votre code secret.</t>
  </si>
  <si>
    <t>1292</t>
  </si>
  <si>
    <t>https://t.me/motk_notification_bot?start=LTS-020-022</t>
  </si>
  <si>
    <t>🏛️ Ville de Saint-Denis
Service Habitat – Projet MOTK
Bonjour Patricia Marie Brigitte GISQUET
Activez vos notifications logement :
Lien : https://t.me/motk_notification_bot?start=LTS-020-022
Code secret : 1292
Étapes : 1) Cliquez sur le lien 2) Appuyez sur Start 3) Envoyez votre numéro de téléphone 4) Envoyez votre code secret.</t>
  </si>
  <si>
    <t>1293</t>
  </si>
  <si>
    <t>https://t.me/motk_notification_bot?start=LTS-020-023</t>
  </si>
  <si>
    <t>🏛️ Ville de Saint-Denis
Service Habitat – Projet MOTK
Bonjour Viviane GRONDIN
Activez vos notifications logement :
Lien : https://t.me/motk_notification_bot?start=LTS-020-023
Code secret : 1293
Étapes : 1) Cliquez sur le lien 2) Appuyez sur Start 3) Envoyez votre numéro de téléphone 4) Envoyez votre code secret.</t>
  </si>
  <si>
    <t>1294</t>
  </si>
  <si>
    <t>https://t.me/motk_notification_bot?start=LTS-020-024</t>
  </si>
  <si>
    <t>🏛️ Ville de Saint-Denis
Service Habitat – Projet MOTK
Bonjour Rosita GUICHARD
Activez vos notifications logement :
Lien : https://t.me/motk_notification_bot?start=LTS-020-024
Code secret : 1294
Étapes : 1) Cliquez sur le lien 2) Appuyez sur Start 3) Envoyez votre numéro de téléphone 4) Envoyez votre code secret.</t>
  </si>
  <si>
    <t>1295</t>
  </si>
  <si>
    <t>https://t.me/motk_notification_bot?start=LTS-020-025</t>
  </si>
  <si>
    <t>🏛️ Ville de Saint-Denis
Service Habitat – Projet MOTK
Bonjour Arnaud IEVE
Activez vos notifications logement :
Lien : https://t.me/motk_notification_bot?start=LTS-020-025
Code secret : 1295
Étapes : 1) Cliquez sur le lien 2) Appuyez sur Start 3) Envoyez votre numéro de téléphone 4) Envoyez votre code secret.</t>
  </si>
  <si>
    <t>1296</t>
  </si>
  <si>
    <t>https://t.me/motk_notification_bot?start=LTS-020-026</t>
  </si>
  <si>
    <t>🏛️ Ville de Saint-Denis
Service Habitat – Projet MOTK
Bonjour Jean Michel IMARY ISSARAMBE
Activez vos notifications logement :
Lien : https://t.me/motk_notification_bot?start=LTS-020-026
Code secret : 1296
Étapes : 1) Cliquez sur le lien 2) Appuyez sur Start 3) Envoyez votre numéro de téléphone 4) Envoyez votre code secret.</t>
  </si>
  <si>
    <t>1297</t>
  </si>
  <si>
    <t>https://t.me/motk_notification_bot?start=LTS-020-027</t>
  </si>
  <si>
    <t>🏛️ Ville de Saint-Denis
Service Habitat – Projet MOTK
Bonjour Marie Gabrielle JAGAR
Activez vos notifications logement :
Lien : https://t.me/motk_notification_bot?start=LTS-020-027
Code secret : 1297
Étapes : 1) Cliquez sur le lien 2) Appuyez sur Start 3) Envoyez votre numéro de téléphone 4) Envoyez votre code secret.</t>
  </si>
  <si>
    <t>1298</t>
  </si>
  <si>
    <t>https://t.me/motk_notification_bot?start=LTS-020-028</t>
  </si>
  <si>
    <t>🏛️ Ville de Saint-Denis
Service Habitat – Projet MOTK
Bonjour René Hervé JEAN BART
Activez vos notifications logement :
Lien : https://t.me/motk_notification_bot?start=LTS-020-028
Code secret : 1298
Étapes : 1) Cliquez sur le lien 2) Appuyez sur Start 3) Envoyez votre numéro de téléphone 4) Envoyez votre code secret.</t>
  </si>
  <si>
    <t>1299</t>
  </si>
  <si>
    <t>https://t.me/motk_notification_bot?start=LTS-020-029</t>
  </si>
  <si>
    <t>🏛️ Ville de Saint-Denis
Service Habitat – Projet MOTK
Bonjour Marie Céline LATCHOUMANIA
Activez vos notifications logement :
Lien : https://t.me/motk_notification_bot?start=LTS-020-029
Code secret : 1299
Étapes : 1) Cliquez sur le lien 2) Appuyez sur Start 3) Envoyez votre numéro de téléphone 4) Envoyez votre code secret.</t>
  </si>
  <si>
    <t>1300</t>
  </si>
  <si>
    <t>https://t.me/motk_notification_bot?start=LTS-020-030</t>
  </si>
  <si>
    <t>🏛️ Ville de Saint-Denis
Service Habitat – Projet MOTK
Bonjour Anne Marie LAURENT
Activez vos notifications logement :
Lien : https://t.me/motk_notification_bot?start=LTS-020-030
Code secret : 1300
Étapes : 1) Cliquez sur le lien 2) Appuyez sur Start 3) Envoyez votre numéro de téléphone 4) Envoyez votre code secret.</t>
  </si>
  <si>
    <t>1301</t>
  </si>
  <si>
    <t>https://t.me/motk_notification_bot?start=LTS-020-031</t>
  </si>
  <si>
    <t>🏛️ Ville de Saint-Denis
Service Habitat – Projet MOTK
Bonjour YANN LUC MARIMOUTOU
Activez vos notifications logement :
Lien : https://t.me/motk_notification_bot?start=LTS-020-031
Code secret : 1301
Étapes : 1) Cliquez sur le lien 2) Appuyez sur Start 3) Envoyez votre numéro de téléphone 4) Envoyez votre code secret.</t>
  </si>
  <si>
    <t>1302</t>
  </si>
  <si>
    <t>https://t.me/motk_notification_bot?start=LTS-020-032</t>
  </si>
  <si>
    <t>🏛️ Ville de Saint-Denis
Service Habitat – Projet MOTK
Bonjour Gilbert Jonas MALECK
Activez vos notifications logement :
Lien : https://t.me/motk_notification_bot?start=LTS-020-032
Code secret : 1302
Étapes : 1) Cliquez sur le lien 2) Appuyez sur Start 3) Envoyez votre numéro de téléphone 4) Envoyez votre code secret.</t>
  </si>
  <si>
    <t>1303</t>
  </si>
  <si>
    <t>https://t.me/motk_notification_bot?start=LTS-020-033</t>
  </si>
  <si>
    <t>🏛️ Ville de Saint-Denis
Service Habitat – Projet MOTK
Bonjour Jean Benoit MARA
Activez vos notifications logement :
Lien : https://t.me/motk_notification_bot?start=LTS-020-033
Code secret : 1303
Étapes : 1) Cliquez sur le lien 2) Appuyez sur Start 3) Envoyez votre numéro de téléphone 4) Envoyez votre code secret.</t>
  </si>
  <si>
    <t>1304</t>
  </si>
  <si>
    <t>https://t.me/motk_notification_bot?start=LTS-020-034</t>
  </si>
  <si>
    <t>🏛️ Ville de Saint-Denis
Service Habitat – Projet MOTK
Bonjour Marie Madeleine METELLUS
Activez vos notifications logement :
Lien : https://t.me/motk_notification_bot?start=LTS-020-034
Code secret : 1304
Étapes : 1) Cliquez sur le lien 2) Appuyez sur Start 3) Envoyez votre numéro de téléphone 4) Envoyez votre code secret.</t>
  </si>
  <si>
    <t>1305</t>
  </si>
  <si>
    <t>https://t.me/motk_notification_bot?start=LTS-020-035</t>
  </si>
  <si>
    <t>🏛️ Ville de Saint-Denis
Service Habitat – Projet MOTK
Bonjour Jean Dany MIRANVILLE
Activez vos notifications logement :
Lien : https://t.me/motk_notification_bot?start=LTS-020-035
Code secret : 1305
Étapes : 1) Cliquez sur le lien 2) Appuyez sur Start 3) Envoyez votre numéro de téléphone 4) Envoyez votre code secret.</t>
  </si>
  <si>
    <t>1306</t>
  </si>
  <si>
    <t>https://t.me/motk_notification_bot?start=LTS-020-036</t>
  </si>
  <si>
    <t>🏛️ Ville de Saint-Denis
Service Habitat – Projet MOTK
Bonjour Maximilien NATAN
Activez vos notifications logement :
Lien : https://t.me/motk_notification_bot?start=LTS-020-036
Code secret : 1306
Étapes : 1) Cliquez sur le lien 2) Appuyez sur Start 3) Envoyez votre numéro de téléphone 4) Envoyez votre code secret.</t>
  </si>
  <si>
    <t>1307</t>
  </si>
  <si>
    <t>https://t.me/motk_notification_bot?start=LTS-020-037</t>
  </si>
  <si>
    <t>🏛️ Ville de Saint-Denis
Service Habitat – Projet MOTK
Bonjour Wilfrid NIAMDILA
Activez vos notifications logement :
Lien : https://t.me/motk_notification_bot?start=LTS-020-037
Code secret : 1307
Étapes : 1) Cliquez sur le lien 2) Appuyez sur Start 3) Envoyez votre numéro de téléphone 4) Envoyez votre code secret.</t>
  </si>
  <si>
    <t>1308</t>
  </si>
  <si>
    <t>https://t.me/motk_notification_bot?start=LTS-020-038</t>
  </si>
  <si>
    <t>🏛️ Ville de Saint-Denis
Service Habitat – Projet MOTK
Bonjour Marie Céline PARIS
Activez vos notifications logement :
Lien : https://t.me/motk_notification_bot?start=LTS-020-038
Code secret : 1308
Étapes : 1) Cliquez sur le lien 2) Appuyez sur Start 3) Envoyez votre numéro de téléphone 4) Envoyez votre code secret.</t>
  </si>
  <si>
    <t>1309</t>
  </si>
  <si>
    <t>https://t.me/motk_notification_bot?start=LTS-020-039</t>
  </si>
  <si>
    <t>🏛️ Ville de Saint-Denis
Service Habitat – Projet MOTK
Bonjour Marie Kelly RACOL
Activez vos notifications logement :
Lien : https://t.me/motk_notification_bot?start=LTS-020-039
Code secret : 1309
Étapes : 1) Cliquez sur le lien 2) Appuyez sur Start 3) Envoyez votre numéro de téléphone 4) Envoyez votre code secret.</t>
  </si>
  <si>
    <t>1310</t>
  </si>
  <si>
    <t>https://t.me/motk_notification_bot?start=LTS-020-040</t>
  </si>
  <si>
    <t>🏛️ Ville de Saint-Denis
Service Habitat – Projet MOTK
Bonjour Marion MOREAU
Activez vos notifications logement :
Lien : https://t.me/motk_notification_bot?start=LTS-020-040
Code secret : 1310
Étapes : 1) Cliquez sur le lien 2) Appuyez sur Start 3) Envoyez votre numéro de téléphone 4) Envoyez votre code secret.</t>
  </si>
  <si>
    <t>1311</t>
  </si>
  <si>
    <t>https://t.me/motk_notification_bot?start=LTS-020-041</t>
  </si>
  <si>
    <t>🏛️ Ville de Saint-Denis
Service Habitat – Projet MOTK
Bonjour Marie Suzette POLEYA
Activez vos notifications logement :
Lien : https://t.me/motk_notification_bot?start=LTS-020-041
Code secret : 1311
Étapes : 1) Cliquez sur le lien 2) Appuyez sur Start 3) Envoyez votre numéro de téléphone 4) Envoyez votre code secret.</t>
  </si>
  <si>
    <t>1312</t>
  </si>
  <si>
    <t>https://t.me/motk_notification_bot?start=LTS-020-042</t>
  </si>
  <si>
    <t>🏛️ Ville de Saint-Denis
Service Habitat – Projet MOTK
Bonjour Gaëlle Marie Raymonde RENE
Activez vos notifications logement :
Lien : https://t.me/motk_notification_bot?start=LTS-020-042
Code secret : 1312
Étapes : 1) Cliquez sur le lien 2) Appuyez sur Start 3) Envoyez votre numéro de téléphone 4) Envoyez votre code secret.</t>
  </si>
  <si>
    <t>1313</t>
  </si>
  <si>
    <t>https://t.me/motk_notification_bot?start=LTS-020-043</t>
  </si>
  <si>
    <t>🏛️ Ville de Saint-Denis
Service Habitat – Projet MOTK
Bonjour VANESSA MOUTOUSSAMY
Activez vos notifications logement :
Lien : https://t.me/motk_notification_bot?start=LTS-020-043
Code secret : 1313
Étapes : 1) Cliquez sur le lien 2) Appuyez sur Start 3) Envoyez votre numéro de téléphone 4) Envoyez votre code secret.</t>
  </si>
  <si>
    <t>1314</t>
  </si>
  <si>
    <t>https://t.me/motk_notification_bot?start=LTS-020-044</t>
  </si>
  <si>
    <t>🏛️ Ville de Saint-Denis
Service Habitat – Projet MOTK
Bonjour Marie Lucile SAUTRON
Activez vos notifications logement :
Lien : https://t.me/motk_notification_bot?start=LTS-020-044
Code secret : 1314
Étapes : 1) Cliquez sur le lien 2) Appuyez sur Start 3) Envoyez votre numéro de téléphone 4) Envoyez votre code secret.</t>
  </si>
  <si>
    <t>1315</t>
  </si>
  <si>
    <t>https://t.me/motk_notification_bot?start=LTS-020-045</t>
  </si>
  <si>
    <t>🏛️ Ville de Saint-Denis
Service Habitat – Projet MOTK
Bonjour Aurelie Giovanna SAUTRON
Activez vos notifications logement :
Lien : https://t.me/motk_notification_bot?start=LTS-020-045
Code secret : 1315
Étapes : 1) Cliquez sur le lien 2) Appuyez sur Start 3) Envoyez votre numéro de téléphone 4) Envoyez votre code secret.</t>
  </si>
  <si>
    <t>1316</t>
  </si>
  <si>
    <t>https://t.me/motk_notification_bot?start=LTS-020-046</t>
  </si>
  <si>
    <t>🏛️ Ville de Saint-Denis
Service Habitat – Projet MOTK
Bonjour Jean max DALLEAU
Activez vos notifications logement :
Lien : https://t.me/motk_notification_bot?start=LTS-020-046
Code secret : 1316
Étapes : 1) Cliquez sur le lien 2) Appuyez sur Start 3) Envoyez votre numéro de téléphone 4) Envoyez votre code secret.</t>
  </si>
  <si>
    <t>1317</t>
  </si>
  <si>
    <t>https://t.me/motk_notification_bot?start=LTS-020-047</t>
  </si>
  <si>
    <t>🏛️ Ville de Saint-Denis
Service Habitat – Projet MOTK
Bonjour Marie  Nicole DEURVEILHER
Activez vos notifications logement :
Lien : https://t.me/motk_notification_bot?start=LTS-020-047
Code secret : 1317
Étapes : 1) Cliquez sur le lien 2) Appuyez sur Start 3) Envoyez votre numéro de téléphone 4) Envoyez votre code secret.</t>
  </si>
  <si>
    <t>1318</t>
  </si>
  <si>
    <t>https://t.me/motk_notification_bot?start=LTS-020-048</t>
  </si>
  <si>
    <t>🏛️ Ville de Saint-Denis
Service Habitat – Projet MOTK
Bonjour Lashawana Mathilde Cassandra AMPLIS
Activez vos notifications logement :
Lien : https://t.me/motk_notification_bot?start=LTS-020-048
Code secret : 1318
Étapes : 1) Cliquez sur le lien 2) Appuyez sur Start 3) Envoyez votre numéro de téléphone 4) Envoyez votre code secret.</t>
  </si>
  <si>
    <t>1319</t>
  </si>
  <si>
    <t>https://t.me/motk_notification_bot?start=LTS-020-049</t>
  </si>
  <si>
    <t>🏛️ Ville de Saint-Denis
Service Habitat – Projet MOTK
Bonjour Jean René THIONG HIME
Activez vos notifications logement :
Lien : https://t.me/motk_notification_bot?start=LTS-020-049
Code secret : 1319
Étapes : 1) Cliquez sur le lien 2) Appuyez sur Start 3) Envoyez votre numéro de téléphone 4) Envoyez votre code secret.</t>
  </si>
  <si>
    <t>1320</t>
  </si>
  <si>
    <t>https://t.me/motk_notification_bot?start=LTS-020-050</t>
  </si>
  <si>
    <t>🏛️ Ville de Saint-Denis
Service Habitat – Projet MOTK
Bonjour Marie  Roselyne VAYTILINGOM
Activez vos notifications logement :
Lien : https://t.me/motk_notification_bot?start=LTS-020-050
Code secret : 1320
Étapes : 1) Cliquez sur le lien 2) Appuyez sur Start 3) Envoyez votre numéro de téléphone 4) Envoyez votre code secret.</t>
  </si>
  <si>
    <t>1321</t>
  </si>
  <si>
    <t>https://t.me/motk_notification_bot?start=LTS-020-051</t>
  </si>
  <si>
    <t>🏛️ Ville de Saint-Denis
Service Habitat – Projet MOTK
Bonjour TEDDY JEAN WILLY GUICHARD
Activez vos notifications logement :
Lien : https://t.me/motk_notification_bot?start=LTS-020-051
Code secret : 1321
Étapes : 1) Cliquez sur le lien 2) Appuyez sur Start 3) Envoyez votre numéro de téléphone 4) Envoyez votre code secret.</t>
  </si>
  <si>
    <t>1322</t>
  </si>
  <si>
    <t>https://t.me/motk_notification_bot?start=LTS-020-052</t>
  </si>
  <si>
    <t>🏛️ Ville de Saint-Denis
Service Habitat – Projet MOTK
Bonjour Marie Sylviane VINGATARETTY
Activez vos notifications logement :
Lien : https://t.me/motk_notification_bot?start=LTS-020-052
Code secret : 1322
Étapes : 1) Cliquez sur le lien 2) Appuyez sur Start 3) Envoyez votre numéro de téléphone 4) Envoyez votre code secret.</t>
  </si>
  <si>
    <t>1323</t>
  </si>
  <si>
    <t>https://t.me/motk_notification_bot?start=LTS-020-053</t>
  </si>
  <si>
    <t>🏛️ Ville de Saint-Denis
Service Habitat – Projet MOTK
Bonjour Jean Noël VINGUEDASSALOM
Activez vos notifications logement :
Lien : https://t.me/motk_notification_bot?start=LTS-020-053
Code secret : 1323
Étapes : 1) Cliquez sur le lien 2) Appuyez sur Start 3) Envoyez votre numéro de téléphone 4) Envoyez votre code secret.</t>
  </si>
  <si>
    <t>1324</t>
  </si>
  <si>
    <t>https://t.me/motk_notification_bot?start=LTS-020-054</t>
  </si>
  <si>
    <t>🏛️ Ville de Saint-Denis
Service Habitat – Projet MOTK
Bonjour Jacques VIRAMALE
Activez vos notifications logement :
Lien : https://t.me/motk_notification_bot?start=LTS-020-054
Code secret : 1324
Étapes : 1) Cliquez sur le lien 2) Appuyez sur Start 3) Envoyez votre numéro de téléphone 4) Envoyez votre code secret.</t>
  </si>
  <si>
    <t>1325</t>
  </si>
  <si>
    <t>https://t.me/motk_notification_bot?start=LTS-021-001</t>
  </si>
  <si>
    <t>🏛️ Ville de Saint-Denis
Service Habitat – Projet MOTK
Bonjour Liliane ARISTANGELE
Activez vos notifications logement :
Lien : https://t.me/motk_notification_bot?start=LTS-021-001
Code secret : 1325
Étapes : 1) Cliquez sur le lien 2) Appuyez sur Start 3) Envoyez votre numéro de téléphone 4) Envoyez votre code secret.</t>
  </si>
  <si>
    <t>1326</t>
  </si>
  <si>
    <t>https://t.me/motk_notification_bot?start=LTS-021-002</t>
  </si>
  <si>
    <t>🏛️ Ville de Saint-Denis
Service Habitat – Projet MOTK
Bonjour Juliane BALNAICK
Activez vos notifications logement :
Lien : https://t.me/motk_notification_bot?start=LTS-021-002
Code secret : 1326
Étapes : 1) Cliquez sur le lien 2) Appuyez sur Start 3) Envoyez votre numéro de téléphone 4) Envoyez votre code secret.</t>
  </si>
  <si>
    <t>1327</t>
  </si>
  <si>
    <t>https://t.me/motk_notification_bot?start=LTS-021-003</t>
  </si>
  <si>
    <t>🏛️ Ville de Saint-Denis
Service Habitat – Projet MOTK
Bonjour Jeanne CERVEAU
Activez vos notifications logement :
Lien : https://t.me/motk_notification_bot?start=LTS-021-003
Code secret : 1327
Étapes : 1) Cliquez sur le lien 2) Appuyez sur Start 3) Envoyez votre numéro de téléphone 4) Envoyez votre code secret.</t>
  </si>
  <si>
    <t>1328</t>
  </si>
  <si>
    <t>https://t.me/motk_notification_bot?start=LTS-021-004</t>
  </si>
  <si>
    <t>🏛️ Ville de Saint-Denis
Service Habitat – Projet MOTK
Bonjour Marie Brigitte GOVIN
Activez vos notifications logement :
Lien : https://t.me/motk_notification_bot?start=LTS-021-004
Code secret : 1328
Étapes : 1) Cliquez sur le lien 2) Appuyez sur Start 3) Envoyez votre numéro de téléphone 4) Envoyez votre code secret.</t>
  </si>
  <si>
    <t>1329</t>
  </si>
  <si>
    <t>https://t.me/motk_notification_bot?start=LTS-021-005</t>
  </si>
  <si>
    <t>🏛️ Ville de Saint-Denis
Service Habitat – Projet MOTK
Bonjour Albert Louis LALLEMAND
Activez vos notifications logement :
Lien : https://t.me/motk_notification_bot?start=LTS-021-005
Code secret : 1329
Étapes : 1) Cliquez sur le lien 2) Appuyez sur Start 3) Envoyez votre numéro de téléphone 4) Envoyez votre code secret.</t>
  </si>
  <si>
    <t>1330</t>
  </si>
  <si>
    <t>https://t.me/motk_notification_bot?start=LTS-021-006</t>
  </si>
  <si>
    <t>🏛️ Ville de Saint-Denis
Service Habitat – Projet MOTK
Bonjour Marie Jeanne TERGEMINA
Activez vos notifications logement :
Lien : https://t.me/motk_notification_bot?start=LTS-021-006
Code secret : 1330
Étapes : 1) Cliquez sur le lien 2) Appuyez sur Start 3) Envoyez votre numéro de téléphone 4) Envoyez votre code secret.</t>
  </si>
  <si>
    <t>1331</t>
  </si>
  <si>
    <t>https://t.me/motk_notification_bot?start=LTS-021-007</t>
  </si>
  <si>
    <t>🏛️ Ville de Saint-Denis
Service Habitat – Projet MOTK
Bonjour Marie Priscilla GOVIN
Activez vos notifications logement :
Lien : https://t.me/motk_notification_bot?start=LTS-021-007
Code secret : 1331
Étapes : 1) Cliquez sur le lien 2) Appuyez sur Start 3) Envoyez votre numéro de téléphone 4) Envoyez votre code secret.</t>
  </si>
  <si>
    <t>1332</t>
  </si>
  <si>
    <t>https://t.me/motk_notification_bot?start=LTS-021-008</t>
  </si>
  <si>
    <t>🏛️ Ville de Saint-Denis
Service Habitat – Projet MOTK
Bonjour Marie Noëline Monique AGATHE
Activez vos notifications logement :
Lien : https://t.me/motk_notification_bot?start=LTS-021-008
Code secret : 1332
Étapes : 1) Cliquez sur le lien 2) Appuyez sur Start 3) Envoyez votre numéro de téléphone 4) Envoyez votre code secret.</t>
  </si>
  <si>
    <t>1333</t>
  </si>
  <si>
    <t>https://t.me/motk_notification_bot?start=LTS-021-009</t>
  </si>
  <si>
    <t>🏛️ Ville de Saint-Denis
Service Habitat – Projet MOTK
Bonjour Bernadette Evelyne ANGAMA
Activez vos notifications logement :
Lien : https://t.me/motk_notification_bot?start=LTS-021-009
Code secret : 1333
Étapes : 1) Cliquez sur le lien 2) Appuyez sur Start 3) Envoyez votre numéro de téléphone 4) Envoyez votre code secret.</t>
  </si>
  <si>
    <t>1334</t>
  </si>
  <si>
    <t>https://t.me/motk_notification_bot?start=LTS-021-010</t>
  </si>
  <si>
    <t>🏛️ Ville de Saint-Denis
Service Habitat – Projet MOTK
Bonjour Angélo CLAIN
Activez vos notifications logement :
Lien : https://t.me/motk_notification_bot?start=LTS-021-010
Code secret : 1334
Étapes : 1) Cliquez sur le lien 2) Appuyez sur Start 3) Envoyez votre numéro de téléphone 4) Envoyez votre code secret.</t>
  </si>
  <si>
    <t>1335</t>
  </si>
  <si>
    <t>https://t.me/motk_notification_bot?start=LTS-021-011</t>
  </si>
  <si>
    <t>🏛️ Ville de Saint-Denis
Service Habitat – Projet MOTK
Bonjour Marie Eline COURTRAI
Activez vos notifications logement :
Lien : https://t.me/motk_notification_bot?start=LTS-021-011
Code secret : 1335
Étapes : 1) Cliquez sur le lien 2) Appuyez sur Start 3) Envoyez votre numéro de téléphone 4) Envoyez votre code secret.</t>
  </si>
  <si>
    <t>1336</t>
  </si>
  <si>
    <t>https://t.me/motk_notification_bot?start=LTS-021-012</t>
  </si>
  <si>
    <t>🏛️ Ville de Saint-Denis
Service Habitat – Projet MOTK
Bonjour Marie Rose May FONTAINE
Activez vos notifications logement :
Lien : https://t.me/motk_notification_bot?start=LTS-021-012
Code secret : 1336
Étapes : 1) Cliquez sur le lien 2) Appuyez sur Start 3) Envoyez votre numéro de téléphone 4) Envoyez votre code secret.</t>
  </si>
  <si>
    <t>1337</t>
  </si>
  <si>
    <t>https://t.me/motk_notification_bot?start=LTS-021-013</t>
  </si>
  <si>
    <t>🏛️ Ville de Saint-Denis
Service Habitat – Projet MOTK
Bonjour Joseph Richard HERODE
Activez vos notifications logement :
Lien : https://t.me/motk_notification_bot?start=LTS-021-013
Code secret : 1337
Étapes : 1) Cliquez sur le lien 2) Appuyez sur Start 3) Envoyez votre numéro de téléphone 4) Envoyez votre code secret.</t>
  </si>
  <si>
    <t>1338</t>
  </si>
  <si>
    <t>https://t.me/motk_notification_bot?start=LTS-022-001</t>
  </si>
  <si>
    <t>🏛️ Ville de Saint-Denis
Service Habitat – Projet MOTK
Bonjour Ketty Marie Sylviane ALIFANETY
Activez vos notifications logement :
Lien : https://t.me/motk_notification_bot?start=LTS-022-001
Code secret : 1338
Étapes : 1) Cliquez sur le lien 2) Appuyez sur Start 3) Envoyez votre numéro de téléphone 4) Envoyez votre code secret.</t>
  </si>
  <si>
    <t>1339</t>
  </si>
  <si>
    <t>https://t.me/motk_notification_bot?start=LTS-022-002</t>
  </si>
  <si>
    <t>🏛️ Ville de Saint-Denis
Service Habitat – Projet MOTK
Bonjour Lilas Marie ELLAMA
Activez vos notifications logement :
Lien : https://t.me/motk_notification_bot?start=LTS-022-002
Code secret : 1339
Étapes : 1) Cliquez sur le lien 2) Appuyez sur Start 3) Envoyez votre numéro de téléphone 4) Envoyez votre code secret.</t>
  </si>
  <si>
    <t>1340</t>
  </si>
  <si>
    <t>https://t.me/motk_notification_bot?start=LTS-022-003</t>
  </si>
  <si>
    <t>🏛️ Ville de Saint-Denis
Service Habitat – Projet MOTK
Bonjour Jean Yves CHAMAND
Activez vos notifications logement :
Lien : https://t.me/motk_notification_bot?start=LTS-022-003
Code secret : 1340
Étapes : 1) Cliquez sur le lien 2) Appuyez sur Start 3) Envoyez votre numéro de téléphone 4) Envoyez votre code secret.</t>
  </si>
  <si>
    <t>1341</t>
  </si>
  <si>
    <t>https://t.me/motk_notification_bot?start=LTS-022-004</t>
  </si>
  <si>
    <t>🏛️ Ville de Saint-Denis
Service Habitat – Projet MOTK
Bonjour Yannick CORRE
Activez vos notifications logement :
Lien : https://t.me/motk_notification_bot?start=LTS-022-004
Code secret : 1341
Étapes : 1) Cliquez sur le lien 2) Appuyez sur Start 3) Envoyez votre numéro de téléphone 4) Envoyez votre code secret.</t>
  </si>
  <si>
    <t>1342</t>
  </si>
  <si>
    <t>https://t.me/motk_notification_bot?start=LTS-022-005</t>
  </si>
  <si>
    <t>🏛️ Ville de Saint-Denis
Service Habitat – Projet MOTK
Bonjour Jannick FIMBRIAT
Activez vos notifications logement :
Lien : https://t.me/motk_notification_bot?start=LTS-022-005
Code secret : 1342
Étapes : 1) Cliquez sur le lien 2) Appuyez sur Start 3) Envoyez votre numéro de téléphone 4) Envoyez votre code secret.</t>
  </si>
  <si>
    <t>1343</t>
  </si>
  <si>
    <t>https://t.me/motk_notification_bot?start=LTS-022-006</t>
  </si>
  <si>
    <t>🏛️ Ville de Saint-Denis
Service Habitat – Projet MOTK
Bonjour Jeanne GAZE
Activez vos notifications logement :
Lien : https://t.me/motk_notification_bot?start=LTS-022-006
Code secret : 1343
Étapes : 1) Cliquez sur le lien 2) Appuyez sur Start 3) Envoyez votre numéro de téléphone 4) Envoyez votre code secret.</t>
  </si>
  <si>
    <t>1344</t>
  </si>
  <si>
    <t>https://t.me/motk_notification_bot?start=LTS-022-007</t>
  </si>
  <si>
    <t>🏛️ Ville de Saint-Denis
Service Habitat – Projet MOTK
Bonjour Georges Marie GRONDIN
Activez vos notifications logement :
Lien : https://t.me/motk_notification_bot?start=LTS-022-007
Code secret : 1344
Étapes : 1) Cliquez sur le lien 2) Appuyez sur Start 3) Envoyez votre numéro de téléphone 4) Envoyez votre code secret.</t>
  </si>
  <si>
    <t>1345</t>
  </si>
  <si>
    <t>https://t.me/motk_notification_bot?start=LTS-022-008</t>
  </si>
  <si>
    <t>🏛️ Ville de Saint-Denis
Service Habitat – Projet MOTK
Bonjour Jean François HOARAU
Activez vos notifications logement :
Lien : https://t.me/motk_notification_bot?start=LTS-022-008
Code secret : 1345
Étapes : 1) Cliquez sur le lien 2) Appuyez sur Start 3) Envoyez votre numéro de téléphone 4) Envoyez votre code secret.</t>
  </si>
  <si>
    <t>1346</t>
  </si>
  <si>
    <t>https://t.me/motk_notification_bot?start=LTS-022-009</t>
  </si>
  <si>
    <t>🏛️ Ville de Saint-Denis
Service Habitat – Projet MOTK
Bonjour Jean Claude PAUSE
Activez vos notifications logement :
Lien : https://t.me/motk_notification_bot?start=LTS-022-009
Code secret : 1346
Étapes : 1) Cliquez sur le lien 2) Appuyez sur Start 3) Envoyez votre numéro de téléphone 4) Envoyez votre code secret.</t>
  </si>
  <si>
    <t>1347</t>
  </si>
  <si>
    <t>https://t.me/motk_notification_bot?start=LTS-022-010</t>
  </si>
  <si>
    <t>🏛️ Ville de Saint-Denis
Service Habitat – Projet MOTK
Bonjour Jean Thierry PETREL
Activez vos notifications logement :
Lien : https://t.me/motk_notification_bot?start=LTS-022-010
Code secret : 1347
Étapes : 1) Cliquez sur le lien 2) Appuyez sur Start 3) Envoyez votre numéro de téléphone 4) Envoyez votre code secret.</t>
  </si>
  <si>
    <t>1348</t>
  </si>
  <si>
    <t>https://t.me/motk_notification_bot?start=LTS-022-011</t>
  </si>
  <si>
    <t>🏛️ Ville de Saint-Denis
Service Habitat – Projet MOTK
Bonjour Jean Eric SOUFFLEUR
Activez vos notifications logement :
Lien : https://t.me/motk_notification_bot?start=LTS-022-011
Code secret : 1348
Étapes : 1) Cliquez sur le lien 2) Appuyez sur Start 3) Envoyez votre numéro de téléphone 4) Envoyez votre code secret.</t>
  </si>
  <si>
    <t>1349</t>
  </si>
  <si>
    <t>https://t.me/motk_notification_bot?start=LTS-022-012</t>
  </si>
  <si>
    <t>🏛️ Ville de Saint-Denis
Service Habitat – Projet MOTK
Bonjour Rose May SOUFFLEUR
Activez vos notifications logement :
Lien : https://t.me/motk_notification_bot?start=LTS-022-012
Code secret : 1349
Étapes : 1) Cliquez sur le lien 2) Appuyez sur Start 3) Envoyez votre numéro de téléphone 4) Envoyez votre code secret.</t>
  </si>
  <si>
    <t>1350</t>
  </si>
  <si>
    <t>https://t.me/motk_notification_bot?start=LTS-022-013</t>
  </si>
  <si>
    <t>🏛️ Ville de Saint-Denis
Service Habitat – Projet MOTK
Bonjour Marie Clélia TECHER
Activez vos notifications logement :
Lien : https://t.me/motk_notification_bot?start=LTS-022-013
Code secret : 1350
Étapes : 1) Cliquez sur le lien 2) Appuyez sur Start 3) Envoyez votre numéro de téléphone 4) Envoyez votre code secret.</t>
  </si>
  <si>
    <t>1351</t>
  </si>
  <si>
    <t>https://t.me/motk_notification_bot?start=LTS-022-014</t>
  </si>
  <si>
    <t>🏛️ Ville de Saint-Denis
Service Habitat – Projet MOTK
Bonjour Georges Marie TILLE
Activez vos notifications logement :
Lien : https://t.me/motk_notification_bot?start=LTS-022-014
Code secret : 1351
Étapes : 1) Cliquez sur le lien 2) Appuyez sur Start 3) Envoyez votre numéro de téléphone 4) Envoyez votre code secret.</t>
  </si>
  <si>
    <t>1352</t>
  </si>
  <si>
    <t>https://t.me/motk_notification_bot?start=LTS-022-015</t>
  </si>
  <si>
    <t>🏛️ Ville de Saint-Denis
Service Habitat – Projet MOTK
Bonjour Augusta TERVIMONT
Activez vos notifications logement :
Lien : https://t.me/motk_notification_bot?start=LTS-022-015
Code secret : 1352
Étapes : 1) Cliquez sur le lien 2) Appuyez sur Start 3) Envoyez votre numéro de téléphone 4) Envoyez votre code secret.</t>
  </si>
  <si>
    <t>1353</t>
  </si>
  <si>
    <t>https://t.me/motk_notification_bot?start=LTS-023-001</t>
  </si>
  <si>
    <t>🏛️ Ville de Saint-Denis
Service Habitat – Projet MOTK
Bonjour Jeanne ANDY
Activez vos notifications logement :
Lien : https://t.me/motk_notification_bot?start=LTS-023-001
Code secret : 1353
Étapes : 1) Cliquez sur le lien 2) Appuyez sur Start 3) Envoyez votre numéro de téléphone 4) Envoyez votre code secret.</t>
  </si>
  <si>
    <t>1354</t>
  </si>
  <si>
    <t>https://t.me/motk_notification_bot?start=LTS-023-002</t>
  </si>
  <si>
    <t>🏛️ Ville de Saint-Denis
Service Habitat – Projet MOTK
Bonjour Marie Emmanuella CADENET
Activez vos notifications logement :
Lien : https://t.me/motk_notification_bot?start=LTS-023-002
Code secret : 1354
Étapes : 1) Cliquez sur le lien 2) Appuyez sur Start 3) Envoyez votre numéro de téléphone 4) Envoyez votre code secret.</t>
  </si>
  <si>
    <t>1355</t>
  </si>
  <si>
    <t>https://t.me/motk_notification_bot?start=LTS-023-003</t>
  </si>
  <si>
    <t>🏛️ Ville de Saint-Denis
Service Habitat – Projet MOTK
Bonjour Marie Ginette DIJOUX
Activez vos notifications logement :
Lien : https://t.me/motk_notification_bot?start=LTS-023-003
Code secret : 1355
Étapes : 1) Cliquez sur le lien 2) Appuyez sur Start 3) Envoyez votre numéro de téléphone 4) Envoyez votre code secret.</t>
  </si>
  <si>
    <t>1356</t>
  </si>
  <si>
    <t>https://t.me/motk_notification_bot?start=LTS-023-004</t>
  </si>
  <si>
    <t>🏛️ Ville de Saint-Denis
Service Habitat – Projet MOTK
Bonjour Véronique DUMONT
Activez vos notifications logement :
Lien : https://t.me/motk_notification_bot?start=LTS-023-004
Code secret : 1356
Étapes : 1) Cliquez sur le lien 2) Appuyez sur Start 3) Envoyez votre numéro de téléphone 4) Envoyez votre code secret.</t>
  </si>
  <si>
    <t>1357</t>
  </si>
  <si>
    <t>https://t.me/motk_notification_bot?start=LTS-023-005</t>
  </si>
  <si>
    <t>🏛️ Ville de Saint-Denis
Service Habitat – Projet MOTK
Bonjour Marie Andrée HOAREAU
Activez vos notifications logement :
Lien : https://t.me/motk_notification_bot?start=LTS-023-005
Code secret : 1357
Étapes : 1) Cliquez sur le lien 2) Appuyez sur Start 3) Envoyez votre numéro de téléphone 4) Envoyez votre code secret.</t>
  </si>
  <si>
    <t>1358</t>
  </si>
  <si>
    <t>https://t.me/motk_notification_bot?start=LTS-023-006</t>
  </si>
  <si>
    <t>🏛️ Ville de Saint-Denis
Service Habitat – Projet MOTK
Bonjour Jean Fabrice TURPIN
Activez vos notifications logement :
Lien : https://t.me/motk_notification_bot?start=LTS-023-006
Code secret : 1358
Étapes : 1) Cliquez sur le lien 2) Appuyez sur Start 3) Envoyez votre numéro de téléphone 4) Envoyez votre code secret.</t>
  </si>
  <si>
    <t>1359</t>
  </si>
  <si>
    <t>https://t.me/motk_notification_bot?start=LTS-023-007</t>
  </si>
  <si>
    <t>🏛️ Ville de Saint-Denis
Service Habitat – Projet MOTK
Bonjour Jean Paul VAILLANT
Activez vos notifications logement :
Lien : https://t.me/motk_notification_bot?start=LTS-023-007
Code secret : 1359
Étapes : 1) Cliquez sur le lien 2) Appuyez sur Start 3) Envoyez votre numéro de téléphone 4) Envoyez votre code secret.</t>
  </si>
  <si>
    <t>1360</t>
  </si>
  <si>
    <t>https://t.me/motk_notification_bot?start=LTS-024-001</t>
  </si>
  <si>
    <t>🏛️ Ville de Saint-Denis
Service Habitat – Projet MOTK
Bonjour Brice AIME
Activez vos notifications logement :
Lien : https://t.me/motk_notification_bot?start=LTS-024-001
Code secret : 1360
Étapes : 1) Cliquez sur le lien 2) Appuyez sur Start 3) Envoyez votre numéro de téléphone 4) Envoyez votre code secret.</t>
  </si>
  <si>
    <t>1361</t>
  </si>
  <si>
    <t>https://t.me/motk_notification_bot?start=LTS-024-002</t>
  </si>
  <si>
    <t>🏛️ Ville de Saint-Denis
Service Habitat – Projet MOTK
Bonjour Marie Evelyne RAOUTINTE
Activez vos notifications logement :
Lien : https://t.me/motk_notification_bot?start=LTS-024-002
Code secret : 1361
Étapes : 1) Cliquez sur le lien 2) Appuyez sur Start 3) Envoyez votre numéro de téléphone 4) Envoyez votre code secret.</t>
  </si>
  <si>
    <t>1362</t>
  </si>
  <si>
    <t>https://t.me/motk_notification_bot?start=LTS-024-003</t>
  </si>
  <si>
    <t>🏛️ Ville de Saint-Denis
Service Habitat – Projet MOTK
Bonjour Marie Paule ANDRIANA
Activez vos notifications logement :
Lien : https://t.me/motk_notification_bot?start=LTS-024-003
Code secret : 1362
Étapes : 1) Cliquez sur le lien 2) Appuyez sur Start 3) Envoyez votre numéro de téléphone 4) Envoyez votre code secret.</t>
  </si>
  <si>
    <t>1363</t>
  </si>
  <si>
    <t>https://t.me/motk_notification_bot?start=LTS-024-004</t>
  </si>
  <si>
    <t>🏛️ Ville de Saint-Denis
Service Habitat – Projet MOTK
Bonjour Fabrice ANELARD
Activez vos notifications logement :
Lien : https://t.me/motk_notification_bot?start=LTS-024-004
Code secret : 1363
Étapes : 1) Cliquez sur le lien 2) Appuyez sur Start 3) Envoyez votre numéro de téléphone 4) Envoyez votre code secret.</t>
  </si>
  <si>
    <t>1364</t>
  </si>
  <si>
    <t>https://t.me/motk_notification_bot?start=LTS-024-005</t>
  </si>
  <si>
    <t>🏛️ Ville de Saint-Denis
Service Habitat – Projet MOTK
Bonjour Jean Eric BARDEUR
Activez vos notifications logement :
Lien : https://t.me/motk_notification_bot?start=LTS-024-005
Code secret : 1364
Étapes : 1) Cliquez sur le lien 2) Appuyez sur Start 3) Envoyez votre numéro de téléphone 4) Envoyez votre code secret.</t>
  </si>
  <si>
    <t>1365</t>
  </si>
  <si>
    <t>https://t.me/motk_notification_bot?start=LTS-024-006</t>
  </si>
  <si>
    <t>🏛️ Ville de Saint-Denis
Service Habitat – Projet MOTK
Bonjour Josiane LASAONE
Activez vos notifications logement :
Lien : https://t.me/motk_notification_bot?start=LTS-024-006
Code secret : 1365
Étapes : 1) Cliquez sur le lien 2) Appuyez sur Start 3) Envoyez votre numéro de téléphone 4) Envoyez votre code secret.</t>
  </si>
  <si>
    <t>1366</t>
  </si>
  <si>
    <t>https://t.me/motk_notification_bot?start=LTS-024-007</t>
  </si>
  <si>
    <t>🏛️ Ville de Saint-Denis
Service Habitat – Projet MOTK
Bonjour Alexandre CALOGINE
Activez vos notifications logement :
Lien : https://t.me/motk_notification_bot?start=LTS-024-007
Code secret : 1366
Étapes : 1) Cliquez sur le lien 2) Appuyez sur Start 3) Envoyez votre numéro de téléphone 4) Envoyez votre code secret.</t>
  </si>
  <si>
    <t>1367</t>
  </si>
  <si>
    <t>https://t.me/motk_notification_bot?start=LTS-024-008</t>
  </si>
  <si>
    <t>🏛️ Ville de Saint-Denis
Service Habitat – Projet MOTK
Bonjour Arsène JESSU
Activez vos notifications logement :
Lien : https://t.me/motk_notification_bot?start=LTS-024-008
Code secret : 1367
Étapes : 1) Cliquez sur le lien 2) Appuyez sur Start 3) Envoyez votre numéro de téléphone 4) Envoyez votre code secret.</t>
  </si>
  <si>
    <t>1368</t>
  </si>
  <si>
    <t>https://t.me/motk_notification_bot?start=LTS-024-009</t>
  </si>
  <si>
    <t>🏛️ Ville de Saint-Denis
Service Habitat – Projet MOTK
Bonjour Bernard NALLAMOUTOU
Activez vos notifications logement :
Lien : https://t.me/motk_notification_bot?start=LTS-024-009
Code secret : 1368
Étapes : 1) Cliquez sur le lien 2) Appuyez sur Start 3) Envoyez votre numéro de téléphone 4) Envoyez votre code secret.</t>
  </si>
  <si>
    <t>1369</t>
  </si>
  <si>
    <t>https://t.me/motk_notification_bot?start=LTS-024-010</t>
  </si>
  <si>
    <t>🏛️ Ville de Saint-Denis
Service Habitat – Projet MOTK
Bonjour Iréné NALLAMOUTOU
Activez vos notifications logement :
Lien : https://t.me/motk_notification_bot?start=LTS-024-010
Code secret : 1369
Étapes : 1) Cliquez sur le lien 2) Appuyez sur Start 3) Envoyez votre numéro de téléphone 4) Envoyez votre code secret.</t>
  </si>
  <si>
    <t>1370</t>
  </si>
  <si>
    <t>https://t.me/motk_notification_bot?start=LTS-024-011</t>
  </si>
  <si>
    <t>🏛️ Ville de Saint-Denis
Service Habitat – Projet MOTK
Bonjour Marie Hélène PERSAND
Activez vos notifications logement :
Lien : https://t.me/motk_notification_bot?start=LTS-024-011
Code secret : 1370
Étapes : 1) Cliquez sur le lien 2) Appuyez sur Start 3) Envoyez votre numéro de téléphone 4) Envoyez votre code secret.</t>
  </si>
  <si>
    <t>1371</t>
  </si>
  <si>
    <t>https://t.me/motk_notification_bot?start=LTS-024-012</t>
  </si>
  <si>
    <t>🏛️ Ville de Saint-Denis
Service Habitat – Projet MOTK
Bonjour Ludivine SIRIONGUE
Activez vos notifications logement :
Lien : https://t.me/motk_notification_bot?start=LTS-024-012
Code secret : 1371
Étapes : 1) Cliquez sur le lien 2) Appuyez sur Start 3) Envoyez votre numéro de téléphone 4) Envoyez votre code secret.</t>
  </si>
  <si>
    <t>1372</t>
  </si>
  <si>
    <t>https://t.me/motk_notification_bot?start=LTS-024-013</t>
  </si>
  <si>
    <t>🏛️ Ville de Saint-Denis
Service Habitat – Projet MOTK
Bonjour Marie Michelle EDJA
Activez vos notifications logement :
Lien : https://t.me/motk_notification_bot?start=LTS-024-013
Code secret : 1372
Étapes : 1) Cliquez sur le lien 2) Appuyez sur Start 3) Envoyez votre numéro de téléphone 4) Envoyez votre code secret.</t>
  </si>
  <si>
    <t>1373</t>
  </si>
  <si>
    <t>https://t.me/motk_notification_bot?start=LTS-025-001</t>
  </si>
  <si>
    <t>🏛️ Ville de Saint-Denis
Service Habitat – Projet MOTK
Bonjour Marie  Marthe BOYER
Activez vos notifications logement :
Lien : https://t.me/motk_notification_bot?start=LTS-025-001
Code secret : 1373
Étapes : 1) Cliquez sur le lien 2) Appuyez sur Start 3) Envoyez votre numéro de téléphone 4) Envoyez votre code secret.</t>
  </si>
  <si>
    <t>1374</t>
  </si>
  <si>
    <t>https://t.me/motk_notification_bot?start=LTS-025-002</t>
  </si>
  <si>
    <t>🏛️ Ville de Saint-Denis
Service Habitat – Projet MOTK
Bonjour Jean Patrick CLARA
Activez vos notifications logement :
Lien : https://t.me/motk_notification_bot?start=LTS-025-002
Code secret : 1374
Étapes : 1) Cliquez sur le lien 2) Appuyez sur Start 3) Envoyez votre numéro de téléphone 4) Envoyez votre code secret.</t>
  </si>
  <si>
    <t>1375</t>
  </si>
  <si>
    <t>https://t.me/motk_notification_bot?start=LTS-025-003</t>
  </si>
  <si>
    <t>🏛️ Ville de Saint-Denis
Service Habitat – Projet MOTK
Bonjour Huguette GOSSARD
Activez vos notifications logement :
Lien : https://t.me/motk_notification_bot?start=LTS-025-003
Code secret : 1375
Étapes : 1) Cliquez sur le lien 2) Appuyez sur Start 3) Envoyez votre numéro de téléphone 4) Envoyez votre code secret.</t>
  </si>
  <si>
    <t>1376</t>
  </si>
  <si>
    <t>https://t.me/motk_notification_bot?start=LTS-025-004</t>
  </si>
  <si>
    <t>🏛️ Ville de Saint-Denis
Service Habitat – Projet MOTK
Bonjour Marie Josée GUSTAVE
Activez vos notifications logement :
Lien : https://t.me/motk_notification_bot?start=LTS-025-004
Code secret : 1376
Étapes : 1) Cliquez sur le lien 2) Appuyez sur Start 3) Envoyez votre numéro de téléphone 4) Envoyez votre code secret.</t>
  </si>
  <si>
    <t>1377</t>
  </si>
  <si>
    <t>https://t.me/motk_notification_bot?start=LTS-025-005</t>
  </si>
  <si>
    <t>🏛️ Ville de Saint-Denis
Service Habitat – Projet MOTK
Bonjour Marie Charlotte JEAN BAPTISTE
Activez vos notifications logement :
Lien : https://t.me/motk_notification_bot?start=LTS-025-005
Code secret : 1377
Étapes : 1) Cliquez sur le lien 2) Appuyez sur Start 3) Envoyez votre numéro de téléphone 4) Envoyez votre code secret.</t>
  </si>
  <si>
    <t>1378</t>
  </si>
  <si>
    <t>https://t.me/motk_notification_bot?start=LTS-025-006</t>
  </si>
  <si>
    <t>🏛️ Ville de Saint-Denis
Service Habitat – Projet MOTK
Bonjour Jean Pierre Fréderic LEGROS
Activez vos notifications logement :
Lien : https://t.me/motk_notification_bot?start=LTS-025-006
Code secret : 1378
Étapes : 1) Cliquez sur le lien 2) Appuyez sur Start 3) Envoyez votre numéro de téléphone 4) Envoyez votre code secret.</t>
  </si>
  <si>
    <t>1379</t>
  </si>
  <si>
    <t>https://t.me/motk_notification_bot?start=LTS-025-007</t>
  </si>
  <si>
    <t>🏛️ Ville de Saint-Denis
Service Habitat – Projet MOTK
Bonjour Patricia LAURENT
Activez vos notifications logement :
Lien : https://t.me/motk_notification_bot?start=LTS-025-007
Code secret : 1379
Étapes : 1) Cliquez sur le lien 2) Appuyez sur Start 3) Envoyez votre numéro de téléphone 4) Envoyez votre code secret.</t>
  </si>
  <si>
    <t>1380</t>
  </si>
  <si>
    <t>https://t.me/motk_notification_bot?start=LTS-025-008</t>
  </si>
  <si>
    <t>🏛️ Ville de Saint-Denis
Service Habitat – Projet MOTK
Bonjour Christo PROSERPINE
Activez vos notifications logement :
Lien : https://t.me/motk_notification_bot?start=LTS-025-008
Code secret : 1380
Étapes : 1) Cliquez sur le lien 2) Appuyez sur Start 3) Envoyez votre numéro de téléphone 4) Envoyez votre code secret.</t>
  </si>
  <si>
    <t>1381</t>
  </si>
  <si>
    <t>https://t.me/motk_notification_bot?start=LTS-025-009</t>
  </si>
  <si>
    <t>🏛️ Ville de Saint-Denis
Service Habitat – Projet MOTK
Bonjour Marie  Patricia PROSERPINE
Activez vos notifications logement :
Lien : https://t.me/motk_notification_bot?start=LTS-025-009
Code secret : 1381
Étapes : 1) Cliquez sur le lien 2) Appuyez sur Start 3) Envoyez votre numéro de téléphone 4) Envoyez votre code secret.</t>
  </si>
  <si>
    <t>1382</t>
  </si>
  <si>
    <t>https://t.me/motk_notification_bot?start=LTS-025-010</t>
  </si>
  <si>
    <t>🏛️ Ville de Saint-Denis
Service Habitat – Projet MOTK
Bonjour Marie Florence RAVENE
Activez vos notifications logement :
Lien : https://t.me/motk_notification_bot?start=LTS-025-010
Code secret : 1382
Étapes : 1) Cliquez sur le lien 2) Appuyez sur Start 3) Envoyez votre numéro de téléphone 4) Envoyez votre code secret.</t>
  </si>
  <si>
    <t>1383</t>
  </si>
  <si>
    <t>https://t.me/motk_notification_bot?start=LTS-025-011</t>
  </si>
  <si>
    <t>🏛️ Ville de Saint-Denis
Service Habitat – Projet MOTK
Bonjour Jean Marc Antoine ROBERT
Activez vos notifications logement :
Lien : https://t.me/motk_notification_bot?start=LTS-025-011
Code secret : 1383
Étapes : 1) Cliquez sur le lien 2) Appuyez sur Start 3) Envoyez votre numéro de téléphone 4) Envoyez votre code secret.</t>
  </si>
  <si>
    <t>1384</t>
  </si>
  <si>
    <t>https://t.me/motk_notification_bot?start=LTS-025-012</t>
  </si>
  <si>
    <t>🏛️ Ville de Saint-Denis
Service Habitat – Projet MOTK
Bonjour Marie Mimose ROBERT
Activez vos notifications logement :
Lien : https://t.me/motk_notification_bot?start=LTS-025-012
Code secret : 1384
Étapes : 1) Cliquez sur le lien 2) Appuyez sur Start 3) Envoyez votre numéro de téléphone 4) Envoyez votre code secret.</t>
  </si>
  <si>
    <t>1385</t>
  </si>
  <si>
    <t>https://t.me/motk_notification_bot?start=LTS-025-013</t>
  </si>
  <si>
    <t>🏛️ Ville de Saint-Denis
Service Habitat – Projet MOTK
Bonjour Marie Andrée SANTOULANGUE
Activez vos notifications logement :
Lien : https://t.me/motk_notification_bot?start=LTS-025-013
Code secret : 1385
Étapes : 1) Cliquez sur le lien 2) Appuyez sur Start 3) Envoyez votre numéro de téléphone 4) Envoyez votre code secret.</t>
  </si>
  <si>
    <t>1386</t>
  </si>
  <si>
    <t>https://t.me/motk_notification_bot?start=LTS-025-014</t>
  </si>
  <si>
    <t>🏛️ Ville de Saint-Denis
Service Habitat – Projet MOTK
Bonjour Fred et Sandrine SERY
Activez vos notifications logement :
Lien : https://t.me/motk_notification_bot?start=LTS-025-014
Code secret : 1386
Étapes : 1) Cliquez sur le lien 2) Appuyez sur Start 3) Envoyez votre numéro de téléphone 4) Envoyez votre code secret.</t>
  </si>
  <si>
    <t>1387</t>
  </si>
  <si>
    <t>https://t.me/motk_notification_bot?start=LTS-025-015</t>
  </si>
  <si>
    <t>🏛️ Ville de Saint-Denis
Service Habitat – Projet MOTK
Bonjour Marie Jeanne VIRASSAMY
Activez vos notifications logement :
Lien : https://t.me/motk_notification_bot?start=LTS-025-015
Code secret : 1387
Étapes : 1) Cliquez sur le lien 2) Appuyez sur Start 3) Envoyez votre numéro de téléphone 4) Envoyez votre code secret.</t>
  </si>
  <si>
    <t>1388</t>
  </si>
  <si>
    <t>https://t.me/motk_notification_bot?start=LTS-026-001</t>
  </si>
  <si>
    <t>🏛️ Ville de Saint-Denis
Service Habitat – Projet MOTK
Bonjour Marie Adélaïde ARMAND
Activez vos notifications logement :
Lien : https://t.me/motk_notification_bot?start=LTS-026-001
Code secret : 1388
Étapes : 1) Cliquez sur le lien 2) Appuyez sur Start 3) Envoyez votre numéro de téléphone 4) Envoyez votre code secret.</t>
  </si>
  <si>
    <t>1389</t>
  </si>
  <si>
    <t>https://t.me/motk_notification_bot?start=LTS-026-002</t>
  </si>
  <si>
    <t>🏛️ Ville de Saint-Denis
Service Habitat – Projet MOTK
Bonjour Marie Suzette BETON
Activez vos notifications logement :
Lien : https://t.me/motk_notification_bot?start=LTS-026-002
Code secret : 1389
Étapes : 1) Cliquez sur le lien 2) Appuyez sur Start 3) Envoyez votre numéro de téléphone 4) Envoyez votre code secret.</t>
  </si>
  <si>
    <t>1390</t>
  </si>
  <si>
    <t>https://t.me/motk_notification_bot?start=LTS-026-003</t>
  </si>
  <si>
    <t>🏛️ Ville de Saint-Denis
Service Habitat – Projet MOTK
Bonjour Alix Jean Sebastien BOURANE
Activez vos notifications logement :
Lien : https://t.me/motk_notification_bot?start=LTS-026-003
Code secret : 1390
Étapes : 1) Cliquez sur le lien 2) Appuyez sur Start 3) Envoyez votre numéro de téléphone 4) Envoyez votre code secret.</t>
  </si>
  <si>
    <t>1391</t>
  </si>
  <si>
    <t>https://t.me/motk_notification_bot?start=LTS-026-004</t>
  </si>
  <si>
    <t>🏛️ Ville de Saint-Denis
Service Habitat – Projet MOTK
Bonjour Jean Florent BOYER
Activez vos notifications logement :
Lien : https://t.me/motk_notification_bot?start=LTS-026-004
Code secret : 1391
Étapes : 1) Cliquez sur le lien 2) Appuyez sur Start 3) Envoyez votre numéro de téléphone 4) Envoyez votre code secret.</t>
  </si>
  <si>
    <t>1392</t>
  </si>
  <si>
    <t>https://t.me/motk_notification_bot?start=LTS-026-005</t>
  </si>
  <si>
    <t>🏛️ Ville de Saint-Denis
Service Habitat – Projet MOTK
Bonjour Jean Paul CLAIN
Activez vos notifications logement :
Lien : https://t.me/motk_notification_bot?start=LTS-026-005
Code secret : 1392
Étapes : 1) Cliquez sur le lien 2) Appuyez sur Start 3) Envoyez votre numéro de téléphone 4) Envoyez votre code secret.</t>
  </si>
  <si>
    <t>1393</t>
  </si>
  <si>
    <t>https://t.me/motk_notification_bot?start=LTS-026-006</t>
  </si>
  <si>
    <t>🏛️ Ville de Saint-Denis
Service Habitat – Projet MOTK
Bonjour Justin Michel CLORATE
Activez vos notifications logement :
Lien : https://t.me/motk_notification_bot?start=LTS-026-006
Code secret : 1393
Étapes : 1) Cliquez sur le lien 2) Appuyez sur Start 3) Envoyez votre numéro de téléphone 4) Envoyez votre code secret.</t>
  </si>
  <si>
    <t>1394</t>
  </si>
  <si>
    <t>https://t.me/motk_notification_bot?start=LTS-026-007</t>
  </si>
  <si>
    <t>🏛️ Ville de Saint-Denis
Service Habitat – Projet MOTK
Bonjour Marie Jocelyne DALERY
Activez vos notifications logement :
Lien : https://t.me/motk_notification_bot?start=LTS-026-007
Code secret : 1394
Étapes : 1) Cliquez sur le lien 2) Appuyez sur Start 3) Envoyez votre numéro de téléphone 4) Envoyez votre code secret.</t>
  </si>
  <si>
    <t>1395</t>
  </si>
  <si>
    <t>https://t.me/motk_notification_bot?start=LTS-026-008</t>
  </si>
  <si>
    <t>🏛️ Ville de Saint-Denis
Service Habitat – Projet MOTK
Bonjour Simone Marie Antoinette DALLEAU
Activez vos notifications logement :
Lien : https://t.me/motk_notification_bot?start=LTS-026-008
Code secret : 1395
Étapes : 1) Cliquez sur le lien 2) Appuyez sur Start 3) Envoyez votre numéro de téléphone 4) Envoyez votre code secret.</t>
  </si>
  <si>
    <t>1396</t>
  </si>
  <si>
    <t>https://t.me/motk_notification_bot?start=LTS-026-009</t>
  </si>
  <si>
    <t>🏛️ Ville de Saint-Denis
Service Habitat – Projet MOTK
Bonjour Laurent DIJOUX
Activez vos notifications logement :
Lien : https://t.me/motk_notification_bot?start=LTS-026-009
Code secret : 1396
Étapes : 1) Cliquez sur le lien 2) Appuyez sur Start 3) Envoyez votre numéro de téléphone 4) Envoyez votre code secret.</t>
  </si>
  <si>
    <t>1397</t>
  </si>
  <si>
    <t>https://t.me/motk_notification_bot?start=LTS-026-010</t>
  </si>
  <si>
    <t>🏛️ Ville de Saint-Denis
Service Habitat – Projet MOTK
Bonjour Vivienne Marie Judith PAUSE
Activez vos notifications logement :
Lien : https://t.me/motk_notification_bot?start=LTS-026-010
Code secret : 1397
Étapes : 1) Cliquez sur le lien 2) Appuyez sur Start 3) Envoyez votre numéro de téléphone 4) Envoyez votre code secret.</t>
  </si>
  <si>
    <t>1398</t>
  </si>
  <si>
    <t>https://t.me/motk_notification_bot?start=LTS-026-011</t>
  </si>
  <si>
    <t>🏛️ Ville de Saint-Denis
Service Habitat – Projet MOTK
Bonjour Jean Alain GRONDIN
Activez vos notifications logement :
Lien : https://t.me/motk_notification_bot?start=LTS-026-011
Code secret : 1398
Étapes : 1) Cliquez sur le lien 2) Appuyez sur Start 3) Envoyez votre numéro de téléphone 4) Envoyez votre code secret.</t>
  </si>
  <si>
    <t>1399</t>
  </si>
  <si>
    <t>https://t.me/motk_notification_bot?start=LTS-026-012</t>
  </si>
  <si>
    <t>🏛️ Ville de Saint-Denis
Service Habitat – Projet MOTK
Bonjour Jean Philippe Jérôme GRONDIN
Activez vos notifications logement :
Lien : https://t.me/motk_notification_bot?start=LTS-026-012
Code secret : 1399
Étapes : 1) Cliquez sur le lien 2) Appuyez sur Start 3) Envoyez votre numéro de téléphone 4) Envoyez votre code secret.</t>
  </si>
  <si>
    <t>1400</t>
  </si>
  <si>
    <t>https://t.me/motk_notification_bot?start=LTS-026-013</t>
  </si>
  <si>
    <t>🏛️ Ville de Saint-Denis
Service Habitat – Projet MOTK
Bonjour Jean Michel GROSSET
Activez vos notifications logement :
Lien : https://t.me/motk_notification_bot?start=LTS-026-013
Code secret : 1400
Étapes : 1) Cliquez sur le lien 2) Appuyez sur Start 3) Envoyez votre numéro de téléphone 4) Envoyez votre code secret.</t>
  </si>
  <si>
    <t>1401</t>
  </si>
  <si>
    <t>https://t.me/motk_notification_bot?start=LTS-026-014</t>
  </si>
  <si>
    <t>🏛️ Ville de Saint-Denis
Service Habitat – Projet MOTK
Bonjour Mickaël JEAN FRANCOIS
Activez vos notifications logement :
Lien : https://t.me/motk_notification_bot?start=LTS-026-014
Code secret : 1401
Étapes : 1) Cliquez sur le lien 2) Appuyez sur Start 3) Envoyez votre numéro de téléphone 4) Envoyez votre code secret.</t>
  </si>
  <si>
    <t>1402</t>
  </si>
  <si>
    <t>https://t.me/motk_notification_bot?start=LTS-026-015</t>
  </si>
  <si>
    <t>🏛️ Ville de Saint-Denis
Service Habitat – Projet MOTK
Bonjour Emile LAI MAN
Activez vos notifications logement :
Lien : https://t.me/motk_notification_bot?start=LTS-026-015
Code secret : 1402
Étapes : 1) Cliquez sur le lien 2) Appuyez sur Start 3) Envoyez votre numéro de téléphone 4) Envoyez votre code secret.</t>
  </si>
  <si>
    <t>1403</t>
  </si>
  <si>
    <t>https://t.me/motk_notification_bot?start=LTS-026-016</t>
  </si>
  <si>
    <t>🏛️ Ville de Saint-Denis
Service Habitat – Projet MOTK
Bonjour Jacqueline LAMBE
Activez vos notifications logement :
Lien : https://t.me/motk_notification_bot?start=LTS-026-016
Code secret : 1403
Étapes : 1) Cliquez sur le lien 2) Appuyez sur Start 3) Envoyez votre numéro de téléphone 4) Envoyez votre code secret.</t>
  </si>
  <si>
    <t>1404</t>
  </si>
  <si>
    <t>https://t.me/motk_notification_bot?start=LTS-026-017</t>
  </si>
  <si>
    <t>🏛️ Ville de Saint-Denis
Service Habitat – Projet MOTK
Bonjour Colette Marie Miguy LANGLET
Activez vos notifications logement :
Lien : https://t.me/motk_notification_bot?start=LTS-026-017
Code secret : 1404
Étapes : 1) Cliquez sur le lien 2) Appuyez sur Start 3) Envoyez votre numéro de téléphone 4) Envoyez votre code secret.</t>
  </si>
  <si>
    <t>1405</t>
  </si>
  <si>
    <t>https://t.me/motk_notification_bot?start=LTS-026-018</t>
  </si>
  <si>
    <t>🏛️ Ville de Saint-Denis
Service Habitat – Projet MOTK
Bonjour Rolande LARAVINE (EX PADRE)
Activez vos notifications logement :
Lien : https://t.me/motk_notification_bot?start=LTS-026-018
Code secret : 1405
Étapes : 1) Cliquez sur le lien 2) Appuyez sur Start 3) Envoyez votre numéro de téléphone 4) Envoyez votre code secret.</t>
  </si>
  <si>
    <t>1406</t>
  </si>
  <si>
    <t>https://t.me/motk_notification_bot?start=LTS-026-019</t>
  </si>
  <si>
    <t>🏛️ Ville de Saint-Denis
Service Habitat – Projet MOTK
Bonjour JEAN MICKAËL LAURET
Activez vos notifications logement :
Lien : https://t.me/motk_notification_bot?start=LTS-026-019
Code secret : 1406
Étapes : 1) Cliquez sur le lien 2) Appuyez sur Start 3) Envoyez votre numéro de téléphone 4) Envoyez votre code secret.</t>
  </si>
  <si>
    <t>1407</t>
  </si>
  <si>
    <t>https://t.me/motk_notification_bot?start=LTS-026-020</t>
  </si>
  <si>
    <t>🏛️ Ville de Saint-Denis
Service Habitat – Projet MOTK
Bonjour Marie Françoise LOUIS
Activez vos notifications logement :
Lien : https://t.me/motk_notification_bot?start=LTS-026-020
Code secret : 1407
Étapes : 1) Cliquez sur le lien 2) Appuyez sur Start 3) Envoyez votre numéro de téléphone 4) Envoyez votre code secret.</t>
  </si>
  <si>
    <t>1408</t>
  </si>
  <si>
    <t>https://t.me/motk_notification_bot?start=LTS-026-021</t>
  </si>
  <si>
    <t>🏛️ Ville de Saint-Denis
Service Habitat – Projet MOTK
Bonjour Etienne MAILLOT
Activez vos notifications logement :
Lien : https://t.me/motk_notification_bot?start=LTS-026-021
Code secret : 1408
Étapes : 1) Cliquez sur le lien 2) Appuyez sur Start 3) Envoyez votre numéro de téléphone 4) Envoyez votre code secret.</t>
  </si>
  <si>
    <t>1409</t>
  </si>
  <si>
    <t>https://t.me/motk_notification_bot?start=LTS-026-022</t>
  </si>
  <si>
    <t>🏛️ Ville de Saint-Denis
Service Habitat – Projet MOTK
Bonjour Marie Claude MARGUERITE
Activez vos notifications logement :
Lien : https://t.me/motk_notification_bot?start=LTS-026-022
Code secret : 1409
Étapes : 1) Cliquez sur le lien 2) Appuyez sur Start 3) Envoyez votre numéro de téléphone 4) Envoyez votre code secret.</t>
  </si>
  <si>
    <t>1410</t>
  </si>
  <si>
    <t>https://t.me/motk_notification_bot?start=LTS-026-023</t>
  </si>
  <si>
    <t>🏛️ Ville de Saint-Denis
Service Habitat – Projet MOTK
Bonjour Hélène MOIMBE
Activez vos notifications logement :
Lien : https://t.me/motk_notification_bot?start=LTS-026-023
Code secret : 1410
Étapes : 1) Cliquez sur le lien 2) Appuyez sur Start 3) Envoyez votre numéro de téléphone 4) Envoyez votre code secret.</t>
  </si>
  <si>
    <t>1411</t>
  </si>
  <si>
    <t>https://t.me/motk_notification_bot?start=LTS-026-024</t>
  </si>
  <si>
    <t>🏛️ Ville de Saint-Denis
Service Habitat – Projet MOTK
Bonjour Dorcas cindy DALLEAU
Activez vos notifications logement :
Lien : https://t.me/motk_notification_bot?start=LTS-026-024
Code secret : 1411
Étapes : 1) Cliquez sur le lien 2) Appuyez sur Start 3) Envoyez votre numéro de téléphone 4) Envoyez votre code secret.</t>
  </si>
  <si>
    <t>1412</t>
  </si>
  <si>
    <t>https://t.me/motk_notification_bot?start=LTS-026-025</t>
  </si>
  <si>
    <t>🏛️ Ville de Saint-Denis
Service Habitat – Projet MOTK
Bonjour Marie Emilienne MOUNIA
Activez vos notifications logement :
Lien : https://t.me/motk_notification_bot?start=LTS-026-025
Code secret : 1412
Étapes : 1) Cliquez sur le lien 2) Appuyez sur Start 3) Envoyez votre numéro de téléphone 4) Envoyez votre code secret.</t>
  </si>
  <si>
    <t>1413</t>
  </si>
  <si>
    <t>https://t.me/motk_notification_bot?start=LTS-026-026</t>
  </si>
  <si>
    <t>🏛️ Ville de Saint-Denis
Service Habitat – Projet MOTK
Bonjour RACHEL MOUROUVIN
Activez vos notifications logement :
Lien : https://t.me/motk_notification_bot?start=LTS-026-026
Code secret : 1413
Étapes : 1) Cliquez sur le lien 2) Appuyez sur Start 3) Envoyez votre numéro de téléphone 4) Envoyez votre code secret.</t>
  </si>
  <si>
    <t>1414</t>
  </si>
  <si>
    <t>https://t.me/motk_notification_bot?start=LTS-026-027</t>
  </si>
  <si>
    <t>🏛️ Ville de Saint-Denis
Service Habitat – Projet MOTK
Bonjour Antoine Guy PAUS
Activez vos notifications logement :
Lien : https://t.me/motk_notification_bot?start=LTS-026-027
Code secret : 1414
Étapes : 1) Cliquez sur le lien 2) Appuyez sur Start 3) Envoyez votre numéro de téléphone 4) Envoyez votre code secret.</t>
  </si>
  <si>
    <t>1415</t>
  </si>
  <si>
    <t>https://t.me/motk_notification_bot?start=LTS-026-028</t>
  </si>
  <si>
    <t>🏛️ Ville de Saint-Denis
Service Habitat – Projet MOTK
Bonjour Guylène PITOU
Activez vos notifications logement :
Lien : https://t.me/motk_notification_bot?start=LTS-026-028
Code secret : 1415
Étapes : 1) Cliquez sur le lien 2) Appuyez sur Start 3) Envoyez votre numéro de téléphone 4) Envoyez votre code secret.</t>
  </si>
  <si>
    <t>1416</t>
  </si>
  <si>
    <t>https://t.me/motk_notification_bot?start=LTS-026-029</t>
  </si>
  <si>
    <t>🏛️ Ville de Saint-Denis
Service Habitat – Projet MOTK
Bonjour Stéphanie Marie Aline RAMIN
Activez vos notifications logement :
Lien : https://t.me/motk_notification_bot?start=LTS-026-029
Code secret : 1416
Étapes : 1) Cliquez sur le lien 2) Appuyez sur Start 3) Envoyez votre numéro de téléphone 4) Envoyez votre code secret.</t>
  </si>
  <si>
    <t>1417</t>
  </si>
  <si>
    <t>https://t.me/motk_notification_bot?start=LTS-026-030</t>
  </si>
  <si>
    <t>🏛️ Ville de Saint-Denis
Service Habitat – Projet MOTK
Bonjour Jean Patrick ROBERT
Activez vos notifications logement :
Lien : https://t.me/motk_notification_bot?start=LTS-026-030
Code secret : 1417
Étapes : 1) Cliquez sur le lien 2) Appuyez sur Start 3) Envoyez votre numéro de téléphone 4) Envoyez votre code secret.</t>
  </si>
  <si>
    <t>1418</t>
  </si>
  <si>
    <t>https://t.me/motk_notification_bot?start=LTS-026-031</t>
  </si>
  <si>
    <t>🏛️ Ville de Saint-Denis
Service Habitat – Projet MOTK
Bonjour Bertrand RODIER
Activez vos notifications logement :
Lien : https://t.me/motk_notification_bot?start=LTS-026-031
Code secret : 1418
Étapes : 1) Cliquez sur le lien 2) Appuyez sur Start 3) Envoyez votre numéro de téléphone 4) Envoyez votre code secret.</t>
  </si>
  <si>
    <t>1419</t>
  </si>
  <si>
    <t>https://t.me/motk_notification_bot?start=LTS-026-032</t>
  </si>
  <si>
    <t>🏛️ Ville de Saint-Denis
Service Habitat – Projet MOTK
Bonjour René Jacques SAITI
Activez vos notifications logement :
Lien : https://t.me/motk_notification_bot?start=LTS-026-032
Code secret : 1419
Étapes : 1) Cliquez sur le lien 2) Appuyez sur Start 3) Envoyez votre numéro de téléphone 4) Envoyez votre code secret.</t>
  </si>
  <si>
    <t>1420</t>
  </si>
  <si>
    <t>https://t.me/motk_notification_bot?start=LTS-026-033</t>
  </si>
  <si>
    <t>🏛️ Ville de Saint-Denis
Service Habitat – Projet MOTK
Bonjour Thierry Jean Bernard SIBALO
Activez vos notifications logement :
Lien : https://t.me/motk_notification_bot?start=LTS-026-033
Code secret : 1420
Étapes : 1) Cliquez sur le lien 2) Appuyez sur Start 3) Envoyez votre numéro de téléphone 4) Envoyez votre code secret.</t>
  </si>
  <si>
    <t>1421</t>
  </si>
  <si>
    <t>https://t.me/motk_notification_bot?start=LTS-026-034</t>
  </si>
  <si>
    <t>🏛️ Ville de Saint-Denis
Service Habitat – Projet MOTK
Bonjour Gismy Alain TECHER
Activez vos notifications logement :
Lien : https://t.me/motk_notification_bot?start=LTS-026-034
Code secret : 1421
Étapes : 1) Cliquez sur le lien 2) Appuyez sur Start 3) Envoyez votre numéro de téléphone 4) Envoyez votre code secret.</t>
  </si>
  <si>
    <t>1422</t>
  </si>
  <si>
    <t>https://t.me/motk_notification_bot?start=LTS-026-035</t>
  </si>
  <si>
    <t>🏛️ Ville de Saint-Denis
Service Habitat – Projet MOTK
Bonjour William TOAVE
Activez vos notifications logement :
Lien : https://t.me/motk_notification_bot?start=LTS-026-035
Code secret : 1422
Étapes : 1) Cliquez sur le lien 2) Appuyez sur Start 3) Envoyez votre numéro de téléphone 4) Envoyez votre code secret.</t>
  </si>
  <si>
    <t>1423</t>
  </si>
  <si>
    <t>https://t.me/motk_notification_bot?start=LTS-026-036</t>
  </si>
  <si>
    <t>🏛️ Ville de Saint-Denis
Service Habitat – Projet MOTK
Bonjour Marie Catherine TURPIN
Activez vos notifications logement :
Lien : https://t.me/motk_notification_bot?start=LTS-026-036
Code secret : 1423
Étapes : 1) Cliquez sur le lien 2) Appuyez sur Start 3) Envoyez votre numéro de téléphone 4) Envoyez votre code secret.</t>
  </si>
  <si>
    <t>1424</t>
  </si>
  <si>
    <t>https://t.me/motk_notification_bot?start=LTS-026-037</t>
  </si>
  <si>
    <t>🏛️ Ville de Saint-Denis
Service Habitat – Projet MOTK
Bonjour Cédric FANNIO
Activez vos notifications logement :
Lien : https://t.me/motk_notification_bot?start=LTS-026-037
Code secret : 1424
Étapes : 1) Cliquez sur le lien 2) Appuyez sur Start 3) Envoyez votre numéro de téléphone 4) Envoyez votre code secret.</t>
  </si>
  <si>
    <t>1425</t>
  </si>
  <si>
    <t>https://t.me/motk_notification_bot?start=LTS-027-001</t>
  </si>
  <si>
    <t>🏛️ Ville de Saint-Denis
Service Habitat – Projet MOTK
Bonjour Soraya Yolande ALLAMELOU
Activez vos notifications logement :
Lien : https://t.me/motk_notification_bot?start=LTS-027-001
Code secret : 1425
Étapes : 1) Cliquez sur le lien 2) Appuyez sur Start 3) Envoyez votre numéro de téléphone 4) Envoyez votre code secret.</t>
  </si>
  <si>
    <t>1426</t>
  </si>
  <si>
    <t>https://t.me/motk_notification_bot?start=LTS-027-002</t>
  </si>
  <si>
    <t>🏛️ Ville de Saint-Denis
Service Habitat – Projet MOTK
Bonjour Jean Fréddy DIJOUX
Activez vos notifications logement :
Lien : https://t.me/motk_notification_bot?start=LTS-027-002
Code secret : 1426
Étapes : 1) Cliquez sur le lien 2) Appuyez sur Start 3) Envoyez votre numéro de téléphone 4) Envoyez votre code secret.</t>
  </si>
  <si>
    <t>1427</t>
  </si>
  <si>
    <t>https://t.me/motk_notification_bot?start=LTS-027-003</t>
  </si>
  <si>
    <t>🏛️ Ville de Saint-Denis
Service Habitat – Projet MOTK
Bonjour Emile FONTAINE
Activez vos notifications logement :
Lien : https://t.me/motk_notification_bot?start=LTS-027-003
Code secret : 1427
Étapes : 1) Cliquez sur le lien 2) Appuyez sur Start 3) Envoyez votre numéro de téléphone 4) Envoyez votre code secret.</t>
  </si>
  <si>
    <t>1428</t>
  </si>
  <si>
    <t>https://t.me/motk_notification_bot?start=LTS-027-004</t>
  </si>
  <si>
    <t>🏛️ Ville de Saint-Denis
Service Habitat – Projet MOTK
Bonjour Jean Claude FONTAINE
Activez vos notifications logement :
Lien : https://t.me/motk_notification_bot?start=LTS-027-004
Code secret : 1428
Étapes : 1) Cliquez sur le lien 2) Appuyez sur Start 3) Envoyez votre numéro de téléphone 4) Envoyez votre code secret.</t>
  </si>
  <si>
    <t>1429</t>
  </si>
  <si>
    <t>https://t.me/motk_notification_bot?start=LTS-027-005</t>
  </si>
  <si>
    <t>🏛️ Ville de Saint-Denis
Service Habitat – Projet MOTK
Bonjour Marie Marlène FONTAINE
Activez vos notifications logement :
Lien : https://t.me/motk_notification_bot?start=LTS-027-005
Code secret : 1429
Étapes : 1) Cliquez sur le lien 2) Appuyez sur Start 3) Envoyez votre numéro de téléphone 4) Envoyez votre code secret.</t>
  </si>
  <si>
    <t>1430</t>
  </si>
  <si>
    <t>https://t.me/motk_notification_bot?start=LTS-027-006</t>
  </si>
  <si>
    <t>🏛️ Ville de Saint-Denis
Service Habitat – Projet MOTK
Bonjour Vanessa GRONDIN
Activez vos notifications logement :
Lien : https://t.me/motk_notification_bot?start=LTS-027-006
Code secret : 1430
Étapes : 1) Cliquez sur le lien 2) Appuyez sur Start 3) Envoyez votre numéro de téléphone 4) Envoyez votre code secret.</t>
  </si>
  <si>
    <t>1431</t>
  </si>
  <si>
    <t>https://t.me/motk_notification_bot?start=LTS-027-007</t>
  </si>
  <si>
    <t>🏛️ Ville de Saint-Denis
Service Habitat – Projet MOTK
Bonjour Jérome Jean Christophe LAMOLY
Activez vos notifications logement :
Lien : https://t.me/motk_notification_bot?start=LTS-027-007
Code secret : 1431
Étapes : 1) Cliquez sur le lien 2) Appuyez sur Start 3) Envoyez votre numéro de téléphone 4) Envoyez votre code secret.</t>
  </si>
  <si>
    <t>1432</t>
  </si>
  <si>
    <t>https://t.me/motk_notification_bot?start=LTS-027-008</t>
  </si>
  <si>
    <t>🏛️ Ville de Saint-Denis
Service Habitat – Projet MOTK
Bonjour Sabine Marie Thérèse LECLAIR
Activez vos notifications logement :
Lien : https://t.me/motk_notification_bot?start=LTS-027-008
Code secret : 1432
Étapes : 1) Cliquez sur le lien 2) Appuyez sur Start 3) Envoyez votre numéro de téléphone 4) Envoyez votre code secret.</t>
  </si>
  <si>
    <t>1433</t>
  </si>
  <si>
    <t>https://t.me/motk_notification_bot?start=LTS-027-009</t>
  </si>
  <si>
    <t>🏛️ Ville de Saint-Denis
Service Habitat – Projet MOTK
Bonjour Marie Jacqueline MAXVEL
Activez vos notifications logement :
Lien : https://t.me/motk_notification_bot?start=LTS-027-009
Code secret : 1433
Étapes : 1) Cliquez sur le lien 2) Appuyez sur Start 3) Envoyez votre numéro de téléphone 4) Envoyez votre code secret.</t>
  </si>
  <si>
    <t>1434</t>
  </si>
  <si>
    <t>https://t.me/motk_notification_bot?start=LTS-027-010</t>
  </si>
  <si>
    <t>🏛️ Ville de Saint-Denis
Service Habitat – Projet MOTK
Bonjour France Arlette MOIDAMA
Activez vos notifications logement :
Lien : https://t.me/motk_notification_bot?start=LTS-027-010
Code secret : 1434
Étapes : 1) Cliquez sur le lien 2) Appuyez sur Start 3) Envoyez votre numéro de téléphone 4) Envoyez votre code secret.</t>
  </si>
  <si>
    <t>1435</t>
  </si>
  <si>
    <t>https://t.me/motk_notification_bot?start=LTS-027-011</t>
  </si>
  <si>
    <t>🏛️ Ville de Saint-Denis
Service Habitat – Projet MOTK
Bonjour Jean Dany MOREL
Activez vos notifications logement :
Lien : https://t.me/motk_notification_bot?start=LTS-027-011
Code secret : 1435
Étapes : 1) Cliquez sur le lien 2) Appuyez sur Start 3) Envoyez votre numéro de téléphone 4) Envoyez votre code secret.</t>
  </si>
  <si>
    <t>1436</t>
  </si>
  <si>
    <t>https://t.me/motk_notification_bot?start=LTS-027-012</t>
  </si>
  <si>
    <t>🏛️ Ville de Saint-Denis
Service Habitat – Projet MOTK
Bonjour David Jean Christian MOUNOUSSAMY
Activez vos notifications logement :
Lien : https://t.me/motk_notification_bot?start=LTS-027-012
Code secret : 1436
Étapes : 1) Cliquez sur le lien 2) Appuyez sur Start 3) Envoyez votre numéro de téléphone 4) Envoyez votre code secret.</t>
  </si>
  <si>
    <t>1437</t>
  </si>
  <si>
    <t>https://t.me/motk_notification_bot?start=LTS-027-013</t>
  </si>
  <si>
    <t>🏛️ Ville de Saint-Denis
Service Habitat – Projet MOTK
Bonjour Elois MUSSARD
Activez vos notifications logement :
Lien : https://t.me/motk_notification_bot?start=LTS-027-013
Code secret : 1437
Étapes : 1) Cliquez sur le lien 2) Appuyez sur Start 3) Envoyez votre numéro de téléphone 4) Envoyez votre code secret.</t>
  </si>
  <si>
    <t>1438</t>
  </si>
  <si>
    <t>https://t.me/motk_notification_bot?start=LTS-027-014</t>
  </si>
  <si>
    <t>🏛️ Ville de Saint-Denis
Service Habitat – Projet MOTK
Bonjour Sergine NIFLORE
Activez vos notifications logement :
Lien : https://t.me/motk_notification_bot?start=LTS-027-014
Code secret : 1438
Étapes : 1) Cliquez sur le lien 2) Appuyez sur Start 3) Envoyez votre numéro de téléphone 4) Envoyez votre code secret.</t>
  </si>
  <si>
    <t>1439</t>
  </si>
  <si>
    <t>https://t.me/motk_notification_bot?start=LTS-027-015</t>
  </si>
  <si>
    <t>🏛️ Ville de Saint-Denis
Service Habitat – Projet MOTK
Bonjour Marie Raymonde PAYET
Activez vos notifications logement :
Lien : https://t.me/motk_notification_bot?start=LTS-027-015
Code secret : 1439
Étapes : 1) Cliquez sur le lien 2) Appuyez sur Start 3) Envoyez votre numéro de téléphone 4) Envoyez votre code secret.</t>
  </si>
  <si>
    <t>1440</t>
  </si>
  <si>
    <t>https://t.me/motk_notification_bot?start=LTS-027-016</t>
  </si>
  <si>
    <t>🏛️ Ville de Saint-Denis
Service Habitat – Projet MOTK
Bonjour Fabrice POTA
Activez vos notifications logement :
Lien : https://t.me/motk_notification_bot?start=LTS-027-016
Code secret : 1440
Étapes : 1) Cliquez sur le lien 2) Appuyez sur Start 3) Envoyez votre numéro de téléphone 4) Envoyez votre code secret.</t>
  </si>
  <si>
    <t>1441</t>
  </si>
  <si>
    <t>https://t.me/motk_notification_bot?start=LTS-027-017</t>
  </si>
  <si>
    <t>🏛️ Ville de Saint-Denis
Service Habitat – Projet MOTK
Bonjour Jean POTHIN
Activez vos notifications logement :
Lien : https://t.me/motk_notification_bot?start=LTS-027-017
Code secret : 1441
Étapes : 1) Cliquez sur le lien 2) Appuyez sur Start 3) Envoyez votre numéro de téléphone 4) Envoyez votre code secret.</t>
  </si>
  <si>
    <t>1442</t>
  </si>
  <si>
    <t>https://t.me/motk_notification_bot?start=LTS-027-018</t>
  </si>
  <si>
    <t>🏛️ Ville de Saint-Denis
Service Habitat – Projet MOTK
Bonjour Georges RAMSAMY MOUTI
Activez vos notifications logement :
Lien : https://t.me/motk_notification_bot?start=LTS-027-018
Code secret : 1442
Étapes : 1) Cliquez sur le lien 2) Appuyez sur Start 3) Envoyez votre numéro de téléphone 4) Envoyez votre code secret.</t>
  </si>
  <si>
    <t>1443</t>
  </si>
  <si>
    <t>https://t.me/motk_notification_bot?start=LTS-027-019</t>
  </si>
  <si>
    <t>🏛️ Ville de Saint-Denis
Service Habitat – Projet MOTK
Bonjour Marie Alice SAUTRON
Activez vos notifications logement :
Lien : https://t.me/motk_notification_bot?start=LTS-027-019
Code secret : 1443
Étapes : 1) Cliquez sur le lien 2) Appuyez sur Start 3) Envoyez votre numéro de téléphone 4) Envoyez votre code secret.</t>
  </si>
  <si>
    <t>1444</t>
  </si>
  <si>
    <t>https://t.me/motk_notification_bot?start=LTS-027-020</t>
  </si>
  <si>
    <t>🏛️ Ville de Saint-Denis
Service Habitat – Projet MOTK
Bonjour Jean Pascal SAVRIMOUTOU
Activez vos notifications logement :
Lien : https://t.me/motk_notification_bot?start=LTS-027-020
Code secret : 1444
Étapes : 1) Cliquez sur le lien 2) Appuyez sur Start 3) Envoyez votre numéro de téléphone 4) Envoyez votre code secret.</t>
  </si>
  <si>
    <t>1445</t>
  </si>
  <si>
    <t>https://t.me/motk_notification_bot?start=LTS-027-021</t>
  </si>
  <si>
    <t>🏛️ Ville de Saint-Denis
Service Habitat – Projet MOTK
Bonjour José Michel TREPORT
Activez vos notifications logement :
Lien : https://t.me/motk_notification_bot?start=LTS-027-021
Code secret : 1445
Étapes : 1) Cliquez sur le lien 2) Appuyez sur Start 3) Envoyez votre numéro de téléphone 4) Envoyez votre code secret.</t>
  </si>
  <si>
    <t>1446</t>
  </si>
  <si>
    <t>https://t.me/motk_notification_bot?start=LTS-027-022</t>
  </si>
  <si>
    <t>🏛️ Ville de Saint-Denis
Service Habitat – Projet MOTK
Bonjour Blanche VEFOUR
Activez vos notifications logement :
Lien : https://t.me/motk_notification_bot?start=LTS-027-022
Code secret : 1446
Étapes : 1) Cliquez sur le lien 2) Appuyez sur Start 3) Envoyez votre numéro de téléphone 4) Envoyez votre code secret.</t>
  </si>
  <si>
    <t>1447</t>
  </si>
  <si>
    <t>https://t.me/motk_notification_bot?start=LTS-027-023</t>
  </si>
  <si>
    <t>🏛️ Ville de Saint-Denis
Service Habitat – Projet MOTK
Bonjour Armand ZILMIA
Activez vos notifications logement :
Lien : https://t.me/motk_notification_bot?start=LTS-027-023
Code secret : 1447
Étapes : 1) Cliquez sur le lien 2) Appuyez sur Start 3) Envoyez votre numéro de téléphone 4) Envoyez votre code secret.</t>
  </si>
  <si>
    <t>1448</t>
  </si>
  <si>
    <t>https://t.me/motk_notification_bot?start=LTS-028-001</t>
  </si>
  <si>
    <t>🏛️ Ville de Saint-Denis
Service Habitat – Projet MOTK
Bonjour Georgette ALI
Activez vos notifications logement :
Lien : https://t.me/motk_notification_bot?start=LTS-028-001
Code secret : 1448
Étapes : 1) Cliquez sur le lien 2) Appuyez sur Start 3) Envoyez votre numéro de téléphone 4) Envoyez votre code secret.</t>
  </si>
  <si>
    <t>1449</t>
  </si>
  <si>
    <t>https://t.me/motk_notification_bot?start=LTS-028-002</t>
  </si>
  <si>
    <t>🏛️ Ville de Saint-Denis
Service Habitat – Projet MOTK
Bonjour Marie Lorraine LEOCADIE
Activez vos notifications logement :
Lien : https://t.me/motk_notification_bot?start=LTS-028-002
Code secret : 1449
Étapes : 1) Cliquez sur le lien 2) Appuyez sur Start 3) Envoyez votre numéro de téléphone 4) Envoyez votre code secret.</t>
  </si>
  <si>
    <t>1450</t>
  </si>
  <si>
    <t>https://t.me/motk_notification_bot?start=LTS-028-003</t>
  </si>
  <si>
    <t>🏛️ Ville de Saint-Denis
Service Habitat – Projet MOTK
Bonjour Patrick CELESTIN
Activez vos notifications logement :
Lien : https://t.me/motk_notification_bot?start=LTS-028-003
Code secret : 1450
Étapes : 1) Cliquez sur le lien 2) Appuyez sur Start 3) Envoyez votre numéro de téléphone 4) Envoyez votre code secret.</t>
  </si>
  <si>
    <t>1451</t>
  </si>
  <si>
    <t>https://t.me/motk_notification_bot?start=LTS-028-004</t>
  </si>
  <si>
    <t>🏛️ Ville de Saint-Denis
Service Habitat – Projet MOTK
Bonjour Marie Claire COPEAU
Activez vos notifications logement :
Lien : https://t.me/motk_notification_bot?start=LTS-028-004
Code secret : 1451
Étapes : 1) Cliquez sur le lien 2) Appuyez sur Start 3) Envoyez votre numéro de téléphone 4) Envoyez votre code secret.</t>
  </si>
  <si>
    <t>1452</t>
  </si>
  <si>
    <t>https://t.me/motk_notification_bot?start=LTS-028-005</t>
  </si>
  <si>
    <t>🏛️ Ville de Saint-Denis
Service Habitat – Projet MOTK
Bonjour Margareth FONTAINE
Activez vos notifications logement :
Lien : https://t.me/motk_notification_bot?start=LTS-028-005
Code secret : 1452
Étapes : 1) Cliquez sur le lien 2) Appuyez sur Start 3) Envoyez votre numéro de téléphone 4) Envoyez votre code secret.</t>
  </si>
  <si>
    <t>1453</t>
  </si>
  <si>
    <t>https://t.me/motk_notification_bot?start=LTS-028-006</t>
  </si>
  <si>
    <t>🏛️ Ville de Saint-Denis
Service Habitat – Projet MOTK
Bonjour Jean Maurice ELEONORE
Activez vos notifications logement :
Lien : https://t.me/motk_notification_bot?start=LTS-028-006
Code secret : 1453
Étapes : 1) Cliquez sur le lien 2) Appuyez sur Start 3) Envoyez votre numéro de téléphone 4) Envoyez votre code secret.</t>
  </si>
  <si>
    <t>1454</t>
  </si>
  <si>
    <t>https://t.me/motk_notification_bot?start=LTS-028-007</t>
  </si>
  <si>
    <t>🏛️ Ville de Saint-Denis
Service Habitat – Projet MOTK
Bonjour Claudine FRANCOIS
Activez vos notifications logement :
Lien : https://t.me/motk_notification_bot?start=LTS-028-007
Code secret : 1454
Étapes : 1) Cliquez sur le lien 2) Appuyez sur Start 3) Envoyez votre numéro de téléphone 4) Envoyez votre code secret.</t>
  </si>
  <si>
    <t>1455</t>
  </si>
  <si>
    <t>https://t.me/motk_notification_bot?start=LTS-028-008</t>
  </si>
  <si>
    <t>🏛️ Ville de Saint-Denis
Service Habitat – Projet MOTK
Bonjour Rosemay LEBRETON
Activez vos notifications logement :
Lien : https://t.me/motk_notification_bot?start=LTS-028-008
Code secret : 1455
Étapes : 1) Cliquez sur le lien 2) Appuyez sur Start 3) Envoyez votre numéro de téléphone 4) Envoyez votre code secret.</t>
  </si>
  <si>
    <t>1456</t>
  </si>
  <si>
    <t>https://t.me/motk_notification_bot?start=LTS-028-009</t>
  </si>
  <si>
    <t>🏛️ Ville de Saint-Denis
Service Habitat – Projet MOTK
Bonjour Jean François LEPINAY
Activez vos notifications logement :
Lien : https://t.me/motk_notification_bot?start=LTS-028-009
Code secret : 1456
Étapes : 1) Cliquez sur le lien 2) Appuyez sur Start 3) Envoyez votre numéro de téléphone 4) Envoyez votre code secret.</t>
  </si>
  <si>
    <t>1457</t>
  </si>
  <si>
    <t>https://t.me/motk_notification_bot?start=LTS-028-010</t>
  </si>
  <si>
    <t>🏛️ Ville de Saint-Denis
Service Habitat – Projet MOTK
Bonjour Sabine MARCELY
Activez vos notifications logement :
Lien : https://t.me/motk_notification_bot?start=LTS-028-010
Code secret : 1457
Étapes : 1) Cliquez sur le lien 2) Appuyez sur Start 3) Envoyez votre numéro de téléphone 4) Envoyez votre code secret.</t>
  </si>
  <si>
    <t>1458</t>
  </si>
  <si>
    <t>https://t.me/motk_notification_bot?start=LTS-028-011</t>
  </si>
  <si>
    <t>🏛️ Ville de Saint-Denis
Service Habitat – Projet MOTK
Bonjour Sara MARCELY
Activez vos notifications logement :
Lien : https://t.me/motk_notification_bot?start=LTS-028-011
Code secret : 1458
Étapes : 1) Cliquez sur le lien 2) Appuyez sur Start 3) Envoyez votre numéro de téléphone 4) Envoyez votre code secret.</t>
  </si>
  <si>
    <t>1459</t>
  </si>
  <si>
    <t>https://t.me/motk_notification_bot?start=LTS-028-012</t>
  </si>
  <si>
    <t>🏛️ Ville de Saint-Denis
Service Habitat – Projet MOTK
Bonjour Jean Reynald NAZE
Activez vos notifications logement :
Lien : https://t.me/motk_notification_bot?start=LTS-028-012
Code secret : 1459
Étapes : 1) Cliquez sur le lien 2) Appuyez sur Start 3) Envoyez votre numéro de téléphone 4) Envoyez votre code secret.</t>
  </si>
  <si>
    <t>1460</t>
  </si>
  <si>
    <t>https://t.me/motk_notification_bot?start=LTS-028-013</t>
  </si>
  <si>
    <t>🏛️ Ville de Saint-Denis
Service Habitat – Projet MOTK
Bonjour Rose May NOEL
Activez vos notifications logement :
Lien : https://t.me/motk_notification_bot?start=LTS-028-013
Code secret : 1460
Étapes : 1) Cliquez sur le lien 2) Appuyez sur Start 3) Envoyez votre numéro de téléphone 4) Envoyez votre code secret.</t>
  </si>
  <si>
    <t>1461</t>
  </si>
  <si>
    <t>https://t.me/motk_notification_bot?start=LTS-028-014</t>
  </si>
  <si>
    <t>🏛️ Ville de Saint-Denis
Service Habitat – Projet MOTK
Bonjour Marie Monique DRULA
Activez vos notifications logement :
Lien : https://t.me/motk_notification_bot?start=LTS-028-014
Code secret : 1461
Étapes : 1) Cliquez sur le lien 2) Appuyez sur Start 3) Envoyez votre numéro de téléphone 4) Envoyez votre code secret.</t>
  </si>
  <si>
    <t>1462</t>
  </si>
  <si>
    <t>https://t.me/motk_notification_bot?start=LTS-028-015</t>
  </si>
  <si>
    <t>🏛️ Ville de Saint-Denis
Service Habitat – Projet MOTK
Bonjour Chantal SIRET
Activez vos notifications logement :
Lien : https://t.me/motk_notification_bot?start=LTS-028-015
Code secret : 1462
Étapes : 1) Cliquez sur le lien 2) Appuyez sur Start 3) Envoyez votre numéro de téléphone 4) Envoyez votre code secret.</t>
  </si>
  <si>
    <t>1463</t>
  </si>
  <si>
    <t>https://t.me/motk_notification_bot?start=LTS-029-001</t>
  </si>
  <si>
    <t>🏛️ Ville de Saint-Denis
Service Habitat – Projet MOTK
Bonjour Stéphanie Marie Jessica HOARAU
Activez vos notifications logement :
Lien : https://t.me/motk_notification_bot?start=LTS-029-001
Code secret : 1463
Étapes : 1) Cliquez sur le lien 2) Appuyez sur Start 3) Envoyez votre numéro de téléphone 4) Envoyez votre code secret.</t>
  </si>
  <si>
    <t>1464</t>
  </si>
  <si>
    <t>https://t.me/motk_notification_bot?start=LTS-029-002</t>
  </si>
  <si>
    <t>🏛️ Ville de Saint-Denis
Service Habitat – Projet MOTK
Bonjour Marie Guylène HOARAU
Activez vos notifications logement :
Lien : https://t.me/motk_notification_bot?start=LTS-029-002
Code secret : 1464
Étapes : 1) Cliquez sur le lien 2) Appuyez sur Start 3) Envoyez votre numéro de téléphone 4) Envoyez votre code secret.</t>
  </si>
  <si>
    <t>1465</t>
  </si>
  <si>
    <t>https://t.me/motk_notification_bot?start=LTS-029-003</t>
  </si>
  <si>
    <t>🏛️ Ville de Saint-Denis
Service Habitat – Projet MOTK
Bonjour Médéric POLEYA
Activez vos notifications logement :
Lien : https://t.me/motk_notification_bot?start=LTS-029-003
Code secret : 1465
Étapes : 1) Cliquez sur le lien 2) Appuyez sur Start 3) Envoyez votre numéro de téléphone 4) Envoyez votre code secret.</t>
  </si>
  <si>
    <t>1466</t>
  </si>
  <si>
    <t>https://t.me/motk_notification_bot?start=LTS-029-004</t>
  </si>
  <si>
    <t>🏛️ Ville de Saint-Denis
Service Habitat – Projet MOTK
Bonjour René Paul TURPIN
Activez vos notifications logement :
Lien : https://t.me/motk_notification_bot?start=LTS-029-004
Code secret : 1466
Étapes : 1) Cliquez sur le lien 2) Appuyez sur Start 3) Envoyez votre numéro de téléphone 4) Envoyez votre code secret.</t>
  </si>
  <si>
    <t>1467</t>
  </si>
  <si>
    <t>https://t.me/motk_notification_bot?start=LTS-030-001</t>
  </si>
  <si>
    <t>🏛️ Ville de Saint-Denis
Service Habitat – Projet MOTK
Bonjour Daniel Virgile ALEXIS
Activez vos notifications logement :
Lien : https://t.me/motk_notification_bot?start=LTS-030-001
Code secret : 1467
Étapes : 1) Cliquez sur le lien 2) Appuyez sur Start 3) Envoyez votre numéro de téléphone 4) Envoyez votre code secret.</t>
  </si>
  <si>
    <t>1468</t>
  </si>
  <si>
    <t>https://t.me/motk_notification_bot?start=LTS-030-002</t>
  </si>
  <si>
    <t>🏛️ Ville de Saint-Denis
Service Habitat – Projet MOTK
Bonjour Guy Paul DUCHEMANN
Activez vos notifications logement :
Lien : https://t.me/motk_notification_bot?start=LTS-030-002
Code secret : 1468
Étapes : 1) Cliquez sur le lien 2) Appuyez sur Start 3) Envoyez votre numéro de téléphone 4) Envoyez votre code secret.</t>
  </si>
  <si>
    <t>1469</t>
  </si>
  <si>
    <t>https://t.me/motk_notification_bot?start=LTS-030-003</t>
  </si>
  <si>
    <t>🏛️ Ville de Saint-Denis
Service Habitat – Projet MOTK
Bonjour Jean Michel MOUTOUSSAMY
Activez vos notifications logement :
Lien : https://t.me/motk_notification_bot?start=LTS-030-003
Code secret : 1469
Étapes : 1) Cliquez sur le lien 2) Appuyez sur Start 3) Envoyez votre numéro de téléphone 4) Envoyez votre code secret.</t>
  </si>
  <si>
    <t>1470</t>
  </si>
  <si>
    <t>https://t.me/motk_notification_bot?start=LTS-030-004</t>
  </si>
  <si>
    <t>🏛️ Ville de Saint-Denis
Service Habitat – Projet MOTK
Bonjour Jean Fréderic TECHER
Activez vos notifications logement :
Lien : https://t.me/motk_notification_bot?start=LTS-030-004
Code secret : 1470
Étapes : 1) Cliquez sur le lien 2) Appuyez sur Start 3) Envoyez votre numéro de téléphone 4) Envoyez votre code secret.</t>
  </si>
  <si>
    <t>1471</t>
  </si>
  <si>
    <t>https://t.me/motk_notification_bot?start=LTS-031-001</t>
  </si>
  <si>
    <t>🏛️ Ville de Saint-Denis
Service Habitat – Projet MOTK
Bonjour Jean Sylvestre ALBARET
Activez vos notifications logement :
Lien : https://t.me/motk_notification_bot?start=LTS-031-001
Code secret : 1471
Étapes : 1) Cliquez sur le lien 2) Appuyez sur Start 3) Envoyez votre numéro de téléphone 4) Envoyez votre code secret.</t>
  </si>
  <si>
    <t>1472</t>
  </si>
  <si>
    <t>https://t.me/motk_notification_bot?start=LTS-031-002</t>
  </si>
  <si>
    <t>🏛️ Ville de Saint-Denis
Service Habitat – Projet MOTK
Bonjour
Activez vos notifications logement :
Lien : https://t.me/motk_notification_bot?start=LTS-031-002
Code secret : 1472
Étapes : 1) Cliquez sur le lien 2) Appuyez sur Start 3) Envoyez votre numéro de téléphone 4) Envoyez votre code secret.</t>
  </si>
  <si>
    <t>1473</t>
  </si>
  <si>
    <t>https://t.me/motk_notification_bot?start=LTS-031-003</t>
  </si>
  <si>
    <t>🏛️ Ville de Saint-Denis
Service Habitat – Projet MOTK
Bonjour Ange Rolande CERNOT
Activez vos notifications logement :
Lien : https://t.me/motk_notification_bot?start=LTS-031-003
Code secret : 1473
Étapes : 1) Cliquez sur le lien 2) Appuyez sur Start 3) Envoyez votre numéro de téléphone 4) Envoyez votre code secret.</t>
  </si>
  <si>
    <t>1474</t>
  </si>
  <si>
    <t>https://t.me/motk_notification_bot?start=LTS-031-004</t>
  </si>
  <si>
    <t>🏛️ Ville de Saint-Denis
Service Habitat – Projet MOTK
Bonjour Arlette CLAIN
Activez vos notifications logement :
Lien : https://t.me/motk_notification_bot?start=LTS-031-004
Code secret : 1474
Étapes : 1) Cliquez sur le lien 2) Appuyez sur Start 3) Envoyez votre numéro de téléphone 4) Envoyez votre code secret.</t>
  </si>
  <si>
    <t>1475</t>
  </si>
  <si>
    <t>https://t.me/motk_notification_bot?start=LTS-031-005</t>
  </si>
  <si>
    <t>🏛️ Ville de Saint-Denis
Service Habitat – Projet MOTK
Bonjour Jean Bernard GOURREAU
Activez vos notifications logement :
Lien : https://t.me/motk_notification_bot?start=LTS-031-005
Code secret : 1475
Étapes : 1) Cliquez sur le lien 2) Appuyez sur Start 3) Envoyez votre numéro de téléphone 4) Envoyez votre code secret.</t>
  </si>
  <si>
    <t>1476</t>
  </si>
  <si>
    <t>https://t.me/motk_notification_bot?start=LTS-031-006</t>
  </si>
  <si>
    <t>🏛️ Ville de Saint-Denis
Service Habitat – Projet MOTK
Bonjour Marie Samantha IFIANTEPIA
Activez vos notifications logement :
Lien : https://t.me/motk_notification_bot?start=LTS-031-006
Code secret : 1476
Étapes : 1) Cliquez sur le lien 2) Appuyez sur Start 3) Envoyez votre numéro de téléphone 4) Envoyez votre code secret.</t>
  </si>
  <si>
    <t>1477</t>
  </si>
  <si>
    <t>https://t.me/motk_notification_bot?start=LTS-031-007</t>
  </si>
  <si>
    <t>🏛️ Ville de Saint-Denis
Service Habitat – Projet MOTK
Bonjour Gilberte JANOLAT
Activez vos notifications logement :
Lien : https://t.me/motk_notification_bot?start=LTS-031-007
Code secret : 1477
Étapes : 1) Cliquez sur le lien 2) Appuyez sur Start 3) Envoyez votre numéro de téléphone 4) Envoyez votre code secret.</t>
  </si>
  <si>
    <t>1478</t>
  </si>
  <si>
    <t>https://t.me/motk_notification_bot?start=LTS-031-008</t>
  </si>
  <si>
    <t>🏛️ Ville de Saint-Denis
Service Habitat – Projet MOTK
Bonjour Antoine JEAN BAPTISTE
Activez vos notifications logement :
Lien : https://t.me/motk_notification_bot?start=LTS-031-008
Code secret : 1478
Étapes : 1) Cliquez sur le lien 2) Appuyez sur Start 3) Envoyez votre numéro de téléphone 4) Envoyez votre code secret.</t>
  </si>
  <si>
    <t>1479</t>
  </si>
  <si>
    <t>https://t.me/motk_notification_bot?start=LTS-031-009</t>
  </si>
  <si>
    <t>🏛️ Ville de Saint-Denis
Service Habitat – Projet MOTK
Bonjour Jean Pierre LACAILLE
Activez vos notifications logement :
Lien : https://t.me/motk_notification_bot?start=LTS-031-009
Code secret : 1479
Étapes : 1) Cliquez sur le lien 2) Appuyez sur Start 3) Envoyez votre numéro de téléphone 4) Envoyez votre code secret.</t>
  </si>
  <si>
    <t>1480</t>
  </si>
  <si>
    <t>https://t.me/motk_notification_bot?start=LTS-031-010</t>
  </si>
  <si>
    <t>🏛️ Ville de Saint-Denis
Service Habitat – Projet MOTK
Bonjour Chloé Gertrude MACORAL
Activez vos notifications logement :
Lien : https://t.me/motk_notification_bot?start=LTS-031-010
Code secret : 1480
Étapes : 1) Cliquez sur le lien 2) Appuyez sur Start 3) Envoyez votre numéro de téléphone 4) Envoyez votre code secret.</t>
  </si>
  <si>
    <t>1481</t>
  </si>
  <si>
    <t>https://t.me/motk_notification_bot?start=LTS-031-011</t>
  </si>
  <si>
    <t>🏛️ Ville de Saint-Denis
Service Habitat – Projet MOTK
Bonjour Jeanne Marie Guylène MULOT
Activez vos notifications logement :
Lien : https://t.me/motk_notification_bot?start=LTS-031-011
Code secret : 1481
Étapes : 1) Cliquez sur le lien 2) Appuyez sur Start 3) Envoyez votre numéro de téléphone 4) Envoyez votre code secret.</t>
  </si>
  <si>
    <t>1482</t>
  </si>
  <si>
    <t>https://t.me/motk_notification_bot?start=LTS-031-012</t>
  </si>
  <si>
    <t>🏛️ Ville de Saint-Denis
Service Habitat – Projet MOTK
Bonjour Johan VIDOT
Activez vos notifications logement :
Lien : https://t.me/motk_notification_bot?start=LTS-031-012
Code secret : 1482
Étapes : 1) Cliquez sur le lien 2) Appuyez sur Start 3) Envoyez votre numéro de téléphone 4) Envoyez votre code secret.</t>
  </si>
  <si>
    <t>1483</t>
  </si>
  <si>
    <t>https://t.me/motk_notification_bot?start=LTS-032-001</t>
  </si>
  <si>
    <t>🏛️ Ville de Saint-Denis
Service Habitat – Projet MOTK
Bonjour Marie Angéline BOURGOGNE
Activez vos notifications logement :
Lien : https://t.me/motk_notification_bot?start=LTS-032-001
Code secret : 1483
Étapes : 1) Cliquez sur le lien 2) Appuyez sur Start 3) Envoyez votre numéro de téléphone 4) Envoyez votre code secret.</t>
  </si>
  <si>
    <t>1484</t>
  </si>
  <si>
    <t>https://t.me/motk_notification_bot?start=LTS-032-002</t>
  </si>
  <si>
    <t>🏛️ Ville de Saint-Denis
Service Habitat – Projet MOTK
Bonjour Marie Josie CHOPINET
Activez vos notifications logement :
Lien : https://t.me/motk_notification_bot?start=LTS-032-002
Code secret : 1484
Étapes : 1) Cliquez sur le lien 2) Appuyez sur Start 3) Envoyez votre numéro de téléphone 4) Envoyez votre code secret.</t>
  </si>
  <si>
    <t>1485</t>
  </si>
  <si>
    <t>https://t.me/motk_notification_bot?start=LTS-032-003</t>
  </si>
  <si>
    <t>🏛️ Ville de Saint-Denis
Service Habitat – Projet MOTK
Bonjour Marie Noëline ELISABETH
Activez vos notifications logement :
Lien : https://t.me/motk_notification_bot?start=LTS-032-003
Code secret : 1485
Étapes : 1) Cliquez sur le lien 2) Appuyez sur Start 3) Envoyez votre numéro de téléphone 4) Envoyez votre code secret.</t>
  </si>
  <si>
    <t>1486</t>
  </si>
  <si>
    <t>https://t.me/motk_notification_bot?start=LTS-032-004</t>
  </si>
  <si>
    <t>🏛️ Ville de Saint-Denis
Service Habitat – Projet MOTK
Bonjour Elodie Marie Antonia ETHEVE
Activez vos notifications logement :
Lien : https://t.me/motk_notification_bot?start=LTS-032-004
Code secret : 1486
Étapes : 1) Cliquez sur le lien 2) Appuyez sur Start 3) Envoyez votre numéro de téléphone 4) Envoyez votre code secret.</t>
  </si>
  <si>
    <t>1487</t>
  </si>
  <si>
    <t>https://t.me/motk_notification_bot?start=LTS-032-005</t>
  </si>
  <si>
    <t>🏛️ Ville de Saint-Denis
Service Habitat – Projet MOTK
Bonjour Marie Nadège GRONDIN
Activez vos notifications logement :
Lien : https://t.me/motk_notification_bot?start=LTS-032-005
Code secret : 1487
Étapes : 1) Cliquez sur le lien 2) Appuyez sur Start 3) Envoyez votre numéro de téléphone 4) Envoyez votre code secret.</t>
  </si>
  <si>
    <t>1488</t>
  </si>
  <si>
    <t>https://t.me/motk_notification_bot?start=LTS-032-006</t>
  </si>
  <si>
    <t>🏛️ Ville de Saint-Denis
Service Habitat – Projet MOTK
Bonjour Rolande Anne GRONDIN
Activez vos notifications logement :
Lien : https://t.me/motk_notification_bot?start=LTS-032-006
Code secret : 1488
Étapes : 1) Cliquez sur le lien 2) Appuyez sur Start 3) Envoyez votre numéro de téléphone 4) Envoyez votre code secret.</t>
  </si>
  <si>
    <t>1489</t>
  </si>
  <si>
    <t>https://t.me/motk_notification_bot?start=LTS-032-007</t>
  </si>
  <si>
    <t>🏛️ Ville de Saint-Denis
Service Habitat – Projet MOTK
Bonjour Corine Marie Maude IMIZE
Activez vos notifications logement :
Lien : https://t.me/motk_notification_bot?start=LTS-032-007
Code secret : 1489
Étapes : 1) Cliquez sur le lien 2) Appuyez sur Start 3) Envoyez votre numéro de téléphone 4) Envoyez votre code secret.</t>
  </si>
  <si>
    <t>1490</t>
  </si>
  <si>
    <t>https://t.me/motk_notification_bot?start=LTS-032-008</t>
  </si>
  <si>
    <t>🏛️ Ville de Saint-Denis
Service Habitat – Projet MOTK
Bonjour Marie Micheline RAVELET
Activez vos notifications logement :
Lien : https://t.me/motk_notification_bot?start=LTS-032-008
Code secret : 1490
Étapes : 1) Cliquez sur le lien 2) Appuyez sur Start 3) Envoyez votre numéro de téléphone 4) Envoyez votre code secret.</t>
  </si>
  <si>
    <t>1491</t>
  </si>
  <si>
    <t>https://t.me/motk_notification_bot?start=LTS-032-009</t>
  </si>
  <si>
    <t>🏛️ Ville de Saint-Denis
Service Habitat – Projet MOTK
Bonjour Valère René RIVIERE
Activez vos notifications logement :
Lien : https://t.me/motk_notification_bot?start=LTS-032-009
Code secret : 1491
Étapes : 1) Cliquez sur le lien 2) Appuyez sur Start 3) Envoyez votre numéro de téléphone 4) Envoyez votre code secret.</t>
  </si>
  <si>
    <t>1492</t>
  </si>
  <si>
    <t>https://t.me/motk_notification_bot?start=LTS-032-010</t>
  </si>
  <si>
    <t>🏛️ Ville de Saint-Denis
Service Habitat – Projet MOTK
Bonjour Jean Christophe THIBURCE
Activez vos notifications logement :
Lien : https://t.me/motk_notification_bot?start=LTS-032-010
Code secret : 1492
Étapes : 1) Cliquez sur le lien 2) Appuyez sur Start 3) Envoyez votre numéro de téléphone 4) Envoyez votre code secret.</t>
  </si>
  <si>
    <t>1493</t>
  </si>
  <si>
    <t>https://t.me/motk_notification_bot?start=LTS-032-011</t>
  </si>
  <si>
    <t>🏛️ Ville de Saint-Denis
Service Habitat – Projet MOTK
Bonjour Jean Philippe TURPIN
Activez vos notifications logement :
Lien : https://t.me/motk_notification_bot?start=LTS-032-011
Code secret : 1493
Étapes : 1) Cliquez sur le lien 2) Appuyez sur Start 3) Envoyez votre numéro de téléphone 4) Envoyez votre code secret.</t>
  </si>
  <si>
    <t>1494</t>
  </si>
  <si>
    <t>https://t.me/motk_notification_bot?start=LTS-033-001</t>
  </si>
  <si>
    <t>🏛️ Ville de Saint-Denis
Service Habitat – Projet MOTK
Bonjour Jean André NATAN
Activez vos notifications logement :
Lien : https://t.me/motk_notification_bot?start=LTS-033-001
Code secret : 1494
Étapes : 1) Cliquez sur le lien 2) Appuyez sur Start 3) Envoyez votre numéro de téléphone 4) Envoyez votre code secret.</t>
  </si>
  <si>
    <t>1495</t>
  </si>
  <si>
    <t>https://t.me/motk_notification_bot?start=LTS-033-002</t>
  </si>
  <si>
    <t>🏛️ Ville de Saint-Denis
Service Habitat – Projet MOTK
Bonjour Thérèse Gislaine COLLET
Activez vos notifications logement :
Lien : https://t.me/motk_notification_bot?start=LTS-033-002
Code secret : 1495
Étapes : 1) Cliquez sur le lien 2) Appuyez sur Start 3) Envoyez votre numéro de téléphone 4) Envoyez votre code secret.</t>
  </si>
  <si>
    <t>1496</t>
  </si>
  <si>
    <t>https://t.me/motk_notification_bot?start=LTS-033-003</t>
  </si>
  <si>
    <t>🏛️ Ville de Saint-Denis
Service Habitat – Projet MOTK
Bonjour Guy Maximin DALLEAU
Activez vos notifications logement :
Lien : https://t.me/motk_notification_bot?start=LTS-033-003
Code secret : 1496
Étapes : 1) Cliquez sur le lien 2) Appuyez sur Start 3) Envoyez votre numéro de téléphone 4) Envoyez votre code secret.</t>
  </si>
  <si>
    <t>1497</t>
  </si>
  <si>
    <t>https://t.me/motk_notification_bot?start=LTS-033-004</t>
  </si>
  <si>
    <t>🏛️ Ville de Saint-Denis
Service Habitat – Projet MOTK
Bonjour Céser FAUBOURG
Activez vos notifications logement :
Lien : https://t.me/motk_notification_bot?start=LTS-033-004
Code secret : 1497
Étapes : 1) Cliquez sur le lien 2) Appuyez sur Start 3) Envoyez votre numéro de téléphone 4) Envoyez votre code secret.</t>
  </si>
  <si>
    <t>1498</t>
  </si>
  <si>
    <t>https://t.me/motk_notification_bot?start=LTS-033-005</t>
  </si>
  <si>
    <t>🏛️ Ville de Saint-Denis
Service Habitat – Projet MOTK
Bonjour DOMINIQUE MAILLOT
Activez vos notifications logement :
Lien : https://t.me/motk_notification_bot?start=LTS-033-005
Code secret : 1498
Étapes : 1) Cliquez sur le lien 2) Appuyez sur Start 3) Envoyez votre numéro de téléphone 4) Envoyez votre code secret.</t>
  </si>
  <si>
    <t>1499</t>
  </si>
  <si>
    <t>https://t.me/motk_notification_bot?start=LTS-033-006</t>
  </si>
  <si>
    <t>🏛️ Ville de Saint-Denis
Service Habitat – Projet MOTK
Bonjour Marie Ghislaine LEBRETON
Activez vos notifications logement :
Lien : https://t.me/motk_notification_bot?start=LTS-033-006
Code secret : 1499
Étapes : 1) Cliquez sur le lien 2) Appuyez sur Start 3) Envoyez votre numéro de téléphone 4) Envoyez votre code secret.</t>
  </si>
  <si>
    <t>1500</t>
  </si>
  <si>
    <t>https://t.me/motk_notification_bot?start=LTS-033-007</t>
  </si>
  <si>
    <t>🏛️ Ville de Saint-Denis
Service Habitat – Projet MOTK
Bonjour Christiane Marie Cecile GRENIER
Activez vos notifications logement :
Lien : https://t.me/motk_notification_bot?start=LTS-033-007
Code secret : 1500
Étapes : 1) Cliquez sur le lien 2) Appuyez sur Start 3) Envoyez votre numéro de téléphone 4) Envoyez votre code secret.</t>
  </si>
  <si>
    <t>1501</t>
  </si>
  <si>
    <t>https://t.me/motk_notification_bot?start=LTS-033-008</t>
  </si>
  <si>
    <t>🏛️ Ville de Saint-Denis
Service Habitat – Projet MOTK
Bonjour Marie Héloïse GRENIER
Activez vos notifications logement :
Lien : https://t.me/motk_notification_bot?start=LTS-033-008
Code secret : 1501
Étapes : 1) Cliquez sur le lien 2) Appuyez sur Start 3) Envoyez votre numéro de téléphone 4) Envoyez votre code secret.</t>
  </si>
  <si>
    <t>1502</t>
  </si>
  <si>
    <t>https://t.me/motk_notification_bot?start=LTS-033-009</t>
  </si>
  <si>
    <t>🏛️ Ville de Saint-Denis
Service Habitat – Projet MOTK
Bonjour Jean Claude MERLO
Activez vos notifications logement :
Lien : https://t.me/motk_notification_bot?start=LTS-033-009
Code secret : 1502
Étapes : 1) Cliquez sur le lien 2) Appuyez sur Start 3) Envoyez votre numéro de téléphone 4) Envoyez votre code secret.</t>
  </si>
  <si>
    <t>1503</t>
  </si>
  <si>
    <t>https://t.me/motk_notification_bot?start=LTS-033-010</t>
  </si>
  <si>
    <t>🏛️ Ville de Saint-Denis
Service Habitat – Projet MOTK
Bonjour Philidor CONSTANTE
Activez vos notifications logement :
Lien : https://t.me/motk_notification_bot?start=LTS-033-010
Code secret : 1503
Étapes : 1) Cliquez sur le lien 2) Appuyez sur Start 3) Envoyez votre numéro de téléphone 4) Envoyez votre code secret.</t>
  </si>
  <si>
    <t>1504</t>
  </si>
  <si>
    <t>https://t.me/motk_notification_bot?start=LTS-033-011</t>
  </si>
  <si>
    <t>🏛️ Ville de Saint-Denis
Service Habitat – Projet MOTK
Bonjour Marcelle BARBE
Activez vos notifications logement :
Lien : https://t.me/motk_notification_bot?start=LTS-033-011
Code secret : 1504
Étapes : 1) Cliquez sur le lien 2) Appuyez sur Start 3) Envoyez votre numéro de téléphone 4) Envoyez votre code secret.</t>
  </si>
  <si>
    <t>1505</t>
  </si>
  <si>
    <t>https://t.me/motk_notification_bot?start=LTS-033-012</t>
  </si>
  <si>
    <t>🏛️ Ville de Saint-Denis
Service Habitat – Projet MOTK
Bonjour David Dominique SAUTRON
Activez vos notifications logement :
Lien : https://t.me/motk_notification_bot?start=LTS-033-012
Code secret : 1505
Étapes : 1) Cliquez sur le lien 2) Appuyez sur Start 3) Envoyez votre numéro de téléphone 4) Envoyez votre code secret.</t>
  </si>
  <si>
    <t>1506</t>
  </si>
  <si>
    <t>https://t.me/motk_notification_bot?start=LTS-033-013</t>
  </si>
  <si>
    <t>🏛️ Ville de Saint-Denis
Service Habitat – Projet MOTK
Bonjour MICHEL NAYAGOM
Activez vos notifications logement :
Lien : https://t.me/motk_notification_bot?start=LTS-033-013
Code secret : 1506
Étapes : 1) Cliquez sur le lien 2) Appuyez sur Start 3) Envoyez votre numéro de téléphone 4) Envoyez votre code secret.</t>
  </si>
  <si>
    <t>1507</t>
  </si>
  <si>
    <t>https://t.me/motk_notification_bot?start=LTS-033-014</t>
  </si>
  <si>
    <t>🏛️ Ville de Saint-Denis
Service Habitat – Projet MOTK
Bonjour PIERRE AUGUSTIN THOMAS
Activez vos notifications logement :
Lien : https://t.me/motk_notification_bot?start=LTS-033-014
Code secret : 1507
Étapes : 1) Cliquez sur le lien 2) Appuyez sur Start 3) Envoyez votre numéro de téléphone 4) Envoyez votre code secret.</t>
  </si>
  <si>
    <t>1508</t>
  </si>
  <si>
    <t>https://t.me/motk_notification_bot?start=LTS-033-015</t>
  </si>
  <si>
    <t>🏛️ Ville de Saint-Denis
Service Habitat – Projet MOTK
Bonjour Eugène OULOUMENI
Activez vos notifications logement :
Lien : https://t.me/motk_notification_bot?start=LTS-033-015
Code secret : 1508
Étapes : 1) Cliquez sur le lien 2) Appuyez sur Start 3) Envoyez votre numéro de téléphone 4) Envoyez votre code secret.</t>
  </si>
  <si>
    <t>1509</t>
  </si>
  <si>
    <t>https://t.me/motk_notification_bot?start=LTS-033-016</t>
  </si>
  <si>
    <t>🏛️ Ville de Saint-Denis
Service Habitat – Projet MOTK
Bonjour Antony REBECCA
Activez vos notifications logement :
Lien : https://t.me/motk_notification_bot?start=LTS-033-016
Code secret : 1509
Étapes : 1) Cliquez sur le lien 2) Appuyez sur Start 3) Envoyez votre numéro de téléphone 4) Envoyez votre code secret.</t>
  </si>
  <si>
    <t>1510</t>
  </si>
  <si>
    <t>https://t.me/motk_notification_bot?start=LTS-033-017</t>
  </si>
  <si>
    <t>🏛️ Ville de Saint-Denis
Service Habitat – Projet MOTK
Bonjour Antoine Jean Maxime SOUPRAYEN
Activez vos notifications logement :
Lien : https://t.me/motk_notification_bot?start=LTS-033-017
Code secret : 1510
Étapes : 1) Cliquez sur le lien 2) Appuyez sur Start 3) Envoyez votre numéro de téléphone 4) Envoyez votre code secret.</t>
  </si>
  <si>
    <t>1511</t>
  </si>
  <si>
    <t>https://t.me/motk_notification_bot?start=LTS-033-018</t>
  </si>
  <si>
    <t>🏛️ Ville de Saint-Denis
Service Habitat – Projet MOTK
Bonjour Marie Augustine TETTONI BEGUE
Activez vos notifications logement :
Lien : https://t.me/motk_notification_bot?start=LTS-033-018
Code secret : 1511
Étapes : 1) Cliquez sur le lien 2) Appuyez sur Start 3) Envoyez votre numéro de téléphone 4) Envoyez votre code secret.</t>
  </si>
  <si>
    <t>1512</t>
  </si>
  <si>
    <t>https://t.me/motk_notification_bot?start=LTS-033-019</t>
  </si>
  <si>
    <t>🏛️ Ville de Saint-Denis
Service Habitat – Projet MOTK
Bonjour GENEVIEVE CAMIAN
Activez vos notifications logement :
Lien : https://t.me/motk_notification_bot?start=LTS-033-019
Code secret : 1512
Étapes : 1) Cliquez sur le lien 2) Appuyez sur Start 3) Envoyez votre numéro de téléphone 4) Envoyez votre code secret.</t>
  </si>
  <si>
    <t>1513</t>
  </si>
  <si>
    <t>https://t.me/motk_notification_bot?start=LTS-033-020</t>
  </si>
  <si>
    <t>🏛️ Ville de Saint-Denis
Service Habitat – Projet MOTK
Bonjour George Emilien OLOT
Activez vos notifications logement :
Lien : https://t.me/motk_notification_bot?start=LTS-033-020
Code secret : 1513
Étapes : 1) Cliquez sur le lien 2) Appuyez sur Start 3) Envoyez votre numéro de téléphone 4) Envoyez votre code secret.</t>
  </si>
  <si>
    <t>1514</t>
  </si>
  <si>
    <t>https://t.me/motk_notification_bot?start=LTS-034-001</t>
  </si>
  <si>
    <t>🏛️ Ville de Saint-Denis
Service Habitat – Projet MOTK
Bonjour CHRISTELLE MARIE AUDREY ALMAR
Activez vos notifications logement :
Lien : https://t.me/motk_notification_bot?start=LTS-034-001
Code secret : 1514
Étapes : 1) Cliquez sur le lien 2) Appuyez sur Start 3) Envoyez votre numéro de téléphone 4) Envoyez votre code secret.</t>
  </si>
  <si>
    <t>1515</t>
  </si>
  <si>
    <t>https://t.me/motk_notification_bot?start=LTS-034-002</t>
  </si>
  <si>
    <t>🏛️ Ville de Saint-Denis
Service Habitat – Projet MOTK
Bonjour Jeanne Josephines BEGUE
Activez vos notifications logement :
Lien : https://t.me/motk_notification_bot?start=LTS-034-002
Code secret : 1515
Étapes : 1) Cliquez sur le lien 2) Appuyez sur Start 3) Envoyez votre numéro de téléphone 4) Envoyez votre code secret.</t>
  </si>
  <si>
    <t>1516</t>
  </si>
  <si>
    <t>https://t.me/motk_notification_bot?start=LTS-034-003</t>
  </si>
  <si>
    <t>🏛️ Ville de Saint-Denis
Service Habitat – Projet MOTK
Bonjour Joseph Iréné BENARD
Activez vos notifications logement :
Lien : https://t.me/motk_notification_bot?start=LTS-034-003
Code secret : 1516
Étapes : 1) Cliquez sur le lien 2) Appuyez sur Start 3) Envoyez votre numéro de téléphone 4) Envoyez votre code secret.</t>
  </si>
  <si>
    <t>1517</t>
  </si>
  <si>
    <t>https://t.me/motk_notification_bot?start=LTS-034-004</t>
  </si>
  <si>
    <t>🏛️ Ville de Saint-Denis
Service Habitat – Projet MOTK
Bonjour Jean Louis CLAIN
Activez vos notifications logement :
Lien : https://t.me/motk_notification_bot?start=LTS-034-004
Code secret : 1517
Étapes : 1) Cliquez sur le lien 2) Appuyez sur Start 3) Envoyez votre numéro de téléphone 4) Envoyez votre code secret.</t>
  </si>
  <si>
    <t>1518</t>
  </si>
  <si>
    <t>https://t.me/motk_notification_bot?start=LTS-034-005</t>
  </si>
  <si>
    <t>🏛️ Ville de Saint-Denis
Service Habitat – Projet MOTK
Bonjour Marie Paulette DALELE
Activez vos notifications logement :
Lien : https://t.me/motk_notification_bot?start=LTS-034-005
Code secret : 1518
Étapes : 1) Cliquez sur le lien 2) Appuyez sur Start 3) Envoyez votre numéro de téléphone 4) Envoyez votre code secret.</t>
  </si>
  <si>
    <t>1519</t>
  </si>
  <si>
    <t>https://t.me/motk_notification_bot?start=LTS-034-006</t>
  </si>
  <si>
    <t>🏛️ Ville de Saint-Denis
Service Habitat – Projet MOTK
Bonjour Paulette GISQUET
Activez vos notifications logement :
Lien : https://t.me/motk_notification_bot?start=LTS-034-006
Code secret : 1519
Étapes : 1) Cliquez sur le lien 2) Appuyez sur Start 3) Envoyez votre numéro de téléphone 4) Envoyez votre code secret.</t>
  </si>
  <si>
    <t>1520</t>
  </si>
  <si>
    <t>https://t.me/motk_notification_bot?start=LTS-034-007</t>
  </si>
  <si>
    <t>🏛️ Ville de Saint-Denis
Service Habitat – Projet MOTK
Bonjour Marie Lucina GUSTAVE
Activez vos notifications logement :
Lien : https://t.me/motk_notification_bot?start=LTS-034-007
Code secret : 1520
Étapes : 1) Cliquez sur le lien 2) Appuyez sur Start 3) Envoyez votre numéro de téléphone 4) Envoyez votre code secret.</t>
  </si>
  <si>
    <t>1521</t>
  </si>
  <si>
    <t>https://t.me/motk_notification_bot?start=LTS-034-008</t>
  </si>
  <si>
    <t>🏛️ Ville de Saint-Denis
Service Habitat – Projet MOTK
Bonjour Rose Marie HOAREAU
Activez vos notifications logement :
Lien : https://t.me/motk_notification_bot?start=LTS-034-008
Code secret : 1521
Étapes : 1) Cliquez sur le lien 2) Appuyez sur Start 3) Envoyez votre numéro de téléphone 4) Envoyez votre code secret.</t>
  </si>
  <si>
    <t>1522</t>
  </si>
  <si>
    <t>https://t.me/motk_notification_bot?start=LTS-034-009</t>
  </si>
  <si>
    <t>🏛️ Ville de Saint-Denis
Service Habitat – Projet MOTK
Bonjour Marie Alexandrine PONTIAC
Activez vos notifications logement :
Lien : https://t.me/motk_notification_bot?start=LTS-034-009
Code secret : 1522
Étapes : 1) Cliquez sur le lien 2) Appuyez sur Start 3) Envoyez votre numéro de téléphone 4) Envoyez votre code secret.</t>
  </si>
  <si>
    <t>1523</t>
  </si>
  <si>
    <t>https://t.me/motk_notification_bot?start=LTS-034-010</t>
  </si>
  <si>
    <t>🏛️ Ville de Saint-Denis
Service Habitat – Projet MOTK
Bonjour Josian PAUSE
Activez vos notifications logement :
Lien : https://t.me/motk_notification_bot?start=LTS-034-010
Code secret : 1523
Étapes : 1) Cliquez sur le lien 2) Appuyez sur Start 3) Envoyez votre numéro de téléphone 4) Envoyez votre code secret.</t>
  </si>
  <si>
    <t>1524</t>
  </si>
  <si>
    <t>https://t.me/motk_notification_bot?start=LTS-034-011</t>
  </si>
  <si>
    <t>🏛️ Ville de Saint-Denis
Service Habitat – Projet MOTK
Bonjour Josiane PAUSE
Activez vos notifications logement :
Lien : https://t.me/motk_notification_bot?start=LTS-034-011
Code secret : 1524
Étapes : 1) Cliquez sur le lien 2) Appuyez sur Start 3) Envoyez votre numéro de téléphone 4) Envoyez votre code secret.</t>
  </si>
  <si>
    <t>1525</t>
  </si>
  <si>
    <t>https://t.me/motk_notification_bot?start=LTS-034-012</t>
  </si>
  <si>
    <t>🏛️ Ville de Saint-Denis
Service Habitat – Projet MOTK
Bonjour Marie Paule PICARD
Activez vos notifications logement :
Lien : https://t.me/motk_notification_bot?start=LTS-034-012
Code secret : 1525
Étapes : 1) Cliquez sur le lien 2) Appuyez sur Start 3) Envoyez votre numéro de téléphone 4) Envoyez votre code secret.</t>
  </si>
  <si>
    <t>1526</t>
  </si>
  <si>
    <t>https://t.me/motk_notification_bot?start=LTS-034-013</t>
  </si>
  <si>
    <t>🏛️ Ville de Saint-Denis
Service Habitat – Projet MOTK
Bonjour Johanna Marie WONG HANG
Activez vos notifications logement :
Lien : https://t.me/motk_notification_bot?start=LTS-034-013
Code secret : 1526
Étapes : 1) Cliquez sur le lien 2) Appuyez sur Start 3) Envoyez votre numéro de téléphone 4) Envoyez votre code secret.</t>
  </si>
  <si>
    <t>1527</t>
  </si>
  <si>
    <t>https://t.me/motk_notification_bot?start=LTS-034-014</t>
  </si>
  <si>
    <t>🏛️ Ville de Saint-Denis
Service Habitat – Projet MOTK
Bonjour Patricia ROMILY
Activez vos notifications logement :
Lien : https://t.me/motk_notification_bot?start=LTS-034-014
Code secret : 1527
Étapes : 1) Cliquez sur le lien 2) Appuyez sur Start 3) Envoyez votre numéro de téléphone 4) Envoyez votre code secret.</t>
  </si>
  <si>
    <t>1528</t>
  </si>
  <si>
    <t>https://t.me/motk_notification_bot?start=LTS-034-015</t>
  </si>
  <si>
    <t>🏛️ Ville de Saint-Denis
Service Habitat – Projet MOTK
Bonjour Johny SAMELOR
Activez vos notifications logement :
Lien : https://t.me/motk_notification_bot?start=LTS-034-015
Code secret : 1528
Étapes : 1) Cliquez sur le lien 2) Appuyez sur Start 3) Envoyez votre numéro de téléphone 4) Envoyez votre code secret.</t>
  </si>
  <si>
    <t>assurance_ok</t>
  </si>
  <si>
    <t>avis_impot_ok</t>
  </si>
  <si>
    <t>piece_manquante</t>
  </si>
  <si>
    <t>renouvellement_bail</t>
  </si>
  <si>
    <t>date_echeance_bail</t>
  </si>
  <si>
    <t>derniere_signature_gestion</t>
  </si>
  <si>
    <t>date_derniere_notif</t>
  </si>
  <si>
    <t>alerte_bail</t>
  </si>
  <si>
    <t>commentaire</t>
  </si>
  <si>
    <t>origine_demande</t>
  </si>
  <si>
    <t>date_demande</t>
  </si>
  <si>
    <t>demande_achat</t>
  </si>
  <si>
    <t>validation_agent</t>
  </si>
  <si>
    <t>date_validation_agent</t>
  </si>
  <si>
    <t>statut_vente</t>
  </si>
  <si>
    <t>prix_confirme</t>
  </si>
  <si>
    <t>date_prix_confirme</t>
  </si>
  <si>
    <t>cheque_primo_eligible</t>
  </si>
  <si>
    <t>cheque_primo_montant</t>
  </si>
  <si>
    <t>cheque_cinor_eligible</t>
  </si>
  <si>
    <t>cheque_cinor_statut</t>
  </si>
  <si>
    <t>montant_total_aides</t>
  </si>
  <si>
    <t>diag_tae_statut</t>
  </si>
  <si>
    <t>diag_tae_date</t>
  </si>
  <si>
    <t>spanc_statut</t>
  </si>
  <si>
    <t>spanc_date</t>
  </si>
  <si>
    <t>notaire</t>
  </si>
  <si>
    <t>date_signature_prevue</t>
  </si>
  <si>
    <t>date_signature</t>
  </si>
  <si>
    <t>statut_paiement</t>
  </si>
  <si>
    <t>date_virement_notaire</t>
  </si>
  <si>
    <t>notification_demande</t>
  </si>
  <si>
    <t>notification_suivi</t>
  </si>
  <si>
    <t>notification_signature</t>
  </si>
  <si>
    <t>notification_realisation</t>
  </si>
  <si>
    <t>description_demande</t>
  </si>
  <si>
    <t>statut_demande</t>
  </si>
  <si>
    <t>visite_necessaire</t>
  </si>
  <si>
    <t>motif_refus</t>
  </si>
  <si>
    <t>type_travaux</t>
  </si>
  <si>
    <t>detail_travaux</t>
  </si>
  <si>
    <t>mode_attribution</t>
  </si>
  <si>
    <t>numero_marche</t>
  </si>
  <si>
    <t>lot_marche</t>
  </si>
  <si>
    <t>code_entreprise</t>
  </si>
  <si>
    <t>date_prevue</t>
  </si>
  <si>
    <t>date_debut</t>
  </si>
  <si>
    <t>date_realisation</t>
  </si>
  <si>
    <t>notification_debut</t>
  </si>
  <si>
    <t>notification_retard</t>
  </si>
  <si>
    <t>notification_fin</t>
  </si>
  <si>
    <t>notification_entreprise</t>
  </si>
  <si>
    <t>date_notif_entreprise</t>
  </si>
  <si>
    <t>delai_traitement_jours</t>
  </si>
  <si>
    <t>delai_intervention_jours</t>
  </si>
  <si>
    <t>intitule_marche</t>
  </si>
  <si>
    <t>type_marche</t>
  </si>
  <si>
    <t>montant_total_marche</t>
  </si>
  <si>
    <t>date_fin</t>
  </si>
  <si>
    <t>statut_marche</t>
  </si>
  <si>
    <t>hors_marche_autorise</t>
  </si>
  <si>
    <t>contact_referent</t>
  </si>
  <si>
    <t>telephone</t>
  </si>
  <si>
    <t>type_intervention</t>
  </si>
  <si>
    <t>mode_prestation</t>
  </si>
  <si>
    <t>secteur_couvert</t>
  </si>
  <si>
    <t>date</t>
  </si>
  <si>
    <t>canal</t>
  </si>
  <si>
    <t>adresse</t>
  </si>
  <si>
    <t>priorite</t>
  </si>
  <si>
    <t>niveau_sante</t>
  </si>
  <si>
    <t>Tableau de pilotage LTS</t>
  </si>
  <si>
    <t>KPI calculés à partir des feuilles structurées</t>
  </si>
  <si>
    <t>Indicateur</t>
  </si>
  <si>
    <t>Répartition par secteur</t>
  </si>
  <si>
    <t>Logements</t>
  </si>
  <si>
    <t>Logements vendables</t>
  </si>
  <si>
    <t>Contacts activés</t>
  </si>
  <si>
    <t>Total logements</t>
  </si>
  <si>
    <t>Nombre total de logements codés</t>
  </si>
  <si>
    <t>Secteur 1</t>
  </si>
  <si>
    <t>Total résidences</t>
  </si>
  <si>
    <t>Nombre de code_lts distincts</t>
  </si>
  <si>
    <t>Secteur 2</t>
  </si>
  <si>
    <t>Résidences / logements autorisés à la vente</t>
  </si>
  <si>
    <t>Secteur 3</t>
  </si>
  <si>
    <t>Contacts actifs</t>
  </si>
  <si>
    <t>Contacts actifs dans la feuille d'activation</t>
  </si>
  <si>
    <t>Secteur 4</t>
  </si>
  <si>
    <t>Contacts Telegram activés</t>
  </si>
  <si>
    <t>Contacts avec bot activé</t>
  </si>
  <si>
    <t>Dossiers gestion incomplets</t>
  </si>
  <si>
    <t>Pièces ou données manquantes</t>
  </si>
  <si>
    <t>Ventes bloquées</t>
  </si>
  <si>
    <t>Ventes non franchissables à date</t>
  </si>
  <si>
    <t>Demandes travaux ouvertes</t>
  </si>
  <si>
    <t>Demandes / interventions non closes</t>
  </si>
  <si>
    <t>Entreprises actives</t>
  </si>
  <si>
    <t>Prestataires activés dans Telegram</t>
  </si>
  <si>
    <t>Lecture recommandée</t>
  </si>
  <si>
    <t>Ce tableau est destiné à la direction et aux chefs de service. Les feuilles métier servent à la saisie, le serveur consolide ensuite l'analyse.</t>
  </si>
  <si>
    <t>Mode d'emploi opérationnel</t>
  </si>
  <si>
    <t>Guide agent - usage quotidien et cas de figure</t>
  </si>
  <si>
    <t>Rubrique</t>
  </si>
  <si>
    <t>Consigne pratique</t>
  </si>
  <si>
    <t>1. LTS_Parc</t>
  </si>
  <si>
    <t>Base de référence : une ligne = un logement. Ne pas changer code_lts ni code_acces.</t>
  </si>
  <si>
    <t>2. Changement de locataire</t>
  </si>
  <si>
    <t>Dans Contacts_Activation : mettre l'ancien contact_actif à 'non', renseigner date_sortie puis ajouter une nouvelle ligne avec le même code_acces pour le nouveau locataire. Dans Gestion_Locative : mettre à jour le locataire courant.</t>
  </si>
  <si>
    <t>3. Activation Telegram locataire</t>
  </si>
  <si>
    <t>Compléter / vérifier téléphone, code_secret, lien_telegram_start et message_activation. Une activation ne doit être envoyée qu'au contact actif du logement.</t>
  </si>
  <si>
    <t>4. Gestion locative</t>
  </si>
  <si>
    <t>Renseigner assurance_ok, avis_impot_ok, piece_manquante, renouvellement_bail et date_echeance_bail. Le statut_dossier sert de lecture rapide du niveau de complétude.</t>
  </si>
  <si>
    <t>5. Travaux</t>
  </si>
  <si>
    <t>Le locataire peut faire une demande ; l'agent valide avant orientation vers l'entreprise. Ne pas notifier l'entreprise avant validation_agent = 'oui'.</t>
  </si>
  <si>
    <t>6. Ventes</t>
  </si>
  <si>
    <t>Le parcours suit : demande_recue -&gt; en_instruction -&gt; pret_signature -&gt; signature -&gt; realisee. Les colonnes vente_bloquee et motif_blocage permettent de voir instantanément ce qui manque.</t>
  </si>
  <si>
    <t>7. Marchés et entreprises</t>
  </si>
  <si>
    <t>Marches = budget et cadre contractuel ; Entreprises_Activation = contact Telegram et activation de l'entreprise. Les prestataires hors marché sont gérés avec mode_prestation = hors_marche.</t>
  </si>
  <si>
    <t>8. Notifications</t>
  </si>
  <si>
    <t>Notifications stocke les envois ; Historique_Actions garde la mémoire des décisions et événements.</t>
  </si>
  <si>
    <t>9. Scripts</t>
  </si>
  <si>
    <t>generate_contacts.js prépare les activations ; server.js pilote l'analyse et les messages ; App React visualise le tout.</t>
  </si>
  <si>
    <t>location_pure</t>
  </si>
  <si>
    <t>nombre_logements</t>
  </si>
  <si>
    <t>montant</t>
  </si>
  <si>
    <t>pieces_manquantes</t>
  </si>
  <si>
    <t>avancement_dossier</t>
  </si>
  <si>
    <t>etat_dossier</t>
  </si>
  <si>
    <t>tae</t>
  </si>
  <si>
    <t>spanc</t>
  </si>
  <si>
    <t>conformite_assainissement</t>
  </si>
  <si>
    <t>date_controle</t>
  </si>
  <si>
    <t>observation</t>
  </si>
  <si>
    <t>quartier</t>
  </si>
  <si>
    <t>Sainte Cloitlde</t>
  </si>
  <si>
    <t>Prima</t>
  </si>
  <si>
    <t>Marcadet</t>
  </si>
  <si>
    <t>Moufia</t>
  </si>
  <si>
    <t>Le Brulé</t>
  </si>
  <si>
    <t>Saint François</t>
  </si>
  <si>
    <t>Bois de Nefles</t>
  </si>
  <si>
    <t>Montagne 8eme</t>
  </si>
  <si>
    <t>Montagne 15eme</t>
  </si>
  <si>
    <t>La Bretagne</t>
  </si>
  <si>
    <t>Chaudron</t>
  </si>
  <si>
    <t>Montgaillard</t>
  </si>
  <si>
    <t>Bellepierre</t>
  </si>
  <si>
    <t>type de logement</t>
  </si>
  <si>
    <t>statut</t>
  </si>
  <si>
    <t>etat_general</t>
  </si>
  <si>
    <t>date_creation</t>
  </si>
  <si>
    <t>staut</t>
  </si>
  <si>
    <t>titre</t>
  </si>
  <si>
    <t>date_titre</t>
  </si>
  <si>
    <t>impaye(€)</t>
  </si>
  <si>
    <t>id_occupant</t>
  </si>
  <si>
    <t>ALAM-001</t>
  </si>
  <si>
    <t>ALAM-002</t>
  </si>
  <si>
    <t>ALAM-003</t>
  </si>
  <si>
    <t>ALAM-004</t>
  </si>
  <si>
    <t>ALAM-005</t>
  </si>
  <si>
    <t>ALAM-006</t>
  </si>
  <si>
    <t>ALAM-007</t>
  </si>
  <si>
    <t>ALAM-008</t>
  </si>
  <si>
    <t>ALAM-009</t>
  </si>
  <si>
    <t>ALAM-010</t>
  </si>
  <si>
    <t>ALAM-011</t>
  </si>
  <si>
    <t>ALAM-012</t>
  </si>
  <si>
    <t>ALAM-013</t>
  </si>
  <si>
    <t>ALAM-014</t>
  </si>
  <si>
    <t>ALAM-015</t>
  </si>
  <si>
    <t>ALAM-016</t>
  </si>
  <si>
    <t>ALAM-017</t>
  </si>
  <si>
    <t>ALAM-018</t>
  </si>
  <si>
    <t>ALAM-019</t>
  </si>
  <si>
    <t>ALAM-020</t>
  </si>
  <si>
    <t>ALAM-021</t>
  </si>
  <si>
    <t>ALAM-022</t>
  </si>
  <si>
    <t>ALAM-023</t>
  </si>
  <si>
    <t>ALAM-024</t>
  </si>
  <si>
    <t>ALAM-025</t>
  </si>
  <si>
    <t>ALAM-026</t>
  </si>
  <si>
    <t>ALAM-027</t>
  </si>
  <si>
    <t>ALAM-028</t>
  </si>
  <si>
    <t>ALAM-029</t>
  </si>
  <si>
    <t>ALAM-030</t>
  </si>
  <si>
    <t>LAV-001</t>
  </si>
  <si>
    <t>LAV-002</t>
  </si>
  <si>
    <t>LAV-003</t>
  </si>
  <si>
    <t>LAV-004</t>
  </si>
  <si>
    <t>AZA-001</t>
  </si>
  <si>
    <t>AZA-002</t>
  </si>
  <si>
    <t>AZA-003</t>
  </si>
  <si>
    <t>AZA-004</t>
  </si>
  <si>
    <t>BAR-001</t>
  </si>
  <si>
    <t>BAR-002</t>
  </si>
  <si>
    <t>BAR-003</t>
  </si>
  <si>
    <t>BAR-004</t>
  </si>
  <si>
    <t>BAR-005</t>
  </si>
  <si>
    <t>BAR-006</t>
  </si>
  <si>
    <t>BAR-007</t>
  </si>
  <si>
    <t>BAR-008</t>
  </si>
  <si>
    <t>BAR-009</t>
  </si>
  <si>
    <t>BAR-010</t>
  </si>
  <si>
    <t>BAR-011</t>
  </si>
  <si>
    <t>BAR-012</t>
  </si>
  <si>
    <t>BAR-013</t>
  </si>
  <si>
    <t>BAR-014</t>
  </si>
  <si>
    <t>BAR-015</t>
  </si>
  <si>
    <t>BAR-016</t>
  </si>
  <si>
    <t>BAR-017</t>
  </si>
  <si>
    <t>BAR-018</t>
  </si>
  <si>
    <t>BAR-019</t>
  </si>
  <si>
    <t>BAR-020</t>
  </si>
  <si>
    <t>BAR-021</t>
  </si>
  <si>
    <t>BAR-022</t>
  </si>
  <si>
    <t>BAR-023</t>
  </si>
  <si>
    <t>BAR-024</t>
  </si>
  <si>
    <t>BAR-025</t>
  </si>
  <si>
    <t>BIL-001</t>
  </si>
  <si>
    <t>BIL-002</t>
  </si>
  <si>
    <t>BIL-003</t>
  </si>
  <si>
    <t>BIL-004</t>
  </si>
  <si>
    <t>BIL-005</t>
  </si>
  <si>
    <t>BIL-006</t>
  </si>
  <si>
    <t>BIL-007</t>
  </si>
  <si>
    <t>BIL-008</t>
  </si>
  <si>
    <t>BIL-009</t>
  </si>
  <si>
    <t>BIL-010</t>
  </si>
  <si>
    <t>BIL-011</t>
  </si>
  <si>
    <t>BIL-012</t>
  </si>
  <si>
    <t>BIL-013</t>
  </si>
  <si>
    <t>BIL-014</t>
  </si>
  <si>
    <t>BIL-015</t>
  </si>
  <si>
    <t>BIL-016</t>
  </si>
  <si>
    <t>BIL-017</t>
  </si>
  <si>
    <t>BIL-018</t>
  </si>
  <si>
    <t>BIL-019</t>
  </si>
  <si>
    <t>BIL-020</t>
  </si>
  <si>
    <t>BIL-021</t>
  </si>
  <si>
    <t>BIL-022</t>
  </si>
  <si>
    <t>BIL-023</t>
  </si>
  <si>
    <t>BIL-024</t>
  </si>
  <si>
    <t>LAN-001</t>
  </si>
  <si>
    <t>LAN-002</t>
  </si>
  <si>
    <t>CAS-001</t>
  </si>
  <si>
    <t>CAS-002</t>
  </si>
  <si>
    <t>CAS-003</t>
  </si>
  <si>
    <t>CAS-004</t>
  </si>
  <si>
    <t>CAS-005</t>
  </si>
  <si>
    <t>CAS-006</t>
  </si>
  <si>
    <t>CAS-007</t>
  </si>
  <si>
    <t>CAS-008</t>
  </si>
  <si>
    <t>CAS-009</t>
  </si>
  <si>
    <t>CLO-001</t>
  </si>
  <si>
    <t>CLO-002</t>
  </si>
  <si>
    <t>CLO-003</t>
  </si>
  <si>
    <t>CLO-004</t>
  </si>
  <si>
    <t>CLO-005</t>
  </si>
  <si>
    <t>CLO-006</t>
  </si>
  <si>
    <t>CLO-007</t>
  </si>
  <si>
    <t>CLO-008</t>
  </si>
  <si>
    <t>CLO-009</t>
  </si>
  <si>
    <t>CLO-010</t>
  </si>
  <si>
    <t>CLO-011</t>
  </si>
  <si>
    <t>CLO-012</t>
  </si>
  <si>
    <t>CLO-013</t>
  </si>
  <si>
    <t>CLO-014</t>
  </si>
  <si>
    <t>CLO-015</t>
  </si>
  <si>
    <t>CLO-016</t>
  </si>
  <si>
    <t>CLO-017</t>
  </si>
  <si>
    <t>CLO-018</t>
  </si>
  <si>
    <t>CLO-019</t>
  </si>
  <si>
    <t>CLO-020</t>
  </si>
  <si>
    <t>CLO-021</t>
  </si>
  <si>
    <t>CLO-022</t>
  </si>
  <si>
    <t>CLO-023</t>
  </si>
  <si>
    <t>CLO-024</t>
  </si>
  <si>
    <t>CLO-025</t>
  </si>
  <si>
    <t>CLO-026</t>
  </si>
  <si>
    <t>CLO-027</t>
  </si>
  <si>
    <t>COM-001</t>
  </si>
  <si>
    <t>COM-002</t>
  </si>
  <si>
    <t>EVI-001</t>
  </si>
  <si>
    <t>EVI-002</t>
  </si>
  <si>
    <t>EVI-003</t>
  </si>
  <si>
    <t>FIG-001</t>
  </si>
  <si>
    <t>FIG-002</t>
  </si>
  <si>
    <t>FIN-001</t>
  </si>
  <si>
    <t>FIN-002</t>
  </si>
  <si>
    <t>FIN-003</t>
  </si>
  <si>
    <t>FIN-004</t>
  </si>
  <si>
    <t>FR1-001</t>
  </si>
  <si>
    <t>FR1-002</t>
  </si>
  <si>
    <t>FR1-003</t>
  </si>
  <si>
    <t>FR1-004</t>
  </si>
  <si>
    <t>FR1-005</t>
  </si>
  <si>
    <t>FR1-006</t>
  </si>
  <si>
    <t>FR1-007</t>
  </si>
  <si>
    <t>FR1-008</t>
  </si>
  <si>
    <t>FR2-001</t>
  </si>
  <si>
    <t>FR2-002</t>
  </si>
  <si>
    <t>FR2-003</t>
  </si>
  <si>
    <t>FR2-004</t>
  </si>
  <si>
    <t>FR2-005</t>
  </si>
  <si>
    <t>FR2-006</t>
  </si>
  <si>
    <t>FR2-007</t>
  </si>
  <si>
    <t>FR2-008</t>
  </si>
  <si>
    <t>FR2-009</t>
  </si>
  <si>
    <t>FR2-010</t>
  </si>
  <si>
    <t>FR3-001</t>
  </si>
  <si>
    <t>FR3-002</t>
  </si>
  <si>
    <t>FR3-003</t>
  </si>
  <si>
    <t>FR3-004</t>
  </si>
  <si>
    <t>FR3-005</t>
  </si>
  <si>
    <t>FR3-006</t>
  </si>
  <si>
    <t>FR3-007</t>
  </si>
  <si>
    <t>FR3-008</t>
  </si>
  <si>
    <t>FR3-009</t>
  </si>
  <si>
    <t>FR3-010</t>
  </si>
  <si>
    <t>GIR-001</t>
  </si>
  <si>
    <t>GIR-002</t>
  </si>
  <si>
    <t>GRE-001</t>
  </si>
  <si>
    <t>GRE-002</t>
  </si>
  <si>
    <t>GRE-003</t>
  </si>
  <si>
    <t>GRE-004</t>
  </si>
  <si>
    <t>GRE-005</t>
  </si>
  <si>
    <t>GRE-006</t>
  </si>
  <si>
    <t>GRE-007</t>
  </si>
  <si>
    <t>GRE-008</t>
  </si>
  <si>
    <t>GRE-009</t>
  </si>
  <si>
    <t>GRE-010</t>
  </si>
  <si>
    <t>GRE-011</t>
  </si>
  <si>
    <t>GRE-012</t>
  </si>
  <si>
    <t>GRE-013</t>
  </si>
  <si>
    <t>GRE-014</t>
  </si>
  <si>
    <t>GRE-015</t>
  </si>
  <si>
    <t>GRE-016</t>
  </si>
  <si>
    <t>GRE-017</t>
  </si>
  <si>
    <t>GRE-018</t>
  </si>
  <si>
    <t>GRE-019</t>
  </si>
  <si>
    <t>GRE-020</t>
  </si>
  <si>
    <t>GRE-021</t>
  </si>
  <si>
    <t>GRE-022</t>
  </si>
  <si>
    <t>GRE-023</t>
  </si>
  <si>
    <t>GRE-024</t>
  </si>
  <si>
    <t>GRE-025</t>
  </si>
  <si>
    <t>GRE-026</t>
  </si>
  <si>
    <t>GRE-027</t>
  </si>
  <si>
    <t>GRE-028</t>
  </si>
  <si>
    <t>GRE-029</t>
  </si>
  <si>
    <t>GRE-030</t>
  </si>
  <si>
    <t>GRE-031</t>
  </si>
  <si>
    <t>GRE-032</t>
  </si>
  <si>
    <t>GRE-033</t>
  </si>
  <si>
    <t>GRE-034</t>
  </si>
  <si>
    <t>GRE-035</t>
  </si>
  <si>
    <t>GRE-036</t>
  </si>
  <si>
    <t>GRE-037</t>
  </si>
  <si>
    <t>GRE-038</t>
  </si>
  <si>
    <t>GRE-039</t>
  </si>
  <si>
    <t>GRE-040</t>
  </si>
  <si>
    <t>GRE-041</t>
  </si>
  <si>
    <t>GRE-042</t>
  </si>
  <si>
    <t>GRE-043</t>
  </si>
  <si>
    <t>GRE-044</t>
  </si>
  <si>
    <t>GRE-045</t>
  </si>
  <si>
    <t>JAM-001</t>
  </si>
  <si>
    <t>JAM-002</t>
  </si>
  <si>
    <t>JAM-003</t>
  </si>
  <si>
    <t>JAM-004</t>
  </si>
  <si>
    <t>JAM-005</t>
  </si>
  <si>
    <t>JAM-006</t>
  </si>
  <si>
    <t>JAM-007</t>
  </si>
  <si>
    <t>JAM-008</t>
  </si>
  <si>
    <t>JAM-009</t>
  </si>
  <si>
    <t>JAM-010</t>
  </si>
  <si>
    <t>JAM-011</t>
  </si>
  <si>
    <t>JAM-012</t>
  </si>
  <si>
    <t>JAM-013</t>
  </si>
  <si>
    <t>JA1-001</t>
  </si>
  <si>
    <t>JA1-002</t>
  </si>
  <si>
    <t>JA1-003</t>
  </si>
  <si>
    <t>JA1-004</t>
  </si>
  <si>
    <t>JA1-005</t>
  </si>
  <si>
    <t>JA1-006</t>
  </si>
  <si>
    <t>JA1-007</t>
  </si>
  <si>
    <t>JA1-008</t>
  </si>
  <si>
    <t>JA1-009</t>
  </si>
  <si>
    <t>JA1-010</t>
  </si>
  <si>
    <t>JA1-011</t>
  </si>
  <si>
    <t>JA1-012</t>
  </si>
  <si>
    <t>JA1-013</t>
  </si>
  <si>
    <t>JA1-014</t>
  </si>
  <si>
    <t>JA1-015</t>
  </si>
  <si>
    <t>JA1-016</t>
  </si>
  <si>
    <t>JA1-017</t>
  </si>
  <si>
    <t>JA1-018</t>
  </si>
  <si>
    <t>JA1-019</t>
  </si>
  <si>
    <t>JA1-020</t>
  </si>
  <si>
    <t>JA1-021</t>
  </si>
  <si>
    <t>JA1-022</t>
  </si>
  <si>
    <t>JA1-023</t>
  </si>
  <si>
    <t>JA1-024</t>
  </si>
  <si>
    <t>JA1-025</t>
  </si>
  <si>
    <t>JA1-026</t>
  </si>
  <si>
    <t>JA1-027</t>
  </si>
  <si>
    <t>JA1-028</t>
  </si>
  <si>
    <t>JA1-029</t>
  </si>
  <si>
    <t>JA1-030</t>
  </si>
  <si>
    <t>JA1-031</t>
  </si>
  <si>
    <t>JA1-032</t>
  </si>
  <si>
    <t>JA1-033</t>
  </si>
  <si>
    <t>JA1-034</t>
  </si>
  <si>
    <t>JA1-035</t>
  </si>
  <si>
    <t>JA1-036</t>
  </si>
  <si>
    <t>JA1-037</t>
  </si>
  <si>
    <t>JA1-038</t>
  </si>
  <si>
    <t>JA1-039</t>
  </si>
  <si>
    <t>JA1-040</t>
  </si>
  <si>
    <t>JA2-001</t>
  </si>
  <si>
    <t>JA2-002</t>
  </si>
  <si>
    <t>JA2-003</t>
  </si>
  <si>
    <t>JA2-004</t>
  </si>
  <si>
    <t>JA2-005</t>
  </si>
  <si>
    <t>JA2-006</t>
  </si>
  <si>
    <t>JA2-007</t>
  </si>
  <si>
    <t>JA2-008</t>
  </si>
  <si>
    <t>JA2-009</t>
  </si>
  <si>
    <t>JA2-010</t>
  </si>
  <si>
    <t>JA2-011</t>
  </si>
  <si>
    <t>JA2-012</t>
  </si>
  <si>
    <t>JA2-013</t>
  </si>
  <si>
    <t>JA2-014</t>
  </si>
  <si>
    <t>JA2-015</t>
  </si>
  <si>
    <t>JA2-016</t>
  </si>
  <si>
    <t>JA2-017</t>
  </si>
  <si>
    <t>JA2-018</t>
  </si>
  <si>
    <t>JA2-019</t>
  </si>
  <si>
    <t>JA2-020</t>
  </si>
  <si>
    <t>JA3-001</t>
  </si>
  <si>
    <t>JA3-002</t>
  </si>
  <si>
    <t>JA3-003</t>
  </si>
  <si>
    <t>JA3-004</t>
  </si>
  <si>
    <t>JA3-005</t>
  </si>
  <si>
    <t>JA3-006</t>
  </si>
  <si>
    <t>JA3-007</t>
  </si>
  <si>
    <t>JA3-008</t>
  </si>
  <si>
    <t>JA3-009</t>
  </si>
  <si>
    <t>JA3-010</t>
  </si>
  <si>
    <t>JA3-011</t>
  </si>
  <si>
    <t>JA3-012</t>
  </si>
  <si>
    <t>JA3-013</t>
  </si>
  <si>
    <t>JA3-014</t>
  </si>
  <si>
    <t>JA3-015</t>
  </si>
  <si>
    <t>JA3-016</t>
  </si>
  <si>
    <t>JA3-017</t>
  </si>
  <si>
    <t>JA3-018</t>
  </si>
  <si>
    <t>JA3-019</t>
  </si>
  <si>
    <t>JA3-020</t>
  </si>
  <si>
    <t>JA3-021</t>
  </si>
  <si>
    <t>JA3-022</t>
  </si>
  <si>
    <t>JA3-023</t>
  </si>
  <si>
    <t>JA3-024</t>
  </si>
  <si>
    <t>JA3-025</t>
  </si>
  <si>
    <t>JA3-026</t>
  </si>
  <si>
    <t>JA3-027</t>
  </si>
  <si>
    <t>JA3-028</t>
  </si>
  <si>
    <t>JA3-029</t>
  </si>
  <si>
    <t>JA3-030</t>
  </si>
  <si>
    <t>JA3-031</t>
  </si>
  <si>
    <t>JA3-032</t>
  </si>
  <si>
    <t>JA3-033</t>
  </si>
  <si>
    <t>JA3-034</t>
  </si>
  <si>
    <t>JA3-035</t>
  </si>
  <si>
    <t>JA3-036</t>
  </si>
  <si>
    <t>JA3-037</t>
  </si>
  <si>
    <t>JA3-038</t>
  </si>
  <si>
    <t>JA3-039</t>
  </si>
  <si>
    <t>JA3-040</t>
  </si>
  <si>
    <t>JA3-041</t>
  </si>
  <si>
    <t>JA3-042</t>
  </si>
  <si>
    <t>JA3-043</t>
  </si>
  <si>
    <t>JA3-044</t>
  </si>
  <si>
    <t>JA3-045</t>
  </si>
  <si>
    <t>JA3-046</t>
  </si>
  <si>
    <t>JA3-047</t>
  </si>
  <si>
    <t>JA3-048</t>
  </si>
  <si>
    <t>JA3-049</t>
  </si>
  <si>
    <t>JA3-050</t>
  </si>
  <si>
    <t>JA3-051</t>
  </si>
  <si>
    <t>JA3-052</t>
  </si>
  <si>
    <t>JA3-053</t>
  </si>
  <si>
    <t>JA3-054</t>
  </si>
  <si>
    <t>JAR-001</t>
  </si>
  <si>
    <t>JAR-002</t>
  </si>
  <si>
    <t>JAR-003</t>
  </si>
  <si>
    <t>JAR-004</t>
  </si>
  <si>
    <t>JAR-005</t>
  </si>
  <si>
    <t>JAR-006</t>
  </si>
  <si>
    <t>JAR-007</t>
  </si>
  <si>
    <t>JAR-008</t>
  </si>
  <si>
    <t>JAR-009</t>
  </si>
  <si>
    <t>JAR-010</t>
  </si>
  <si>
    <t>JAR-011</t>
  </si>
  <si>
    <t>JAR-012</t>
  </si>
  <si>
    <t>JAR-013</t>
  </si>
  <si>
    <t>JAR-014</t>
  </si>
  <si>
    <t>JAR-015</t>
  </si>
  <si>
    <t>JUJ-001</t>
  </si>
  <si>
    <t>JUJ-002</t>
  </si>
  <si>
    <t>JUJ-003</t>
  </si>
  <si>
    <t>JUJ-004</t>
  </si>
  <si>
    <t>JUJ-005</t>
  </si>
  <si>
    <t>JUJ-006</t>
  </si>
  <si>
    <t>JUJ-007</t>
  </si>
  <si>
    <t>LAV-005</t>
  </si>
  <si>
    <t>LAV-006</t>
  </si>
  <si>
    <t>LAV-007</t>
  </si>
  <si>
    <t>LAV-008</t>
  </si>
  <si>
    <t>LAV-009</t>
  </si>
  <si>
    <t>LAV-010</t>
  </si>
  <si>
    <t>LAV-011</t>
  </si>
  <si>
    <t>LAV-012</t>
  </si>
  <si>
    <t>LAV-013</t>
  </si>
  <si>
    <t>MAI-001</t>
  </si>
  <si>
    <t>MAI-002</t>
  </si>
  <si>
    <t>ATT-001</t>
  </si>
  <si>
    <t>ATT-002</t>
  </si>
  <si>
    <t>ATT-003</t>
  </si>
  <si>
    <t>MAI-003</t>
  </si>
  <si>
    <t>MAI-004</t>
  </si>
  <si>
    <t>MAI-005</t>
  </si>
  <si>
    <t>MAI-006</t>
  </si>
  <si>
    <t>MAI-007</t>
  </si>
  <si>
    <t>MAI-008</t>
  </si>
  <si>
    <t>MAI-009</t>
  </si>
  <si>
    <t>MAI-010</t>
  </si>
  <si>
    <t>MAI-011</t>
  </si>
  <si>
    <t>MAI-012</t>
  </si>
  <si>
    <t>MAI-013</t>
  </si>
  <si>
    <t>MAI-014</t>
  </si>
  <si>
    <t>MAI-015</t>
  </si>
  <si>
    <t>MAM-001</t>
  </si>
  <si>
    <t>MAM-002</t>
  </si>
  <si>
    <t>MAM-003</t>
  </si>
  <si>
    <t>MAM-004</t>
  </si>
  <si>
    <t>MAM-005</t>
  </si>
  <si>
    <t>MAM-006</t>
  </si>
  <si>
    <t>MAM-007</t>
  </si>
  <si>
    <t>MAM-008</t>
  </si>
  <si>
    <t>MAM-009</t>
  </si>
  <si>
    <t>MAM-010</t>
  </si>
  <si>
    <t>MAM-011</t>
  </si>
  <si>
    <t>MAM-012</t>
  </si>
  <si>
    <t>MAM-013</t>
  </si>
  <si>
    <t>MAM-014</t>
  </si>
  <si>
    <t>MAM-015</t>
  </si>
  <si>
    <t>MAM-016</t>
  </si>
  <si>
    <t>MAM-017</t>
  </si>
  <si>
    <t>MAM-018</t>
  </si>
  <si>
    <t>MAM-019</t>
  </si>
  <si>
    <t>MAM-020</t>
  </si>
  <si>
    <t>MAM-021</t>
  </si>
  <si>
    <t>MAM-022</t>
  </si>
  <si>
    <t>MAM-023</t>
  </si>
  <si>
    <t>MAM-024</t>
  </si>
  <si>
    <t>MAM-025</t>
  </si>
  <si>
    <t>MAM-026</t>
  </si>
  <si>
    <t>MAM-027</t>
  </si>
  <si>
    <t>MAM-028</t>
  </si>
  <si>
    <t>MAM-029</t>
  </si>
  <si>
    <t>MAM-030</t>
  </si>
  <si>
    <t>MAM-031</t>
  </si>
  <si>
    <t>MAM-032</t>
  </si>
  <si>
    <t>MAM-033</t>
  </si>
  <si>
    <t>MAM-034</t>
  </si>
  <si>
    <t>MAM-035</t>
  </si>
  <si>
    <t>MAM-036</t>
  </si>
  <si>
    <t>MAM-037</t>
  </si>
  <si>
    <t>MO1-001</t>
  </si>
  <si>
    <t>MO1-002</t>
  </si>
  <si>
    <t>MO1-003</t>
  </si>
  <si>
    <t>MO1-004</t>
  </si>
  <si>
    <t>MO1-005</t>
  </si>
  <si>
    <t>MO1-006</t>
  </si>
  <si>
    <t>MO1-007</t>
  </si>
  <si>
    <t>MO1-008</t>
  </si>
  <si>
    <t>MO1-009</t>
  </si>
  <si>
    <t>MO1-010</t>
  </si>
  <si>
    <t>MO1-011</t>
  </si>
  <si>
    <t>MO1-012</t>
  </si>
  <si>
    <t>MO1-013</t>
  </si>
  <si>
    <t>MO1-014</t>
  </si>
  <si>
    <t>MO1-015</t>
  </si>
  <si>
    <t>MO1-016</t>
  </si>
  <si>
    <t>MO1-017</t>
  </si>
  <si>
    <t>MO1-018</t>
  </si>
  <si>
    <t>MO1-019</t>
  </si>
  <si>
    <t>MO1-020</t>
  </si>
  <si>
    <t>MO1-021</t>
  </si>
  <si>
    <t>MO1-022</t>
  </si>
  <si>
    <t>MO1-023</t>
  </si>
  <si>
    <t>MO2-002</t>
  </si>
  <si>
    <t>MO2-001</t>
  </si>
  <si>
    <t>MO2-003</t>
  </si>
  <si>
    <t>MO2-004</t>
  </si>
  <si>
    <t>MO2-005</t>
  </si>
  <si>
    <t>MO2-006</t>
  </si>
  <si>
    <t>MO2-007</t>
  </si>
  <si>
    <t>MO2-008</t>
  </si>
  <si>
    <t>MO2-009</t>
  </si>
  <si>
    <t>MO2-010</t>
  </si>
  <si>
    <t>MO2-011</t>
  </si>
  <si>
    <t>MO2-012</t>
  </si>
  <si>
    <t>MO2-013</t>
  </si>
  <si>
    <t>MO2-014</t>
  </si>
  <si>
    <t>MO2-015</t>
  </si>
  <si>
    <t>MUR-001</t>
  </si>
  <si>
    <t>MUR-002</t>
  </si>
  <si>
    <t>MUR-003</t>
  </si>
  <si>
    <t>MUR-004</t>
  </si>
  <si>
    <t>PAM-001</t>
  </si>
  <si>
    <t>PAM-002</t>
  </si>
  <si>
    <t>PAM-003</t>
  </si>
  <si>
    <t>PAM-004</t>
  </si>
  <si>
    <t>PRA-001</t>
  </si>
  <si>
    <t>PRA-002</t>
  </si>
  <si>
    <t>PRA-003</t>
  </si>
  <si>
    <t>PRA-004</t>
  </si>
  <si>
    <t>PRA-005</t>
  </si>
  <si>
    <t>PRA-006</t>
  </si>
  <si>
    <t>PRA-007</t>
  </si>
  <si>
    <t>PRA-008</t>
  </si>
  <si>
    <t>PRA-009</t>
  </si>
  <si>
    <t>PRA-010</t>
  </si>
  <si>
    <t>PRA-011</t>
  </si>
  <si>
    <t>PRA-012</t>
  </si>
  <si>
    <t>POI-001</t>
  </si>
  <si>
    <t>POI-002</t>
  </si>
  <si>
    <t>POI-003</t>
  </si>
  <si>
    <t>POI-004</t>
  </si>
  <si>
    <t>POI-005</t>
  </si>
  <si>
    <t>POI-006</t>
  </si>
  <si>
    <t>POI-007</t>
  </si>
  <si>
    <t>POI-008</t>
  </si>
  <si>
    <t>POI-009</t>
  </si>
  <si>
    <t>POI-010</t>
  </si>
  <si>
    <t>POI-011</t>
  </si>
  <si>
    <t>SAP-001</t>
  </si>
  <si>
    <t>SAP-002</t>
  </si>
  <si>
    <t>SAP-003</t>
  </si>
  <si>
    <t>SAP-004</t>
  </si>
  <si>
    <t>SAP-005</t>
  </si>
  <si>
    <t>SAP-006</t>
  </si>
  <si>
    <t>SAP-007</t>
  </si>
  <si>
    <t>SAP-008</t>
  </si>
  <si>
    <t>SAP-009</t>
  </si>
  <si>
    <t>SAP-010</t>
  </si>
  <si>
    <t>SAP-011</t>
  </si>
  <si>
    <t>SAP-012</t>
  </si>
  <si>
    <t>SAP-013</t>
  </si>
  <si>
    <t>SAP-014</t>
  </si>
  <si>
    <t>SAP-015</t>
  </si>
  <si>
    <t>SAP-016</t>
  </si>
  <si>
    <t>SAP-017</t>
  </si>
  <si>
    <t>SAP-018</t>
  </si>
  <si>
    <t>SAP-019</t>
  </si>
  <si>
    <t>SAP-020</t>
  </si>
  <si>
    <t>VAN-001</t>
  </si>
  <si>
    <t>VAN-002</t>
  </si>
  <si>
    <t>VAN-003</t>
  </si>
  <si>
    <t>VAN-004</t>
  </si>
  <si>
    <t>VAN-005</t>
  </si>
  <si>
    <t>VAN-006</t>
  </si>
  <si>
    <t>VAN-007</t>
  </si>
  <si>
    <t>VAN-008</t>
  </si>
  <si>
    <t>VAN-009</t>
  </si>
  <si>
    <t>VAN-010</t>
  </si>
  <si>
    <t>VAN-011</t>
  </si>
  <si>
    <t>VAN-012</t>
  </si>
  <si>
    <t>VAN-013</t>
  </si>
  <si>
    <t>VAN-014</t>
  </si>
  <si>
    <t>VAN-015</t>
  </si>
  <si>
    <t>id_logement</t>
  </si>
  <si>
    <t>T4</t>
  </si>
  <si>
    <t>T1</t>
  </si>
  <si>
    <t>T2</t>
  </si>
  <si>
    <t>T3</t>
  </si>
  <si>
    <t>occupé</t>
  </si>
  <si>
    <t>bon</t>
  </si>
  <si>
    <t>mauvais</t>
  </si>
  <si>
    <t>occupant sans titre</t>
  </si>
  <si>
    <t>demandeur</t>
  </si>
  <si>
    <t>source</t>
  </si>
  <si>
    <t>aide_ville</t>
  </si>
  <si>
    <t>aide_cinor</t>
  </si>
  <si>
    <t>prix_final</t>
  </si>
  <si>
    <t>prix_initial</t>
  </si>
  <si>
    <t>id_notification</t>
  </si>
  <si>
    <t>type_message</t>
  </si>
  <si>
    <t>user</t>
  </si>
  <si>
    <t>role</t>
  </si>
  <si>
    <t>action</t>
  </si>
  <si>
    <t>objet</t>
  </si>
  <si>
    <t>id_user</t>
  </si>
  <si>
    <t>DGS</t>
  </si>
  <si>
    <t>DGA</t>
  </si>
  <si>
    <t>Directeur</t>
  </si>
  <si>
    <t>Responsable Travaux</t>
  </si>
  <si>
    <t>Responsable Gestion Locative</t>
  </si>
  <si>
    <t>Technicien Travaux</t>
  </si>
  <si>
    <t>Gestionnaire</t>
  </si>
  <si>
    <t xml:space="preserve">HABIAT PRE01 </t>
  </si>
  <si>
    <t>HABIAT PRE02</t>
  </si>
  <si>
    <t>HABIAT PRE03</t>
  </si>
  <si>
    <t>HABIAT PRE04</t>
  </si>
  <si>
    <t>HABIAT PRE05</t>
  </si>
  <si>
    <t>HABIAT PRE06</t>
  </si>
  <si>
    <t>HABIAT PRE07</t>
  </si>
  <si>
    <t>MME</t>
  </si>
  <si>
    <t>DIFERNAND</t>
  </si>
  <si>
    <t>GRIMAUD</t>
  </si>
  <si>
    <t>DINCHER</t>
  </si>
  <si>
    <t>BEFO</t>
  </si>
  <si>
    <t>description</t>
  </si>
  <si>
    <t>corps_etat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</si>
</sst>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Cambria"/>
      <charset val="1"/>
    </font>
    <font>
      <i/>
      <sz val="11"/>
      <name val="Cambria"/>
      <charset val="1"/>
    </font>
    <font>
      <b/>
      <sz val="11"/>
      <name val="Cambria"/>
      <charset val="1"/>
    </font>
    <font>
      <sz val="11"/>
      <color rgb="FF0000FF"/>
      <name val="Cambria"/>
      <charset val="1"/>
    </font>
    <font>
      <sz val="11"/>
      <color rgb="FF008000"/>
      <name val="Cambria"/>
      <charset val="1"/>
    </font>
    <font>
      <sz val="11"/>
      <color rgb="FF000000"/>
      <name val="Cambria"/>
      <charset val="1"/>
    </font>
    <font>
      <sz val="11"/>
      <color rgb="FF7030A0"/>
      <name val="Cambria"/>
      <charset val="1"/>
    </font>
    <font>
      <sz val="8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CE6F1"/>
      </patternFill>
    </fill>
    <fill>
      <patternFill patternType="solid">
        <fgColor rgb="FFDCE6F1"/>
        <bgColor rgb="FFD9EAF7"/>
      </patternFill>
    </fill>
    <fill>
      <patternFill patternType="solid">
        <fgColor rgb="FFEAF2FF"/>
        <bgColor rgb="FFF3F3F3"/>
      </patternFill>
    </fill>
    <fill>
      <patternFill patternType="solid">
        <fgColor rgb="FFF3F3F3"/>
        <bgColor rgb="FFEAF2FF"/>
      </patternFill>
    </fill>
    <fill>
      <patternFill patternType="solid">
        <fgColor rgb="FFEFE5FF"/>
        <bgColor rgb="FFEAF2FF"/>
      </patternFill>
    </fill>
    <fill>
      <patternFill patternType="solid">
        <fgColor rgb="FFD9EDEB"/>
        <bgColor rgb="FFD9EAF7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vertical="top" wrapText="1"/>
    </xf>
    <xf numFmtId="0" fontId="3" fillId="3" borderId="0" xfId="0" applyFont="1" applyFill="1"/>
    <xf numFmtId="0" fontId="5" fillId="0" borderId="0" xfId="0" applyFont="1"/>
    <xf numFmtId="0" fontId="4" fillId="5" borderId="0" xfId="0" applyFont="1" applyFill="1" applyAlignment="1">
      <alignment horizontal="left" vertical="center" wrapText="1"/>
    </xf>
    <xf numFmtId="2" fontId="4" fillId="5" borderId="0" xfId="0" applyNumberFormat="1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14" fontId="4" fillId="5" borderId="0" xfId="0" applyNumberFormat="1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14" fontId="7" fillId="7" borderId="0" xfId="0" applyNumberFormat="1" applyFont="1" applyFill="1" applyAlignment="1">
      <alignment horizontal="left" vertical="center" wrapText="1"/>
    </xf>
    <xf numFmtId="0" fontId="6" fillId="0" borderId="0" xfId="0" applyFont="1"/>
    <xf numFmtId="4" fontId="4" fillId="5" borderId="0" xfId="0" applyNumberFormat="1" applyFont="1" applyFill="1" applyAlignment="1">
      <alignment horizontal="left" vertical="center" wrapText="1"/>
    </xf>
    <xf numFmtId="4" fontId="6" fillId="6" borderId="0" xfId="0" applyNumberFormat="1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3F3F3"/>
      <rgbColor rgb="FFD9EDEB"/>
      <rgbColor rgb="FF660066"/>
      <rgbColor rgb="FFFF8080"/>
      <rgbColor rgb="FF0066CC"/>
      <rgbColor rgb="FFDCE6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EAF2FF"/>
      <rgbColor rgb="FFFFFF99"/>
      <rgbColor rgb="FF99CCFF"/>
      <rgbColor rgb="FFFF99CC"/>
      <rgbColor rgb="FFCC99FF"/>
      <rgbColor rgb="FFEFE5F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zoomScaleNormal="100" workbookViewId="0">
      <selection sqref="A1:H1"/>
    </sheetView>
  </sheetViews>
  <sheetFormatPr baseColWidth="10" defaultColWidth="8.6640625" defaultRowHeight="15" customHeight="1" x14ac:dyDescent="0.3"/>
  <cols>
    <col min="1" max="1" width="22" customWidth="1"/>
    <col min="2" max="8" width="18" customWidth="1"/>
  </cols>
  <sheetData>
    <row r="1" spans="1:8" ht="24" customHeight="1" x14ac:dyDescent="0.3">
      <c r="A1" s="23" t="s">
        <v>0</v>
      </c>
      <c r="B1" s="23"/>
      <c r="C1" s="23"/>
      <c r="D1" s="23"/>
      <c r="E1" s="23"/>
      <c r="F1" s="23"/>
      <c r="G1" s="23"/>
      <c r="H1" s="23"/>
    </row>
    <row r="2" spans="1:8" ht="30" customHeight="1" x14ac:dyDescent="0.3">
      <c r="A2" s="24" t="s">
        <v>1</v>
      </c>
      <c r="B2" s="24"/>
      <c r="C2" s="24"/>
      <c r="D2" s="24"/>
      <c r="E2" s="24"/>
      <c r="F2" s="24"/>
      <c r="G2" s="24"/>
      <c r="H2" s="24"/>
    </row>
    <row r="3" spans="1:8" ht="30" customHeight="1" x14ac:dyDescent="0.3"/>
    <row r="4" spans="1:8" ht="30" customHeight="1" x14ac:dyDescent="0.3">
      <c r="A4" s="22" t="s">
        <v>2</v>
      </c>
      <c r="B4" s="22"/>
      <c r="C4" s="22"/>
      <c r="D4" s="22"/>
      <c r="E4" s="22"/>
      <c r="F4" s="22"/>
      <c r="G4" s="22"/>
      <c r="H4" s="22"/>
    </row>
    <row r="5" spans="1:8" ht="30" customHeight="1" x14ac:dyDescent="0.3">
      <c r="A5" s="21" t="s">
        <v>3</v>
      </c>
      <c r="B5" s="21"/>
      <c r="C5" s="21"/>
      <c r="D5" s="21"/>
      <c r="E5" s="21"/>
      <c r="F5" s="21"/>
      <c r="G5" s="21"/>
      <c r="H5" s="21"/>
    </row>
    <row r="6" spans="1:8" ht="30" customHeight="1" x14ac:dyDescent="0.3"/>
    <row r="7" spans="1:8" ht="30" customHeight="1" x14ac:dyDescent="0.3">
      <c r="A7" s="22" t="s">
        <v>4</v>
      </c>
      <c r="B7" s="22"/>
      <c r="C7" s="22"/>
      <c r="D7" s="22"/>
      <c r="E7" s="22"/>
      <c r="F7" s="22"/>
      <c r="G7" s="22"/>
      <c r="H7" s="22"/>
    </row>
    <row r="8" spans="1:8" ht="30" customHeight="1" x14ac:dyDescent="0.3">
      <c r="A8" s="21" t="s">
        <v>5</v>
      </c>
      <c r="B8" s="21"/>
      <c r="C8" s="21"/>
      <c r="D8" s="21"/>
      <c r="E8" s="21"/>
      <c r="F8" s="21"/>
      <c r="G8" s="21"/>
      <c r="H8" s="21"/>
    </row>
    <row r="9" spans="1:8" ht="30" customHeight="1" x14ac:dyDescent="0.3"/>
    <row r="10" spans="1:8" ht="30" customHeight="1" x14ac:dyDescent="0.3">
      <c r="A10" s="22" t="s">
        <v>6</v>
      </c>
      <c r="B10" s="22"/>
      <c r="C10" s="22"/>
      <c r="D10" s="22"/>
      <c r="E10" s="22"/>
      <c r="F10" s="22"/>
      <c r="G10" s="22"/>
      <c r="H10" s="22"/>
    </row>
    <row r="11" spans="1:8" ht="30" customHeight="1" x14ac:dyDescent="0.3">
      <c r="A11" s="21" t="s">
        <v>7</v>
      </c>
      <c r="B11" s="21"/>
      <c r="C11" s="21"/>
      <c r="D11" s="21"/>
      <c r="E11" s="21"/>
      <c r="F11" s="21"/>
      <c r="G11" s="21"/>
      <c r="H11" s="21"/>
    </row>
    <row r="12" spans="1:8" ht="30" customHeight="1" x14ac:dyDescent="0.3"/>
    <row r="13" spans="1:8" ht="30" customHeight="1" x14ac:dyDescent="0.3">
      <c r="A13" s="22" t="s">
        <v>8</v>
      </c>
      <c r="B13" s="22"/>
      <c r="C13" s="22"/>
      <c r="D13" s="22"/>
      <c r="E13" s="22"/>
      <c r="F13" s="22"/>
      <c r="G13" s="22"/>
      <c r="H13" s="22"/>
    </row>
    <row r="14" spans="1:8" ht="30" customHeight="1" x14ac:dyDescent="0.3">
      <c r="A14" s="21" t="s">
        <v>9</v>
      </c>
      <c r="B14" s="21"/>
      <c r="C14" s="21"/>
      <c r="D14" s="21"/>
      <c r="E14" s="21"/>
      <c r="F14" s="21"/>
      <c r="G14" s="21"/>
      <c r="H14" s="21"/>
    </row>
    <row r="15" spans="1:8" ht="30" customHeight="1" x14ac:dyDescent="0.3"/>
    <row r="16" spans="1:8" ht="30" customHeight="1" x14ac:dyDescent="0.3">
      <c r="A16" s="22" t="s">
        <v>10</v>
      </c>
      <c r="B16" s="22"/>
      <c r="C16" s="22"/>
      <c r="D16" s="22"/>
      <c r="E16" s="22"/>
      <c r="F16" s="22"/>
      <c r="G16" s="22"/>
      <c r="H16" s="22"/>
    </row>
    <row r="17" spans="1:8" ht="30" customHeight="1" x14ac:dyDescent="0.3">
      <c r="A17" s="21" t="s">
        <v>11</v>
      </c>
      <c r="B17" s="21"/>
      <c r="C17" s="21"/>
      <c r="D17" s="21"/>
      <c r="E17" s="21"/>
      <c r="F17" s="21"/>
      <c r="G17" s="21"/>
      <c r="H17" s="21"/>
    </row>
    <row r="18" spans="1:8" ht="30" customHeight="1" x14ac:dyDescent="0.3"/>
    <row r="19" spans="1:8" ht="30" customHeight="1" x14ac:dyDescent="0.3">
      <c r="A19" s="22" t="s">
        <v>12</v>
      </c>
      <c r="B19" s="22"/>
      <c r="C19" s="22"/>
      <c r="D19" s="22"/>
      <c r="E19" s="22"/>
      <c r="F19" s="22"/>
      <c r="G19" s="22"/>
      <c r="H19" s="22"/>
    </row>
    <row r="20" spans="1:8" ht="30" customHeight="1" x14ac:dyDescent="0.3">
      <c r="A20" s="21" t="s">
        <v>13</v>
      </c>
      <c r="B20" s="21"/>
      <c r="C20" s="21"/>
      <c r="D20" s="21"/>
      <c r="E20" s="21"/>
      <c r="F20" s="21"/>
      <c r="G20" s="21"/>
      <c r="H20" s="21"/>
    </row>
    <row r="21" spans="1:8" ht="30" customHeight="1" x14ac:dyDescent="0.3"/>
    <row r="22" spans="1:8" ht="30" customHeight="1" x14ac:dyDescent="0.3">
      <c r="A22" s="22" t="s">
        <v>14</v>
      </c>
      <c r="B22" s="22"/>
      <c r="C22" s="22"/>
      <c r="D22" s="22"/>
      <c r="E22" s="22"/>
      <c r="F22" s="22"/>
      <c r="G22" s="22"/>
      <c r="H22" s="22"/>
    </row>
    <row r="23" spans="1:8" ht="30" customHeight="1" x14ac:dyDescent="0.3">
      <c r="A23" s="21" t="s">
        <v>15</v>
      </c>
      <c r="B23" s="21"/>
      <c r="C23" s="21"/>
      <c r="D23" s="21"/>
      <c r="E23" s="21"/>
      <c r="F23" s="21"/>
      <c r="G23" s="21"/>
      <c r="H23" s="21"/>
    </row>
    <row r="24" spans="1:8" ht="30" customHeight="1" x14ac:dyDescent="0.3"/>
    <row r="25" spans="1:8" ht="30" customHeight="1" x14ac:dyDescent="0.3"/>
    <row r="26" spans="1:8" ht="30" customHeight="1" x14ac:dyDescent="0.3"/>
    <row r="27" spans="1:8" ht="30" customHeight="1" x14ac:dyDescent="0.3"/>
    <row r="28" spans="1:8" ht="30" customHeight="1" x14ac:dyDescent="0.3"/>
    <row r="29" spans="1:8" ht="30" customHeight="1" x14ac:dyDescent="0.3"/>
  </sheetData>
  <mergeCells count="16">
    <mergeCell ref="A1:H1"/>
    <mergeCell ref="A2:H2"/>
    <mergeCell ref="A4:H4"/>
    <mergeCell ref="A5:H5"/>
    <mergeCell ref="A7:H7"/>
    <mergeCell ref="A8:H8"/>
    <mergeCell ref="A10:H10"/>
    <mergeCell ref="A11:H11"/>
    <mergeCell ref="A13:H13"/>
    <mergeCell ref="A14:H14"/>
    <mergeCell ref="A23:H23"/>
    <mergeCell ref="A16:H16"/>
    <mergeCell ref="A17:H17"/>
    <mergeCell ref="A19:H19"/>
    <mergeCell ref="A20:H20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zoomScaleNormal="100" workbookViewId="0">
      <pane ySplit="3" topLeftCell="A4" activePane="bottomLeft" state="frozen"/>
      <selection pane="bottomLeft" sqref="A1:H1"/>
    </sheetView>
  </sheetViews>
  <sheetFormatPr baseColWidth="10" defaultColWidth="8.6640625" defaultRowHeight="15" customHeight="1" x14ac:dyDescent="0.3"/>
  <cols>
    <col min="1" max="1" width="24" customWidth="1"/>
    <col min="2" max="2" width="28" customWidth="1"/>
    <col min="3" max="3" width="34" customWidth="1"/>
    <col min="4" max="4" width="28" customWidth="1"/>
    <col min="5" max="5" width="24" customWidth="1"/>
  </cols>
  <sheetData>
    <row r="1" spans="1:8" ht="24" customHeight="1" x14ac:dyDescent="0.3">
      <c r="A1" s="23" t="s">
        <v>16</v>
      </c>
      <c r="B1" s="23"/>
      <c r="C1" s="23"/>
      <c r="D1" s="23"/>
      <c r="E1" s="23"/>
      <c r="F1" s="23"/>
      <c r="G1" s="23"/>
      <c r="H1" s="23"/>
    </row>
    <row r="2" spans="1:8" ht="15" customHeight="1" x14ac:dyDescent="0.3">
      <c r="A2" s="24" t="s">
        <v>17</v>
      </c>
      <c r="B2" s="24"/>
      <c r="C2" s="24"/>
      <c r="D2" s="24"/>
      <c r="E2" s="24"/>
      <c r="F2" s="24"/>
      <c r="G2" s="24"/>
      <c r="H2" s="24"/>
    </row>
    <row r="3" spans="1:8" ht="14.4" x14ac:dyDescent="0.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</row>
    <row r="4" spans="1:8" ht="28.8" x14ac:dyDescent="0.3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</row>
    <row r="5" spans="1:8" ht="28.8" x14ac:dyDescent="0.3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</row>
    <row r="6" spans="1:8" ht="28.8" x14ac:dyDescent="0.3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</row>
    <row r="7" spans="1:8" ht="28.8" x14ac:dyDescent="0.3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</row>
    <row r="8" spans="1:8" ht="28.8" x14ac:dyDescent="0.3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</row>
    <row r="9" spans="1:8" ht="28.8" x14ac:dyDescent="0.3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</row>
    <row r="10" spans="1:8" ht="28.8" x14ac:dyDescent="0.3">
      <c r="A10" s="1" t="s">
        <v>53</v>
      </c>
      <c r="B10" s="1" t="s">
        <v>28</v>
      </c>
      <c r="C10" s="1" t="s">
        <v>54</v>
      </c>
      <c r="D10" s="1" t="s">
        <v>55</v>
      </c>
      <c r="E10" s="1" t="s">
        <v>56</v>
      </c>
    </row>
    <row r="11" spans="1:8" ht="28.8" x14ac:dyDescent="0.3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</row>
    <row r="12" spans="1:8" ht="14.4" x14ac:dyDescent="0.3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66</v>
      </c>
    </row>
  </sheetData>
  <autoFilter ref="A1:H12" xr:uid="{00000000-0009-0000-0000-000001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zoomScaleNormal="100" workbookViewId="0">
      <selection sqref="A1:H1"/>
    </sheetView>
  </sheetViews>
  <sheetFormatPr baseColWidth="10" defaultColWidth="8.6640625" defaultRowHeight="15" customHeight="1" x14ac:dyDescent="0.3"/>
  <cols>
    <col min="1" max="1" width="28" customWidth="1"/>
    <col min="2" max="2" width="22" customWidth="1"/>
    <col min="3" max="3" width="42" customWidth="1"/>
    <col min="4" max="4" width="16" customWidth="1"/>
    <col min="5" max="5" width="28" customWidth="1"/>
  </cols>
  <sheetData>
    <row r="1" spans="1:8" ht="24" customHeight="1" x14ac:dyDescent="0.3">
      <c r="A1" s="23" t="s">
        <v>67</v>
      </c>
      <c r="B1" s="23"/>
      <c r="C1" s="23"/>
      <c r="D1" s="23"/>
      <c r="E1" s="23"/>
      <c r="F1" s="23"/>
      <c r="G1" s="23"/>
      <c r="H1" s="23"/>
    </row>
    <row r="2" spans="1:8" ht="15" customHeight="1" x14ac:dyDescent="0.3">
      <c r="A2" s="24" t="s">
        <v>68</v>
      </c>
      <c r="B2" s="24"/>
      <c r="C2" s="24"/>
      <c r="D2" s="24"/>
      <c r="E2" s="24"/>
      <c r="F2" s="24"/>
      <c r="G2" s="24"/>
      <c r="H2" s="24"/>
    </row>
    <row r="3" spans="1:8" ht="14.4" x14ac:dyDescent="0.3">
      <c r="A3" s="3" t="s">
        <v>69</v>
      </c>
      <c r="B3" s="3" t="s">
        <v>70</v>
      </c>
      <c r="C3" s="3" t="s">
        <v>71</v>
      </c>
      <c r="D3" s="3" t="s">
        <v>72</v>
      </c>
      <c r="E3" s="3" t="s">
        <v>73</v>
      </c>
    </row>
    <row r="4" spans="1:8" ht="28.8" x14ac:dyDescent="0.3">
      <c r="A4" s="1" t="s">
        <v>74</v>
      </c>
      <c r="B4" s="4" t="s">
        <v>75</v>
      </c>
      <c r="C4" s="1" t="s">
        <v>76</v>
      </c>
      <c r="D4" s="1" t="s">
        <v>77</v>
      </c>
      <c r="E4" s="1" t="s">
        <v>78</v>
      </c>
    </row>
    <row r="5" spans="1:8" ht="14.4" x14ac:dyDescent="0.3">
      <c r="A5" s="1" t="s">
        <v>79</v>
      </c>
      <c r="B5" s="4">
        <v>500</v>
      </c>
      <c r="C5" s="1" t="s">
        <v>80</v>
      </c>
      <c r="D5" s="1" t="s">
        <v>81</v>
      </c>
      <c r="E5" s="1" t="s">
        <v>82</v>
      </c>
    </row>
    <row r="6" spans="1:8" ht="14.4" x14ac:dyDescent="0.3">
      <c r="A6" s="1" t="s">
        <v>83</v>
      </c>
      <c r="B6" s="4">
        <v>5000</v>
      </c>
      <c r="C6" s="1" t="s">
        <v>84</v>
      </c>
      <c r="D6" s="1" t="s">
        <v>81</v>
      </c>
      <c r="E6" s="1" t="s">
        <v>85</v>
      </c>
    </row>
    <row r="7" spans="1:8" ht="14.4" x14ac:dyDescent="0.3">
      <c r="A7" s="1" t="s">
        <v>86</v>
      </c>
      <c r="B7" s="4">
        <v>3000</v>
      </c>
      <c r="C7" s="1" t="s">
        <v>87</v>
      </c>
      <c r="D7" s="1" t="s">
        <v>81</v>
      </c>
      <c r="E7" s="1" t="s">
        <v>88</v>
      </c>
    </row>
    <row r="8" spans="1:8" ht="14.4" x14ac:dyDescent="0.3">
      <c r="A8" s="1" t="s">
        <v>89</v>
      </c>
      <c r="B8" s="4" t="s">
        <v>90</v>
      </c>
      <c r="C8" s="1" t="s">
        <v>91</v>
      </c>
      <c r="D8" s="1" t="s">
        <v>81</v>
      </c>
      <c r="E8" s="1"/>
    </row>
    <row r="9" spans="1:8" ht="14.4" x14ac:dyDescent="0.3">
      <c r="A9" s="1" t="s">
        <v>92</v>
      </c>
      <c r="B9" s="4" t="s">
        <v>93</v>
      </c>
      <c r="C9" s="1" t="s">
        <v>94</v>
      </c>
      <c r="D9" s="1" t="s">
        <v>81</v>
      </c>
      <c r="E9" s="1"/>
    </row>
    <row r="10" spans="1:8" ht="14.4" x14ac:dyDescent="0.3">
      <c r="A10" s="1" t="s">
        <v>95</v>
      </c>
      <c r="B10" s="4">
        <v>7</v>
      </c>
      <c r="C10" s="1" t="s">
        <v>96</v>
      </c>
      <c r="D10" s="1" t="s">
        <v>97</v>
      </c>
      <c r="E10" s="1"/>
    </row>
    <row r="11" spans="1:8" ht="28.8" x14ac:dyDescent="0.3">
      <c r="A11" s="1" t="s">
        <v>98</v>
      </c>
      <c r="B11" s="4">
        <v>5000</v>
      </c>
      <c r="C11" s="1" t="s">
        <v>99</v>
      </c>
      <c r="D11" s="1" t="s">
        <v>77</v>
      </c>
      <c r="E11" s="1"/>
    </row>
    <row r="12" spans="1:8" ht="14.4" x14ac:dyDescent="0.3">
      <c r="A12" s="1" t="s">
        <v>100</v>
      </c>
      <c r="B12" s="4">
        <v>90000</v>
      </c>
      <c r="C12" s="1" t="s">
        <v>101</v>
      </c>
      <c r="D12" s="1" t="s">
        <v>77</v>
      </c>
      <c r="E12" s="1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529"/>
  <sheetViews>
    <sheetView zoomScaleNormal="100" workbookViewId="0">
      <pane ySplit="1" topLeftCell="A409" activePane="bottomLeft" state="frozen"/>
      <selection pane="bottomLeft" activeCell="B1" sqref="B1:B1048576"/>
    </sheetView>
  </sheetViews>
  <sheetFormatPr baseColWidth="10" defaultColWidth="8.6640625" defaultRowHeight="15" customHeight="1" x14ac:dyDescent="0.3"/>
  <cols>
    <col min="1" max="1" width="10" customWidth="1"/>
    <col min="2" max="2" width="15.109375" customWidth="1"/>
    <col min="3" max="3" width="12" customWidth="1"/>
    <col min="4" max="4" width="14" customWidth="1"/>
    <col min="5" max="6" width="18" customWidth="1"/>
    <col min="7" max="7" width="16" customWidth="1"/>
    <col min="8" max="10" width="18" customWidth="1"/>
    <col min="11" max="12" width="22" customWidth="1"/>
    <col min="13" max="13" width="14" customWidth="1"/>
    <col min="14" max="16" width="12" customWidth="1"/>
    <col min="17" max="17" width="18" customWidth="1"/>
    <col min="18" max="19" width="16" customWidth="1"/>
    <col min="20" max="20" width="14" customWidth="1"/>
    <col min="21" max="23" width="12" customWidth="1"/>
    <col min="24" max="24" width="16" customWidth="1"/>
    <col min="25" max="26" width="18" customWidth="1"/>
    <col min="27" max="27" width="16" customWidth="1"/>
    <col min="28" max="28" width="18" customWidth="1"/>
    <col min="29" max="29" width="28" customWidth="1"/>
    <col min="30" max="30" width="48" customWidth="1"/>
  </cols>
  <sheetData>
    <row r="1" spans="1:30" ht="27.75" customHeight="1" x14ac:dyDescent="0.3">
      <c r="A1" s="3" t="s">
        <v>183</v>
      </c>
      <c r="B1" s="3" t="s">
        <v>4509</v>
      </c>
      <c r="C1" s="3" t="s">
        <v>184</v>
      </c>
      <c r="D1" s="3" t="s">
        <v>185</v>
      </c>
      <c r="E1" s="3" t="s">
        <v>186</v>
      </c>
      <c r="F1" s="3" t="s">
        <v>188</v>
      </c>
      <c r="G1" s="3" t="s">
        <v>189</v>
      </c>
      <c r="H1" s="3" t="s">
        <v>190</v>
      </c>
      <c r="I1" s="3" t="s">
        <v>191</v>
      </c>
      <c r="J1" s="3" t="s">
        <v>2772</v>
      </c>
      <c r="K1" s="3" t="s">
        <v>192</v>
      </c>
      <c r="L1" s="3" t="s">
        <v>2773</v>
      </c>
      <c r="M1" s="3" t="s">
        <v>2774</v>
      </c>
      <c r="N1" s="3" t="s">
        <v>200</v>
      </c>
      <c r="O1" s="3" t="s">
        <v>2775</v>
      </c>
      <c r="P1" s="3" t="s">
        <v>2776</v>
      </c>
      <c r="Q1" s="3" t="s">
        <v>2777</v>
      </c>
      <c r="R1" s="3" t="s">
        <v>2778</v>
      </c>
      <c r="S1" s="3" t="s">
        <v>2779</v>
      </c>
      <c r="T1" s="3" t="s">
        <v>2780</v>
      </c>
      <c r="U1" s="3" t="s">
        <v>2781</v>
      </c>
      <c r="V1" s="3" t="s">
        <v>2782</v>
      </c>
      <c r="W1" s="3" t="s">
        <v>2783</v>
      </c>
      <c r="X1" s="3" t="s">
        <v>2784</v>
      </c>
      <c r="Y1" s="3" t="s">
        <v>2785</v>
      </c>
      <c r="Z1" s="3" t="s">
        <v>2786</v>
      </c>
      <c r="AA1" s="3" t="s">
        <v>2787</v>
      </c>
      <c r="AB1" s="3" t="s">
        <v>2788</v>
      </c>
      <c r="AC1" s="3" t="s">
        <v>2789</v>
      </c>
      <c r="AD1" s="3" t="s">
        <v>2790</v>
      </c>
    </row>
    <row r="2" spans="1:30" ht="21.75" customHeight="1" x14ac:dyDescent="0.3">
      <c r="A2" s="1" t="s">
        <v>202</v>
      </c>
      <c r="B2" s="1" t="s">
        <v>4510</v>
      </c>
      <c r="C2" s="1" t="s">
        <v>203</v>
      </c>
      <c r="D2" s="1" t="s">
        <v>204</v>
      </c>
      <c r="E2" s="1" t="s">
        <v>78</v>
      </c>
      <c r="F2" s="1" t="s">
        <v>206</v>
      </c>
      <c r="G2" s="1" t="s">
        <v>207</v>
      </c>
      <c r="H2" s="1" t="s">
        <v>208</v>
      </c>
      <c r="I2" s="1"/>
      <c r="J2" s="1" t="s">
        <v>208</v>
      </c>
      <c r="K2" s="1"/>
      <c r="L2" s="7"/>
      <c r="M2" s="7" t="s">
        <v>125</v>
      </c>
      <c r="N2" s="7" t="s">
        <v>90</v>
      </c>
      <c r="O2" s="10"/>
      <c r="P2" s="10"/>
      <c r="Q2" s="7"/>
      <c r="R2" s="7"/>
      <c r="S2" s="7" t="s">
        <v>124</v>
      </c>
      <c r="T2" s="10"/>
      <c r="U2" s="11" t="s">
        <v>2791</v>
      </c>
      <c r="V2" s="11" t="s">
        <v>93</v>
      </c>
      <c r="W2" s="11">
        <v>0</v>
      </c>
      <c r="X2" s="11" t="s">
        <v>93</v>
      </c>
      <c r="Y2" s="11"/>
      <c r="Z2" s="12"/>
      <c r="AA2" s="11"/>
      <c r="AB2" s="11"/>
      <c r="AC2" s="1" t="s">
        <v>2792</v>
      </c>
      <c r="AD2" s="1" t="s">
        <v>2793</v>
      </c>
    </row>
    <row r="3" spans="1:30" ht="21.75" customHeight="1" x14ac:dyDescent="0.3">
      <c r="A3" s="1" t="s">
        <v>202</v>
      </c>
      <c r="B3" s="1" t="s">
        <v>4510</v>
      </c>
      <c r="C3" s="1" t="s">
        <v>203</v>
      </c>
      <c r="D3" s="1" t="s">
        <v>210</v>
      </c>
      <c r="E3" s="1" t="s">
        <v>78</v>
      </c>
      <c r="F3" s="1" t="s">
        <v>212</v>
      </c>
      <c r="G3" s="1" t="s">
        <v>213</v>
      </c>
      <c r="H3" s="1" t="s">
        <v>214</v>
      </c>
      <c r="I3" s="1" t="s">
        <v>215</v>
      </c>
      <c r="J3" s="1" t="s">
        <v>214</v>
      </c>
      <c r="K3" s="1"/>
      <c r="L3" s="7"/>
      <c r="M3" s="7" t="s">
        <v>125</v>
      </c>
      <c r="N3" s="7" t="s">
        <v>90</v>
      </c>
      <c r="O3" s="10"/>
      <c r="P3" s="10"/>
      <c r="Q3" s="7"/>
      <c r="R3" s="7"/>
      <c r="S3" s="7" t="s">
        <v>124</v>
      </c>
      <c r="T3" s="10"/>
      <c r="U3" s="11" t="s">
        <v>2794</v>
      </c>
      <c r="V3" s="11" t="s">
        <v>93</v>
      </c>
      <c r="W3" s="11">
        <v>0</v>
      </c>
      <c r="X3" s="11" t="s">
        <v>93</v>
      </c>
      <c r="Y3" s="11"/>
      <c r="Z3" s="12"/>
      <c r="AA3" s="11"/>
      <c r="AB3" s="11"/>
      <c r="AC3" s="1" t="s">
        <v>2795</v>
      </c>
      <c r="AD3" s="1" t="s">
        <v>2796</v>
      </c>
    </row>
    <row r="4" spans="1:30" ht="21.75" customHeight="1" x14ac:dyDescent="0.3">
      <c r="A4" s="1" t="s">
        <v>202</v>
      </c>
      <c r="B4" s="1" t="s">
        <v>4510</v>
      </c>
      <c r="C4" s="1" t="s">
        <v>203</v>
      </c>
      <c r="D4" s="1" t="s">
        <v>216</v>
      </c>
      <c r="E4" s="1" t="s">
        <v>78</v>
      </c>
      <c r="F4" s="1" t="s">
        <v>218</v>
      </c>
      <c r="G4" s="1" t="s">
        <v>219</v>
      </c>
      <c r="H4" s="1" t="s">
        <v>220</v>
      </c>
      <c r="I4" s="1" t="s">
        <v>221</v>
      </c>
      <c r="J4" s="1" t="s">
        <v>220</v>
      </c>
      <c r="K4" s="1" t="s">
        <v>222</v>
      </c>
      <c r="L4" s="7"/>
      <c r="M4" s="7" t="s">
        <v>125</v>
      </c>
      <c r="N4" s="7" t="s">
        <v>90</v>
      </c>
      <c r="O4" s="10"/>
      <c r="P4" s="10"/>
      <c r="Q4" s="7"/>
      <c r="R4" s="7"/>
      <c r="S4" s="7" t="s">
        <v>124</v>
      </c>
      <c r="T4" s="10"/>
      <c r="U4" s="11" t="s">
        <v>2797</v>
      </c>
      <c r="V4" s="11" t="s">
        <v>93</v>
      </c>
      <c r="W4" s="11">
        <v>0</v>
      </c>
      <c r="X4" s="11" t="s">
        <v>93</v>
      </c>
      <c r="Y4" s="11"/>
      <c r="Z4" s="12"/>
      <c r="AA4" s="11"/>
      <c r="AB4" s="11"/>
      <c r="AC4" s="1" t="s">
        <v>2798</v>
      </c>
      <c r="AD4" s="1" t="s">
        <v>2799</v>
      </c>
    </row>
    <row r="5" spans="1:30" ht="21.75" customHeight="1" x14ac:dyDescent="0.3">
      <c r="A5" s="1" t="s">
        <v>202</v>
      </c>
      <c r="B5" s="1" t="s">
        <v>4510</v>
      </c>
      <c r="C5" s="1" t="s">
        <v>203</v>
      </c>
      <c r="D5" s="1" t="s">
        <v>223</v>
      </c>
      <c r="E5" s="1" t="s">
        <v>78</v>
      </c>
      <c r="F5" s="1" t="s">
        <v>225</v>
      </c>
      <c r="G5" s="1" t="s">
        <v>226</v>
      </c>
      <c r="H5" s="1" t="s">
        <v>227</v>
      </c>
      <c r="I5" s="1"/>
      <c r="J5" s="1" t="s">
        <v>227</v>
      </c>
      <c r="K5" s="1"/>
      <c r="L5" s="7"/>
      <c r="M5" s="7" t="s">
        <v>125</v>
      </c>
      <c r="N5" s="7" t="s">
        <v>90</v>
      </c>
      <c r="O5" s="10"/>
      <c r="P5" s="10"/>
      <c r="Q5" s="7"/>
      <c r="R5" s="7"/>
      <c r="S5" s="7" t="s">
        <v>124</v>
      </c>
      <c r="T5" s="10"/>
      <c r="U5" s="11" t="s">
        <v>2800</v>
      </c>
      <c r="V5" s="11" t="s">
        <v>93</v>
      </c>
      <c r="W5" s="11">
        <v>0</v>
      </c>
      <c r="X5" s="11" t="s">
        <v>93</v>
      </c>
      <c r="Y5" s="11"/>
      <c r="Z5" s="12"/>
      <c r="AA5" s="11"/>
      <c r="AB5" s="11"/>
      <c r="AC5" s="1" t="s">
        <v>2801</v>
      </c>
      <c r="AD5" s="1" t="s">
        <v>2802</v>
      </c>
    </row>
    <row r="6" spans="1:30" ht="21.75" customHeight="1" x14ac:dyDescent="0.3">
      <c r="A6" s="1" t="s">
        <v>202</v>
      </c>
      <c r="B6" s="1" t="s">
        <v>4510</v>
      </c>
      <c r="C6" s="1" t="s">
        <v>203</v>
      </c>
      <c r="D6" s="1" t="s">
        <v>228</v>
      </c>
      <c r="E6" s="1" t="s">
        <v>78</v>
      </c>
      <c r="F6" s="1" t="s">
        <v>230</v>
      </c>
      <c r="G6" s="1" t="s">
        <v>231</v>
      </c>
      <c r="H6" s="1" t="s">
        <v>232</v>
      </c>
      <c r="I6" s="1"/>
      <c r="J6" s="1" t="s">
        <v>232</v>
      </c>
      <c r="K6" s="1"/>
      <c r="L6" s="7"/>
      <c r="M6" s="7" t="s">
        <v>125</v>
      </c>
      <c r="N6" s="7" t="s">
        <v>90</v>
      </c>
      <c r="O6" s="10"/>
      <c r="P6" s="10"/>
      <c r="Q6" s="7"/>
      <c r="R6" s="7"/>
      <c r="S6" s="7" t="s">
        <v>124</v>
      </c>
      <c r="T6" s="10"/>
      <c r="U6" s="11" t="s">
        <v>2803</v>
      </c>
      <c r="V6" s="11" t="s">
        <v>93</v>
      </c>
      <c r="W6" s="11">
        <v>0</v>
      </c>
      <c r="X6" s="11" t="s">
        <v>93</v>
      </c>
      <c r="Y6" s="11"/>
      <c r="Z6" s="12"/>
      <c r="AA6" s="11"/>
      <c r="AB6" s="11"/>
      <c r="AC6" s="1" t="s">
        <v>2804</v>
      </c>
      <c r="AD6" s="1" t="s">
        <v>2805</v>
      </c>
    </row>
    <row r="7" spans="1:30" ht="21.75" customHeight="1" x14ac:dyDescent="0.3">
      <c r="A7" s="1" t="s">
        <v>202</v>
      </c>
      <c r="B7" s="1" t="s">
        <v>4510</v>
      </c>
      <c r="C7" s="1" t="s">
        <v>203</v>
      </c>
      <c r="D7" s="1" t="s">
        <v>233</v>
      </c>
      <c r="E7" s="1" t="s">
        <v>78</v>
      </c>
      <c r="F7" s="1" t="s">
        <v>235</v>
      </c>
      <c r="G7" s="1" t="s">
        <v>236</v>
      </c>
      <c r="H7" s="1" t="s">
        <v>237</v>
      </c>
      <c r="I7" s="1"/>
      <c r="J7" s="1" t="s">
        <v>237</v>
      </c>
      <c r="K7" s="1"/>
      <c r="L7" s="7"/>
      <c r="M7" s="7" t="s">
        <v>125</v>
      </c>
      <c r="N7" s="7" t="s">
        <v>90</v>
      </c>
      <c r="O7" s="10"/>
      <c r="P7" s="10"/>
      <c r="Q7" s="7"/>
      <c r="R7" s="7"/>
      <c r="S7" s="7" t="s">
        <v>124</v>
      </c>
      <c r="T7" s="10"/>
      <c r="U7" s="11" t="s">
        <v>2806</v>
      </c>
      <c r="V7" s="11" t="s">
        <v>93</v>
      </c>
      <c r="W7" s="11">
        <v>0</v>
      </c>
      <c r="X7" s="11" t="s">
        <v>93</v>
      </c>
      <c r="Y7" s="11"/>
      <c r="Z7" s="12"/>
      <c r="AA7" s="11"/>
      <c r="AB7" s="11"/>
      <c r="AC7" s="1" t="s">
        <v>2807</v>
      </c>
      <c r="AD7" s="1" t="s">
        <v>2808</v>
      </c>
    </row>
    <row r="8" spans="1:30" ht="21.75" customHeight="1" x14ac:dyDescent="0.3">
      <c r="A8" s="1" t="s">
        <v>202</v>
      </c>
      <c r="B8" s="1" t="s">
        <v>4510</v>
      </c>
      <c r="C8" s="1" t="s">
        <v>203</v>
      </c>
      <c r="D8" s="1" t="s">
        <v>238</v>
      </c>
      <c r="E8" s="1" t="s">
        <v>78</v>
      </c>
      <c r="F8" s="1" t="s">
        <v>240</v>
      </c>
      <c r="G8" s="1" t="s">
        <v>241</v>
      </c>
      <c r="H8" s="1" t="s">
        <v>242</v>
      </c>
      <c r="I8" s="1"/>
      <c r="J8" s="1" t="s">
        <v>242</v>
      </c>
      <c r="K8" s="1"/>
      <c r="L8" s="7"/>
      <c r="M8" s="7" t="s">
        <v>125</v>
      </c>
      <c r="N8" s="7" t="s">
        <v>90</v>
      </c>
      <c r="O8" s="10"/>
      <c r="P8" s="10"/>
      <c r="Q8" s="7"/>
      <c r="R8" s="7"/>
      <c r="S8" s="7" t="s">
        <v>124</v>
      </c>
      <c r="T8" s="10"/>
      <c r="U8" s="11" t="s">
        <v>2809</v>
      </c>
      <c r="V8" s="11" t="s">
        <v>93</v>
      </c>
      <c r="W8" s="11">
        <v>0</v>
      </c>
      <c r="X8" s="11" t="s">
        <v>93</v>
      </c>
      <c r="Y8" s="11"/>
      <c r="Z8" s="12"/>
      <c r="AA8" s="11"/>
      <c r="AB8" s="11"/>
      <c r="AC8" s="1" t="s">
        <v>2810</v>
      </c>
      <c r="AD8" s="1" t="s">
        <v>2811</v>
      </c>
    </row>
    <row r="9" spans="1:30" ht="21.75" customHeight="1" x14ac:dyDescent="0.3">
      <c r="A9" s="1" t="s">
        <v>202</v>
      </c>
      <c r="B9" s="1" t="s">
        <v>4510</v>
      </c>
      <c r="C9" s="1" t="s">
        <v>203</v>
      </c>
      <c r="D9" s="1" t="s">
        <v>243</v>
      </c>
      <c r="E9" s="1" t="s">
        <v>78</v>
      </c>
      <c r="F9" s="1" t="s">
        <v>245</v>
      </c>
      <c r="G9" s="1" t="s">
        <v>246</v>
      </c>
      <c r="H9" s="1" t="s">
        <v>247</v>
      </c>
      <c r="I9" s="1"/>
      <c r="J9" s="1" t="s">
        <v>247</v>
      </c>
      <c r="K9" s="1" t="s">
        <v>248</v>
      </c>
      <c r="L9" s="7"/>
      <c r="M9" s="7" t="s">
        <v>125</v>
      </c>
      <c r="N9" s="7" t="s">
        <v>90</v>
      </c>
      <c r="O9" s="10"/>
      <c r="P9" s="10"/>
      <c r="Q9" s="7"/>
      <c r="R9" s="7"/>
      <c r="S9" s="7" t="s">
        <v>124</v>
      </c>
      <c r="T9" s="10"/>
      <c r="U9" s="11" t="s">
        <v>2812</v>
      </c>
      <c r="V9" s="11" t="s">
        <v>93</v>
      </c>
      <c r="W9" s="11">
        <v>0</v>
      </c>
      <c r="X9" s="11" t="s">
        <v>93</v>
      </c>
      <c r="Y9" s="11"/>
      <c r="Z9" s="12"/>
      <c r="AA9" s="11"/>
      <c r="AB9" s="11"/>
      <c r="AC9" s="1" t="s">
        <v>2813</v>
      </c>
      <c r="AD9" s="1" t="s">
        <v>2814</v>
      </c>
    </row>
    <row r="10" spans="1:30" ht="21.75" customHeight="1" x14ac:dyDescent="0.3">
      <c r="A10" s="1" t="s">
        <v>202</v>
      </c>
      <c r="B10" s="1" t="s">
        <v>4510</v>
      </c>
      <c r="C10" s="1" t="s">
        <v>203</v>
      </c>
      <c r="D10" s="1" t="s">
        <v>249</v>
      </c>
      <c r="E10" s="1" t="s">
        <v>78</v>
      </c>
      <c r="F10" s="1" t="s">
        <v>251</v>
      </c>
      <c r="G10" s="1" t="s">
        <v>252</v>
      </c>
      <c r="H10" s="1" t="s">
        <v>253</v>
      </c>
      <c r="I10" s="1" t="s">
        <v>254</v>
      </c>
      <c r="J10" s="1" t="s">
        <v>253</v>
      </c>
      <c r="K10" s="1" t="s">
        <v>255</v>
      </c>
      <c r="L10" s="7"/>
      <c r="M10" s="7" t="s">
        <v>125</v>
      </c>
      <c r="N10" s="7" t="s">
        <v>90</v>
      </c>
      <c r="O10" s="10"/>
      <c r="P10" s="10"/>
      <c r="Q10" s="7"/>
      <c r="R10" s="7"/>
      <c r="S10" s="7" t="s">
        <v>124</v>
      </c>
      <c r="T10" s="10"/>
      <c r="U10" s="11" t="s">
        <v>2815</v>
      </c>
      <c r="V10" s="11" t="s">
        <v>93</v>
      </c>
      <c r="W10" s="11">
        <v>0</v>
      </c>
      <c r="X10" s="11" t="s">
        <v>93</v>
      </c>
      <c r="Y10" s="11"/>
      <c r="Z10" s="12"/>
      <c r="AA10" s="11"/>
      <c r="AB10" s="11"/>
      <c r="AC10" s="1" t="s">
        <v>2816</v>
      </c>
      <c r="AD10" s="1" t="s">
        <v>2817</v>
      </c>
    </row>
    <row r="11" spans="1:30" ht="21.75" customHeight="1" x14ac:dyDescent="0.3">
      <c r="A11" s="1" t="s">
        <v>202</v>
      </c>
      <c r="B11" s="1" t="s">
        <v>4510</v>
      </c>
      <c r="C11" s="1" t="s">
        <v>203</v>
      </c>
      <c r="D11" s="1" t="s">
        <v>256</v>
      </c>
      <c r="E11" s="1" t="s">
        <v>78</v>
      </c>
      <c r="F11" s="1" t="s">
        <v>258</v>
      </c>
      <c r="G11" s="1" t="s">
        <v>259</v>
      </c>
      <c r="H11" s="1" t="s">
        <v>260</v>
      </c>
      <c r="I11" s="1"/>
      <c r="J11" s="1" t="s">
        <v>260</v>
      </c>
      <c r="K11" s="1"/>
      <c r="L11" s="7"/>
      <c r="M11" s="7" t="s">
        <v>125</v>
      </c>
      <c r="N11" s="7" t="s">
        <v>90</v>
      </c>
      <c r="O11" s="10"/>
      <c r="P11" s="10"/>
      <c r="Q11" s="7"/>
      <c r="R11" s="7"/>
      <c r="S11" s="7" t="s">
        <v>124</v>
      </c>
      <c r="T11" s="10"/>
      <c r="U11" s="11" t="s">
        <v>2818</v>
      </c>
      <c r="V11" s="11" t="s">
        <v>93</v>
      </c>
      <c r="W11" s="11">
        <v>0</v>
      </c>
      <c r="X11" s="11" t="s">
        <v>93</v>
      </c>
      <c r="Y11" s="11"/>
      <c r="Z11" s="12"/>
      <c r="AA11" s="11"/>
      <c r="AB11" s="11"/>
      <c r="AC11" s="1" t="s">
        <v>2819</v>
      </c>
      <c r="AD11" s="1" t="s">
        <v>2820</v>
      </c>
    </row>
    <row r="12" spans="1:30" ht="21.75" customHeight="1" x14ac:dyDescent="0.3">
      <c r="A12" s="1" t="s">
        <v>202</v>
      </c>
      <c r="B12" s="1" t="s">
        <v>4510</v>
      </c>
      <c r="C12" s="1" t="s">
        <v>203</v>
      </c>
      <c r="D12" s="1" t="s">
        <v>261</v>
      </c>
      <c r="E12" s="1" t="s">
        <v>78</v>
      </c>
      <c r="F12" s="1" t="s">
        <v>264</v>
      </c>
      <c r="G12" s="1" t="s">
        <v>265</v>
      </c>
      <c r="H12" s="1" t="s">
        <v>266</v>
      </c>
      <c r="I12" s="1" t="s">
        <v>267</v>
      </c>
      <c r="J12" s="1" t="s">
        <v>266</v>
      </c>
      <c r="K12" s="1" t="s">
        <v>268</v>
      </c>
      <c r="L12" s="7"/>
      <c r="M12" s="7" t="s">
        <v>125</v>
      </c>
      <c r="N12" s="7" t="s">
        <v>90</v>
      </c>
      <c r="O12" s="10"/>
      <c r="P12" s="10"/>
      <c r="Q12" s="7"/>
      <c r="R12" s="7"/>
      <c r="S12" s="7" t="s">
        <v>124</v>
      </c>
      <c r="T12" s="10"/>
      <c r="U12" s="11" t="s">
        <v>2821</v>
      </c>
      <c r="V12" s="11" t="s">
        <v>93</v>
      </c>
      <c r="W12" s="11">
        <v>0</v>
      </c>
      <c r="X12" s="11" t="s">
        <v>93</v>
      </c>
      <c r="Y12" s="11"/>
      <c r="Z12" s="12"/>
      <c r="AA12" s="11"/>
      <c r="AB12" s="11"/>
      <c r="AC12" s="1" t="s">
        <v>2822</v>
      </c>
      <c r="AD12" s="1" t="s">
        <v>2823</v>
      </c>
    </row>
    <row r="13" spans="1:30" ht="21.75" customHeight="1" x14ac:dyDescent="0.3">
      <c r="A13" s="1" t="s">
        <v>202</v>
      </c>
      <c r="B13" s="1" t="s">
        <v>4510</v>
      </c>
      <c r="C13" s="1" t="s">
        <v>203</v>
      </c>
      <c r="D13" s="1" t="s">
        <v>269</v>
      </c>
      <c r="E13" s="1" t="s">
        <v>78</v>
      </c>
      <c r="F13" s="1" t="s">
        <v>272</v>
      </c>
      <c r="G13" s="1" t="s">
        <v>273</v>
      </c>
      <c r="H13" s="1" t="s">
        <v>274</v>
      </c>
      <c r="I13" s="1" t="s">
        <v>275</v>
      </c>
      <c r="J13" s="1" t="s">
        <v>274</v>
      </c>
      <c r="K13" s="1" t="s">
        <v>276</v>
      </c>
      <c r="L13" s="7"/>
      <c r="M13" s="7" t="s">
        <v>125</v>
      </c>
      <c r="N13" s="7" t="s">
        <v>90</v>
      </c>
      <c r="O13" s="10"/>
      <c r="P13" s="10"/>
      <c r="Q13" s="7"/>
      <c r="R13" s="7"/>
      <c r="S13" s="7" t="s">
        <v>124</v>
      </c>
      <c r="T13" s="10"/>
      <c r="U13" s="11" t="s">
        <v>2824</v>
      </c>
      <c r="V13" s="11" t="s">
        <v>93</v>
      </c>
      <c r="W13" s="11">
        <v>0</v>
      </c>
      <c r="X13" s="11" t="s">
        <v>93</v>
      </c>
      <c r="Y13" s="11"/>
      <c r="Z13" s="12"/>
      <c r="AA13" s="11"/>
      <c r="AB13" s="11"/>
      <c r="AC13" s="1" t="s">
        <v>2825</v>
      </c>
      <c r="AD13" s="1" t="s">
        <v>2826</v>
      </c>
    </row>
    <row r="14" spans="1:30" ht="21.75" customHeight="1" x14ac:dyDescent="0.3">
      <c r="A14" s="1" t="s">
        <v>202</v>
      </c>
      <c r="B14" s="1" t="s">
        <v>4510</v>
      </c>
      <c r="C14" s="1" t="s">
        <v>203</v>
      </c>
      <c r="D14" s="1" t="s">
        <v>277</v>
      </c>
      <c r="E14" s="1" t="s">
        <v>78</v>
      </c>
      <c r="F14" s="1" t="s">
        <v>279</v>
      </c>
      <c r="G14" s="1" t="s">
        <v>280</v>
      </c>
      <c r="H14" s="1" t="s">
        <v>281</v>
      </c>
      <c r="I14" s="1"/>
      <c r="J14" s="1" t="s">
        <v>281</v>
      </c>
      <c r="K14" s="1"/>
      <c r="L14" s="7"/>
      <c r="M14" s="7" t="s">
        <v>125</v>
      </c>
      <c r="N14" s="7" t="s">
        <v>90</v>
      </c>
      <c r="O14" s="10"/>
      <c r="P14" s="10"/>
      <c r="Q14" s="7"/>
      <c r="R14" s="7"/>
      <c r="S14" s="7" t="s">
        <v>124</v>
      </c>
      <c r="T14" s="10"/>
      <c r="U14" s="11" t="s">
        <v>2827</v>
      </c>
      <c r="V14" s="11" t="s">
        <v>93</v>
      </c>
      <c r="W14" s="11">
        <v>0</v>
      </c>
      <c r="X14" s="11" t="s">
        <v>93</v>
      </c>
      <c r="Y14" s="11"/>
      <c r="Z14" s="12"/>
      <c r="AA14" s="11"/>
      <c r="AB14" s="11"/>
      <c r="AC14" s="1" t="s">
        <v>2828</v>
      </c>
      <c r="AD14" s="1" t="s">
        <v>2829</v>
      </c>
    </row>
    <row r="15" spans="1:30" ht="21.75" customHeight="1" x14ac:dyDescent="0.3">
      <c r="A15" s="1" t="s">
        <v>202</v>
      </c>
      <c r="B15" s="1" t="s">
        <v>4510</v>
      </c>
      <c r="C15" s="1" t="s">
        <v>203</v>
      </c>
      <c r="D15" s="1" t="s">
        <v>282</v>
      </c>
      <c r="E15" s="1" t="s">
        <v>78</v>
      </c>
      <c r="F15" s="1" t="s">
        <v>284</v>
      </c>
      <c r="G15" s="1" t="s">
        <v>285</v>
      </c>
      <c r="H15" s="1" t="s">
        <v>286</v>
      </c>
      <c r="I15" s="1"/>
      <c r="J15" s="1" t="s">
        <v>286</v>
      </c>
      <c r="K15" s="1"/>
      <c r="L15" s="7"/>
      <c r="M15" s="7" t="s">
        <v>125</v>
      </c>
      <c r="N15" s="7" t="s">
        <v>90</v>
      </c>
      <c r="O15" s="10"/>
      <c r="P15" s="10"/>
      <c r="Q15" s="7"/>
      <c r="R15" s="7"/>
      <c r="S15" s="7" t="s">
        <v>124</v>
      </c>
      <c r="T15" s="10"/>
      <c r="U15" s="11" t="s">
        <v>2830</v>
      </c>
      <c r="V15" s="11" t="s">
        <v>93</v>
      </c>
      <c r="W15" s="11">
        <v>0</v>
      </c>
      <c r="X15" s="11" t="s">
        <v>93</v>
      </c>
      <c r="Y15" s="11"/>
      <c r="Z15" s="12"/>
      <c r="AA15" s="11"/>
      <c r="AB15" s="11"/>
      <c r="AC15" s="1" t="s">
        <v>2831</v>
      </c>
      <c r="AD15" s="1" t="s">
        <v>2832</v>
      </c>
    </row>
    <row r="16" spans="1:30" ht="21.75" customHeight="1" x14ac:dyDescent="0.3">
      <c r="A16" s="1" t="s">
        <v>202</v>
      </c>
      <c r="B16" s="1" t="s">
        <v>4510</v>
      </c>
      <c r="C16" s="1" t="s">
        <v>203</v>
      </c>
      <c r="D16" s="1" t="s">
        <v>287</v>
      </c>
      <c r="E16" s="1" t="s">
        <v>78</v>
      </c>
      <c r="F16" s="1" t="s">
        <v>284</v>
      </c>
      <c r="G16" s="1" t="s">
        <v>289</v>
      </c>
      <c r="H16" s="1" t="s">
        <v>290</v>
      </c>
      <c r="I16" s="1"/>
      <c r="J16" s="1" t="s">
        <v>290</v>
      </c>
      <c r="K16" s="1"/>
      <c r="L16" s="7"/>
      <c r="M16" s="7" t="s">
        <v>125</v>
      </c>
      <c r="N16" s="7" t="s">
        <v>90</v>
      </c>
      <c r="O16" s="10"/>
      <c r="P16" s="10"/>
      <c r="Q16" s="7"/>
      <c r="R16" s="7"/>
      <c r="S16" s="7" t="s">
        <v>124</v>
      </c>
      <c r="T16" s="10"/>
      <c r="U16" s="11" t="s">
        <v>2833</v>
      </c>
      <c r="V16" s="11" t="s">
        <v>93</v>
      </c>
      <c r="W16" s="11">
        <v>0</v>
      </c>
      <c r="X16" s="11" t="s">
        <v>93</v>
      </c>
      <c r="Y16" s="11"/>
      <c r="Z16" s="12"/>
      <c r="AA16" s="11"/>
      <c r="AB16" s="11"/>
      <c r="AC16" s="1" t="s">
        <v>2834</v>
      </c>
      <c r="AD16" s="1" t="s">
        <v>2835</v>
      </c>
    </row>
    <row r="17" spans="1:30" ht="21.75" customHeight="1" x14ac:dyDescent="0.3">
      <c r="A17" s="1" t="s">
        <v>202</v>
      </c>
      <c r="B17" s="1" t="s">
        <v>4510</v>
      </c>
      <c r="C17" s="1" t="s">
        <v>203</v>
      </c>
      <c r="D17" s="1" t="s">
        <v>291</v>
      </c>
      <c r="E17" s="1" t="s">
        <v>78</v>
      </c>
      <c r="F17" s="1" t="s">
        <v>294</v>
      </c>
      <c r="G17" s="1" t="s">
        <v>295</v>
      </c>
      <c r="H17" s="1" t="s">
        <v>296</v>
      </c>
      <c r="I17" s="1"/>
      <c r="J17" s="1" t="s">
        <v>296</v>
      </c>
      <c r="K17" s="1"/>
      <c r="L17" s="7"/>
      <c r="M17" s="7" t="s">
        <v>125</v>
      </c>
      <c r="N17" s="7" t="s">
        <v>90</v>
      </c>
      <c r="O17" s="10"/>
      <c r="P17" s="10"/>
      <c r="Q17" s="7"/>
      <c r="R17" s="7"/>
      <c r="S17" s="7" t="s">
        <v>124</v>
      </c>
      <c r="T17" s="10"/>
      <c r="U17" s="11" t="s">
        <v>2836</v>
      </c>
      <c r="V17" s="11" t="s">
        <v>93</v>
      </c>
      <c r="W17" s="11">
        <v>0</v>
      </c>
      <c r="X17" s="11" t="s">
        <v>93</v>
      </c>
      <c r="Y17" s="11"/>
      <c r="Z17" s="12"/>
      <c r="AA17" s="11"/>
      <c r="AB17" s="11"/>
      <c r="AC17" s="1" t="s">
        <v>2837</v>
      </c>
      <c r="AD17" s="1" t="s">
        <v>2838</v>
      </c>
    </row>
    <row r="18" spans="1:30" ht="21.75" customHeight="1" x14ac:dyDescent="0.3">
      <c r="A18" s="1" t="s">
        <v>202</v>
      </c>
      <c r="B18" s="1" t="s">
        <v>4510</v>
      </c>
      <c r="C18" s="1" t="s">
        <v>203</v>
      </c>
      <c r="D18" s="1" t="s">
        <v>297</v>
      </c>
      <c r="E18" s="1" t="s">
        <v>78</v>
      </c>
      <c r="F18" s="1" t="s">
        <v>299</v>
      </c>
      <c r="G18" s="1" t="s">
        <v>300</v>
      </c>
      <c r="H18" s="1" t="s">
        <v>301</v>
      </c>
      <c r="I18" s="1" t="s">
        <v>302</v>
      </c>
      <c r="J18" s="1" t="s">
        <v>301</v>
      </c>
      <c r="K18" s="1"/>
      <c r="L18" s="7"/>
      <c r="M18" s="7" t="s">
        <v>125</v>
      </c>
      <c r="N18" s="7" t="s">
        <v>90</v>
      </c>
      <c r="O18" s="10"/>
      <c r="P18" s="10"/>
      <c r="Q18" s="7"/>
      <c r="R18" s="7"/>
      <c r="S18" s="7" t="s">
        <v>124</v>
      </c>
      <c r="T18" s="10"/>
      <c r="U18" s="11" t="s">
        <v>2839</v>
      </c>
      <c r="V18" s="11" t="s">
        <v>93</v>
      </c>
      <c r="W18" s="11">
        <v>0</v>
      </c>
      <c r="X18" s="11" t="s">
        <v>93</v>
      </c>
      <c r="Y18" s="11"/>
      <c r="Z18" s="12"/>
      <c r="AA18" s="11"/>
      <c r="AB18" s="11"/>
      <c r="AC18" s="1" t="s">
        <v>2840</v>
      </c>
      <c r="AD18" s="1" t="s">
        <v>2841</v>
      </c>
    </row>
    <row r="19" spans="1:30" ht="21.75" customHeight="1" x14ac:dyDescent="0.3">
      <c r="A19" s="1" t="s">
        <v>202</v>
      </c>
      <c r="B19" s="1" t="s">
        <v>4510</v>
      </c>
      <c r="C19" s="1" t="s">
        <v>203</v>
      </c>
      <c r="D19" s="1" t="s">
        <v>303</v>
      </c>
      <c r="E19" s="1" t="s">
        <v>78</v>
      </c>
      <c r="F19" s="1" t="s">
        <v>305</v>
      </c>
      <c r="G19" s="1" t="s">
        <v>306</v>
      </c>
      <c r="H19" s="1" t="s">
        <v>307</v>
      </c>
      <c r="I19" s="1" t="s">
        <v>308</v>
      </c>
      <c r="J19" s="1" t="s">
        <v>307</v>
      </c>
      <c r="K19" s="1"/>
      <c r="L19" s="7"/>
      <c r="M19" s="7" t="s">
        <v>125</v>
      </c>
      <c r="N19" s="7" t="s">
        <v>90</v>
      </c>
      <c r="O19" s="10"/>
      <c r="P19" s="10"/>
      <c r="Q19" s="7"/>
      <c r="R19" s="7"/>
      <c r="S19" s="7" t="s">
        <v>124</v>
      </c>
      <c r="T19" s="10"/>
      <c r="U19" s="11" t="s">
        <v>2842</v>
      </c>
      <c r="V19" s="11" t="s">
        <v>93</v>
      </c>
      <c r="W19" s="11">
        <v>0</v>
      </c>
      <c r="X19" s="11" t="s">
        <v>93</v>
      </c>
      <c r="Y19" s="11"/>
      <c r="Z19" s="12"/>
      <c r="AA19" s="11"/>
      <c r="AB19" s="11"/>
      <c r="AC19" s="1" t="s">
        <v>2843</v>
      </c>
      <c r="AD19" s="1" t="s">
        <v>2844</v>
      </c>
    </row>
    <row r="20" spans="1:30" ht="21.75" customHeight="1" x14ac:dyDescent="0.3">
      <c r="A20" s="1" t="s">
        <v>202</v>
      </c>
      <c r="B20" s="1" t="s">
        <v>4510</v>
      </c>
      <c r="C20" s="1" t="s">
        <v>203</v>
      </c>
      <c r="D20" s="1" t="s">
        <v>309</v>
      </c>
      <c r="E20" s="1" t="s">
        <v>78</v>
      </c>
      <c r="F20" s="1" t="s">
        <v>311</v>
      </c>
      <c r="G20" s="1" t="s">
        <v>312</v>
      </c>
      <c r="H20" s="1" t="s">
        <v>313</v>
      </c>
      <c r="I20" s="1" t="s">
        <v>314</v>
      </c>
      <c r="J20" s="1" t="s">
        <v>313</v>
      </c>
      <c r="K20" s="1"/>
      <c r="L20" s="7"/>
      <c r="M20" s="7" t="s">
        <v>125</v>
      </c>
      <c r="N20" s="7" t="s">
        <v>90</v>
      </c>
      <c r="O20" s="10"/>
      <c r="P20" s="10"/>
      <c r="Q20" s="7"/>
      <c r="R20" s="7"/>
      <c r="S20" s="7" t="s">
        <v>124</v>
      </c>
      <c r="T20" s="10"/>
      <c r="U20" s="11" t="s">
        <v>2845</v>
      </c>
      <c r="V20" s="11" t="s">
        <v>93</v>
      </c>
      <c r="W20" s="11">
        <v>0</v>
      </c>
      <c r="X20" s="11" t="s">
        <v>93</v>
      </c>
      <c r="Y20" s="11"/>
      <c r="Z20" s="12"/>
      <c r="AA20" s="11"/>
      <c r="AB20" s="11"/>
      <c r="AC20" s="1" t="s">
        <v>2846</v>
      </c>
      <c r="AD20" s="1" t="s">
        <v>2847</v>
      </c>
    </row>
    <row r="21" spans="1:30" ht="187.2" x14ac:dyDescent="0.3">
      <c r="A21" s="1" t="s">
        <v>202</v>
      </c>
      <c r="B21" s="1" t="s">
        <v>4510</v>
      </c>
      <c r="C21" s="1" t="s">
        <v>203</v>
      </c>
      <c r="D21" s="1" t="s">
        <v>315</v>
      </c>
      <c r="E21" s="1" t="s">
        <v>78</v>
      </c>
      <c r="F21" s="1" t="s">
        <v>318</v>
      </c>
      <c r="G21" s="1" t="s">
        <v>319</v>
      </c>
      <c r="H21" s="1" t="s">
        <v>320</v>
      </c>
      <c r="I21" s="1"/>
      <c r="J21" s="1" t="s">
        <v>320</v>
      </c>
      <c r="K21" s="1"/>
      <c r="L21" s="7"/>
      <c r="M21" s="7" t="s">
        <v>125</v>
      </c>
      <c r="N21" s="7" t="s">
        <v>90</v>
      </c>
      <c r="O21" s="10"/>
      <c r="P21" s="10"/>
      <c r="Q21" s="7"/>
      <c r="R21" s="7"/>
      <c r="S21" s="7" t="s">
        <v>124</v>
      </c>
      <c r="T21" s="10"/>
      <c r="U21" s="11" t="s">
        <v>2848</v>
      </c>
      <c r="V21" s="11" t="s">
        <v>93</v>
      </c>
      <c r="W21" s="11">
        <v>0</v>
      </c>
      <c r="X21" s="11" t="s">
        <v>93</v>
      </c>
      <c r="Y21" s="11"/>
      <c r="Z21" s="12"/>
      <c r="AA21" s="11"/>
      <c r="AB21" s="11"/>
      <c r="AC21" s="1" t="s">
        <v>2849</v>
      </c>
      <c r="AD21" s="1" t="s">
        <v>2850</v>
      </c>
    </row>
    <row r="22" spans="1:30" ht="187.2" x14ac:dyDescent="0.3">
      <c r="A22" s="1" t="s">
        <v>202</v>
      </c>
      <c r="B22" s="1" t="s">
        <v>4510</v>
      </c>
      <c r="C22" s="1" t="s">
        <v>203</v>
      </c>
      <c r="D22" s="1" t="s">
        <v>321</v>
      </c>
      <c r="E22" s="1" t="s">
        <v>78</v>
      </c>
      <c r="F22" s="1" t="s">
        <v>323</v>
      </c>
      <c r="G22" s="1" t="s">
        <v>324</v>
      </c>
      <c r="H22" s="1" t="s">
        <v>325</v>
      </c>
      <c r="I22" s="1" t="s">
        <v>326</v>
      </c>
      <c r="J22" s="1" t="s">
        <v>325</v>
      </c>
      <c r="K22" s="1" t="s">
        <v>327</v>
      </c>
      <c r="L22" s="7"/>
      <c r="M22" s="7" t="s">
        <v>125</v>
      </c>
      <c r="N22" s="7" t="s">
        <v>90</v>
      </c>
      <c r="O22" s="10"/>
      <c r="P22" s="10"/>
      <c r="Q22" s="7"/>
      <c r="R22" s="7"/>
      <c r="S22" s="7" t="s">
        <v>124</v>
      </c>
      <c r="T22" s="10"/>
      <c r="U22" s="11" t="s">
        <v>2851</v>
      </c>
      <c r="V22" s="11" t="s">
        <v>93</v>
      </c>
      <c r="W22" s="11">
        <v>0</v>
      </c>
      <c r="X22" s="11" t="s">
        <v>93</v>
      </c>
      <c r="Y22" s="11"/>
      <c r="Z22" s="12"/>
      <c r="AA22" s="11"/>
      <c r="AB22" s="11"/>
      <c r="AC22" s="1" t="s">
        <v>2852</v>
      </c>
      <c r="AD22" s="1" t="s">
        <v>2853</v>
      </c>
    </row>
    <row r="23" spans="1:30" ht="187.2" x14ac:dyDescent="0.3">
      <c r="A23" s="1" t="s">
        <v>202</v>
      </c>
      <c r="B23" s="1" t="s">
        <v>4510</v>
      </c>
      <c r="C23" s="1" t="s">
        <v>203</v>
      </c>
      <c r="D23" s="1" t="s">
        <v>328</v>
      </c>
      <c r="E23" s="1" t="s">
        <v>78</v>
      </c>
      <c r="F23" s="1" t="s">
        <v>294</v>
      </c>
      <c r="G23" s="1" t="s">
        <v>330</v>
      </c>
      <c r="H23" s="1" t="s">
        <v>331</v>
      </c>
      <c r="I23" s="1"/>
      <c r="J23" s="1" t="s">
        <v>331</v>
      </c>
      <c r="K23" s="1"/>
      <c r="L23" s="7"/>
      <c r="M23" s="7" t="s">
        <v>125</v>
      </c>
      <c r="N23" s="7" t="s">
        <v>90</v>
      </c>
      <c r="O23" s="10"/>
      <c r="P23" s="10"/>
      <c r="Q23" s="7"/>
      <c r="R23" s="7"/>
      <c r="S23" s="7" t="s">
        <v>124</v>
      </c>
      <c r="T23" s="10"/>
      <c r="U23" s="11" t="s">
        <v>2854</v>
      </c>
      <c r="V23" s="11" t="s">
        <v>93</v>
      </c>
      <c r="W23" s="11">
        <v>0</v>
      </c>
      <c r="X23" s="11" t="s">
        <v>93</v>
      </c>
      <c r="Y23" s="11"/>
      <c r="Z23" s="12"/>
      <c r="AA23" s="11"/>
      <c r="AB23" s="11"/>
      <c r="AC23" s="1" t="s">
        <v>2855</v>
      </c>
      <c r="AD23" s="1" t="s">
        <v>2856</v>
      </c>
    </row>
    <row r="24" spans="1:30" ht="187.2" x14ac:dyDescent="0.3">
      <c r="A24" s="1" t="s">
        <v>202</v>
      </c>
      <c r="B24" s="1" t="s">
        <v>4510</v>
      </c>
      <c r="C24" s="1" t="s">
        <v>203</v>
      </c>
      <c r="D24" s="1" t="s">
        <v>332</v>
      </c>
      <c r="E24" s="1" t="s">
        <v>78</v>
      </c>
      <c r="F24" s="1" t="s">
        <v>334</v>
      </c>
      <c r="G24" s="1" t="s">
        <v>335</v>
      </c>
      <c r="H24" s="1" t="s">
        <v>336</v>
      </c>
      <c r="I24" s="1"/>
      <c r="J24" s="1" t="s">
        <v>336</v>
      </c>
      <c r="K24" s="1" t="s">
        <v>337</v>
      </c>
      <c r="L24" s="7"/>
      <c r="M24" s="7" t="s">
        <v>125</v>
      </c>
      <c r="N24" s="7" t="s">
        <v>90</v>
      </c>
      <c r="O24" s="10"/>
      <c r="P24" s="10"/>
      <c r="Q24" s="7"/>
      <c r="R24" s="7"/>
      <c r="S24" s="7" t="s">
        <v>124</v>
      </c>
      <c r="T24" s="10"/>
      <c r="U24" s="11" t="s">
        <v>2857</v>
      </c>
      <c r="V24" s="11" t="s">
        <v>93</v>
      </c>
      <c r="W24" s="11">
        <v>0</v>
      </c>
      <c r="X24" s="11" t="s">
        <v>93</v>
      </c>
      <c r="Y24" s="11"/>
      <c r="Z24" s="12"/>
      <c r="AA24" s="11"/>
      <c r="AB24" s="11"/>
      <c r="AC24" s="1" t="s">
        <v>2858</v>
      </c>
      <c r="AD24" s="1" t="s">
        <v>2859</v>
      </c>
    </row>
    <row r="25" spans="1:30" ht="187.2" x14ac:dyDescent="0.3">
      <c r="A25" s="1" t="s">
        <v>202</v>
      </c>
      <c r="B25" s="1" t="s">
        <v>4510</v>
      </c>
      <c r="C25" s="1" t="s">
        <v>203</v>
      </c>
      <c r="D25" s="1" t="s">
        <v>338</v>
      </c>
      <c r="E25" s="1" t="s">
        <v>78</v>
      </c>
      <c r="F25" s="1" t="s">
        <v>334</v>
      </c>
      <c r="G25" s="1" t="s">
        <v>340</v>
      </c>
      <c r="H25" s="1" t="s">
        <v>341</v>
      </c>
      <c r="I25" s="1"/>
      <c r="J25" s="1" t="s">
        <v>341</v>
      </c>
      <c r="K25" s="1"/>
      <c r="L25" s="7"/>
      <c r="M25" s="7" t="s">
        <v>125</v>
      </c>
      <c r="N25" s="7" t="s">
        <v>90</v>
      </c>
      <c r="O25" s="10"/>
      <c r="P25" s="10"/>
      <c r="Q25" s="7"/>
      <c r="R25" s="7"/>
      <c r="S25" s="7" t="s">
        <v>124</v>
      </c>
      <c r="T25" s="10"/>
      <c r="U25" s="11" t="s">
        <v>2860</v>
      </c>
      <c r="V25" s="11" t="s">
        <v>93</v>
      </c>
      <c r="W25" s="11">
        <v>0</v>
      </c>
      <c r="X25" s="11" t="s">
        <v>93</v>
      </c>
      <c r="Y25" s="11"/>
      <c r="Z25" s="12"/>
      <c r="AA25" s="11"/>
      <c r="AB25" s="11"/>
      <c r="AC25" s="1" t="s">
        <v>2861</v>
      </c>
      <c r="AD25" s="1" t="s">
        <v>2862</v>
      </c>
    </row>
    <row r="26" spans="1:30" ht="187.2" x14ac:dyDescent="0.3">
      <c r="A26" s="1" t="s">
        <v>202</v>
      </c>
      <c r="B26" s="1" t="s">
        <v>4510</v>
      </c>
      <c r="C26" s="1" t="s">
        <v>203</v>
      </c>
      <c r="D26" s="1" t="s">
        <v>342</v>
      </c>
      <c r="E26" s="1" t="s">
        <v>78</v>
      </c>
      <c r="F26" s="1" t="s">
        <v>344</v>
      </c>
      <c r="G26" s="1" t="s">
        <v>345</v>
      </c>
      <c r="H26" s="1" t="s">
        <v>346</v>
      </c>
      <c r="I26" s="1"/>
      <c r="J26" s="1" t="s">
        <v>346</v>
      </c>
      <c r="K26" s="1"/>
      <c r="L26" s="7"/>
      <c r="M26" s="7" t="s">
        <v>125</v>
      </c>
      <c r="N26" s="7" t="s">
        <v>90</v>
      </c>
      <c r="O26" s="10"/>
      <c r="P26" s="10"/>
      <c r="Q26" s="7"/>
      <c r="R26" s="7"/>
      <c r="S26" s="7" t="s">
        <v>124</v>
      </c>
      <c r="T26" s="10"/>
      <c r="U26" s="11" t="s">
        <v>2863</v>
      </c>
      <c r="V26" s="11" t="s">
        <v>93</v>
      </c>
      <c r="W26" s="11">
        <v>0</v>
      </c>
      <c r="X26" s="11" t="s">
        <v>93</v>
      </c>
      <c r="Y26" s="11"/>
      <c r="Z26" s="12"/>
      <c r="AA26" s="11"/>
      <c r="AB26" s="11"/>
      <c r="AC26" s="1" t="s">
        <v>2864</v>
      </c>
      <c r="AD26" s="1" t="s">
        <v>2865</v>
      </c>
    </row>
    <row r="27" spans="1:30" ht="187.2" x14ac:dyDescent="0.3">
      <c r="A27" s="1" t="s">
        <v>202</v>
      </c>
      <c r="B27" s="1" t="s">
        <v>4510</v>
      </c>
      <c r="C27" s="1" t="s">
        <v>203</v>
      </c>
      <c r="D27" s="1" t="s">
        <v>347</v>
      </c>
      <c r="E27" s="1" t="s">
        <v>78</v>
      </c>
      <c r="F27" s="1" t="s">
        <v>349</v>
      </c>
      <c r="G27" s="1" t="s">
        <v>350</v>
      </c>
      <c r="H27" s="1" t="s">
        <v>351</v>
      </c>
      <c r="I27" s="1" t="s">
        <v>352</v>
      </c>
      <c r="J27" s="1" t="s">
        <v>351</v>
      </c>
      <c r="K27" s="1" t="s">
        <v>353</v>
      </c>
      <c r="L27" s="7"/>
      <c r="M27" s="7" t="s">
        <v>125</v>
      </c>
      <c r="N27" s="7" t="s">
        <v>90</v>
      </c>
      <c r="O27" s="10"/>
      <c r="P27" s="10"/>
      <c r="Q27" s="7"/>
      <c r="R27" s="7"/>
      <c r="S27" s="7" t="s">
        <v>124</v>
      </c>
      <c r="T27" s="10"/>
      <c r="U27" s="11" t="s">
        <v>2866</v>
      </c>
      <c r="V27" s="11" t="s">
        <v>93</v>
      </c>
      <c r="W27" s="11">
        <v>0</v>
      </c>
      <c r="X27" s="11" t="s">
        <v>93</v>
      </c>
      <c r="Y27" s="11"/>
      <c r="Z27" s="12"/>
      <c r="AA27" s="11"/>
      <c r="AB27" s="11"/>
      <c r="AC27" s="1" t="s">
        <v>2867</v>
      </c>
      <c r="AD27" s="1" t="s">
        <v>2868</v>
      </c>
    </row>
    <row r="28" spans="1:30" ht="187.2" x14ac:dyDescent="0.3">
      <c r="A28" s="1" t="s">
        <v>202</v>
      </c>
      <c r="B28" s="1" t="s">
        <v>4510</v>
      </c>
      <c r="C28" s="1" t="s">
        <v>203</v>
      </c>
      <c r="D28" s="1" t="s">
        <v>354</v>
      </c>
      <c r="E28" s="1" t="s">
        <v>78</v>
      </c>
      <c r="F28" s="1" t="s">
        <v>356</v>
      </c>
      <c r="G28" s="1" t="s">
        <v>357</v>
      </c>
      <c r="H28" s="1" t="s">
        <v>358</v>
      </c>
      <c r="I28" s="1" t="s">
        <v>359</v>
      </c>
      <c r="J28" s="1" t="s">
        <v>358</v>
      </c>
      <c r="K28" s="1" t="s">
        <v>360</v>
      </c>
      <c r="L28" s="7"/>
      <c r="M28" s="7" t="s">
        <v>125</v>
      </c>
      <c r="N28" s="7" t="s">
        <v>90</v>
      </c>
      <c r="O28" s="10"/>
      <c r="P28" s="10"/>
      <c r="Q28" s="7"/>
      <c r="R28" s="7"/>
      <c r="S28" s="7" t="s">
        <v>124</v>
      </c>
      <c r="T28" s="10"/>
      <c r="U28" s="11" t="s">
        <v>2869</v>
      </c>
      <c r="V28" s="11" t="s">
        <v>93</v>
      </c>
      <c r="W28" s="11">
        <v>0</v>
      </c>
      <c r="X28" s="11" t="s">
        <v>93</v>
      </c>
      <c r="Y28" s="11"/>
      <c r="Z28" s="12"/>
      <c r="AA28" s="11"/>
      <c r="AB28" s="11"/>
      <c r="AC28" s="1" t="s">
        <v>2870</v>
      </c>
      <c r="AD28" s="1" t="s">
        <v>2871</v>
      </c>
    </row>
    <row r="29" spans="1:30" ht="187.2" x14ac:dyDescent="0.3">
      <c r="A29" s="1" t="s">
        <v>202</v>
      </c>
      <c r="B29" s="1" t="s">
        <v>4510</v>
      </c>
      <c r="C29" s="1" t="s">
        <v>203</v>
      </c>
      <c r="D29" s="1" t="s">
        <v>361</v>
      </c>
      <c r="E29" s="1" t="s">
        <v>78</v>
      </c>
      <c r="F29" s="1" t="s">
        <v>284</v>
      </c>
      <c r="G29" s="1" t="s">
        <v>363</v>
      </c>
      <c r="H29" s="1" t="s">
        <v>364</v>
      </c>
      <c r="I29" s="1"/>
      <c r="J29" s="1" t="s">
        <v>364</v>
      </c>
      <c r="K29" s="1"/>
      <c r="L29" s="7"/>
      <c r="M29" s="7" t="s">
        <v>125</v>
      </c>
      <c r="N29" s="7" t="s">
        <v>90</v>
      </c>
      <c r="O29" s="10"/>
      <c r="P29" s="10"/>
      <c r="Q29" s="7"/>
      <c r="R29" s="7"/>
      <c r="S29" s="7" t="s">
        <v>124</v>
      </c>
      <c r="T29" s="10"/>
      <c r="U29" s="11" t="s">
        <v>2872</v>
      </c>
      <c r="V29" s="11" t="s">
        <v>93</v>
      </c>
      <c r="W29" s="11">
        <v>0</v>
      </c>
      <c r="X29" s="11" t="s">
        <v>93</v>
      </c>
      <c r="Y29" s="11"/>
      <c r="Z29" s="12"/>
      <c r="AA29" s="11"/>
      <c r="AB29" s="11"/>
      <c r="AC29" s="1" t="s">
        <v>2873</v>
      </c>
      <c r="AD29" s="1" t="s">
        <v>2874</v>
      </c>
    </row>
    <row r="30" spans="1:30" ht="187.2" x14ac:dyDescent="0.3">
      <c r="A30" s="1" t="s">
        <v>202</v>
      </c>
      <c r="B30" s="1" t="s">
        <v>4510</v>
      </c>
      <c r="C30" s="1" t="s">
        <v>203</v>
      </c>
      <c r="D30" s="1" t="s">
        <v>365</v>
      </c>
      <c r="E30" s="1" t="s">
        <v>78</v>
      </c>
      <c r="F30" s="1" t="s">
        <v>284</v>
      </c>
      <c r="G30" s="1" t="s">
        <v>367</v>
      </c>
      <c r="H30" s="1" t="s">
        <v>368</v>
      </c>
      <c r="I30" s="1" t="s">
        <v>369</v>
      </c>
      <c r="J30" s="1" t="s">
        <v>368</v>
      </c>
      <c r="K30" s="1"/>
      <c r="L30" s="7"/>
      <c r="M30" s="7" t="s">
        <v>125</v>
      </c>
      <c r="N30" s="7" t="s">
        <v>90</v>
      </c>
      <c r="O30" s="10"/>
      <c r="P30" s="10"/>
      <c r="Q30" s="7"/>
      <c r="R30" s="7"/>
      <c r="S30" s="7" t="s">
        <v>124</v>
      </c>
      <c r="T30" s="10"/>
      <c r="U30" s="11" t="s">
        <v>2875</v>
      </c>
      <c r="V30" s="11" t="s">
        <v>93</v>
      </c>
      <c r="W30" s="11">
        <v>0</v>
      </c>
      <c r="X30" s="11" t="s">
        <v>93</v>
      </c>
      <c r="Y30" s="11"/>
      <c r="Z30" s="12"/>
      <c r="AA30" s="11"/>
      <c r="AB30" s="11"/>
      <c r="AC30" s="1" t="s">
        <v>2876</v>
      </c>
      <c r="AD30" s="1" t="s">
        <v>2877</v>
      </c>
    </row>
    <row r="31" spans="1:30" ht="187.2" x14ac:dyDescent="0.3">
      <c r="A31" s="1" t="s">
        <v>202</v>
      </c>
      <c r="B31" s="1" t="s">
        <v>4510</v>
      </c>
      <c r="C31" s="1" t="s">
        <v>203</v>
      </c>
      <c r="D31" s="1" t="s">
        <v>370</v>
      </c>
      <c r="E31" s="1" t="s">
        <v>78</v>
      </c>
      <c r="F31" s="1" t="s">
        <v>372</v>
      </c>
      <c r="G31" s="1" t="s">
        <v>373</v>
      </c>
      <c r="H31" s="1" t="s">
        <v>374</v>
      </c>
      <c r="I31" s="1"/>
      <c r="J31" s="1" t="s">
        <v>374</v>
      </c>
      <c r="K31" s="1"/>
      <c r="L31" s="7"/>
      <c r="M31" s="7" t="s">
        <v>125</v>
      </c>
      <c r="N31" s="7" t="s">
        <v>90</v>
      </c>
      <c r="O31" s="10"/>
      <c r="P31" s="10"/>
      <c r="Q31" s="7"/>
      <c r="R31" s="7"/>
      <c r="S31" s="7" t="s">
        <v>124</v>
      </c>
      <c r="T31" s="10"/>
      <c r="U31" s="11" t="s">
        <v>2878</v>
      </c>
      <c r="V31" s="11" t="s">
        <v>93</v>
      </c>
      <c r="W31" s="11">
        <v>0</v>
      </c>
      <c r="X31" s="11" t="s">
        <v>93</v>
      </c>
      <c r="Y31" s="11"/>
      <c r="Z31" s="12"/>
      <c r="AA31" s="11"/>
      <c r="AB31" s="11"/>
      <c r="AC31" s="1" t="s">
        <v>2879</v>
      </c>
      <c r="AD31" s="1" t="s">
        <v>2880</v>
      </c>
    </row>
    <row r="32" spans="1:30" ht="187.2" x14ac:dyDescent="0.3">
      <c r="A32" s="1" t="s">
        <v>202</v>
      </c>
      <c r="B32" s="1" t="s">
        <v>4511</v>
      </c>
      <c r="C32" s="1" t="s">
        <v>375</v>
      </c>
      <c r="D32" s="1" t="s">
        <v>376</v>
      </c>
      <c r="E32" s="1" t="s">
        <v>377</v>
      </c>
      <c r="F32" s="1" t="s">
        <v>379</v>
      </c>
      <c r="G32" s="1" t="s">
        <v>380</v>
      </c>
      <c r="H32" s="1" t="s">
        <v>381</v>
      </c>
      <c r="I32" s="1" t="s">
        <v>382</v>
      </c>
      <c r="J32" s="1" t="s">
        <v>381</v>
      </c>
      <c r="K32" s="1" t="s">
        <v>383</v>
      </c>
      <c r="L32" s="7"/>
      <c r="M32" s="7" t="s">
        <v>125</v>
      </c>
      <c r="N32" s="7" t="s">
        <v>90</v>
      </c>
      <c r="O32" s="10"/>
      <c r="P32" s="10"/>
      <c r="Q32" s="7"/>
      <c r="R32" s="7"/>
      <c r="S32" s="7" t="s">
        <v>124</v>
      </c>
      <c r="T32" s="10"/>
      <c r="U32" s="11" t="s">
        <v>2881</v>
      </c>
      <c r="V32" s="11" t="s">
        <v>93</v>
      </c>
      <c r="W32" s="11">
        <v>0</v>
      </c>
      <c r="X32" s="11" t="s">
        <v>93</v>
      </c>
      <c r="Y32" s="11"/>
      <c r="Z32" s="12"/>
      <c r="AA32" s="11"/>
      <c r="AB32" s="11"/>
      <c r="AC32" s="1" t="s">
        <v>2882</v>
      </c>
      <c r="AD32" s="1" t="s">
        <v>2883</v>
      </c>
    </row>
    <row r="33" spans="1:30" ht="187.2" x14ac:dyDescent="0.3">
      <c r="A33" s="1" t="s">
        <v>202</v>
      </c>
      <c r="B33" s="1" t="s">
        <v>4511</v>
      </c>
      <c r="C33" s="1" t="s">
        <v>375</v>
      </c>
      <c r="D33" s="1" t="s">
        <v>384</v>
      </c>
      <c r="E33" s="1" t="s">
        <v>377</v>
      </c>
      <c r="F33" s="1" t="s">
        <v>386</v>
      </c>
      <c r="G33" s="1" t="s">
        <v>387</v>
      </c>
      <c r="H33" s="1" t="s">
        <v>388</v>
      </c>
      <c r="I33" s="1"/>
      <c r="J33" s="1" t="s">
        <v>388</v>
      </c>
      <c r="K33" s="1" t="s">
        <v>389</v>
      </c>
      <c r="L33" s="7"/>
      <c r="M33" s="7" t="s">
        <v>125</v>
      </c>
      <c r="N33" s="7" t="s">
        <v>90</v>
      </c>
      <c r="O33" s="10"/>
      <c r="P33" s="10"/>
      <c r="Q33" s="7"/>
      <c r="R33" s="7"/>
      <c r="S33" s="7" t="s">
        <v>124</v>
      </c>
      <c r="T33" s="10"/>
      <c r="U33" s="11" t="s">
        <v>2884</v>
      </c>
      <c r="V33" s="11" t="s">
        <v>93</v>
      </c>
      <c r="W33" s="11">
        <v>0</v>
      </c>
      <c r="X33" s="11" t="s">
        <v>93</v>
      </c>
      <c r="Y33" s="11"/>
      <c r="Z33" s="12"/>
      <c r="AA33" s="11"/>
      <c r="AB33" s="11"/>
      <c r="AC33" s="1" t="s">
        <v>2885</v>
      </c>
      <c r="AD33" s="1" t="s">
        <v>2886</v>
      </c>
    </row>
    <row r="34" spans="1:30" ht="187.2" x14ac:dyDescent="0.3">
      <c r="A34" s="1" t="s">
        <v>202</v>
      </c>
      <c r="B34" s="1" t="s">
        <v>4511</v>
      </c>
      <c r="C34" s="1" t="s">
        <v>375</v>
      </c>
      <c r="D34" s="1" t="s">
        <v>390</v>
      </c>
      <c r="E34" s="1" t="s">
        <v>377</v>
      </c>
      <c r="F34" s="1" t="s">
        <v>392</v>
      </c>
      <c r="G34" s="1" t="s">
        <v>393</v>
      </c>
      <c r="H34" s="1" t="s">
        <v>394</v>
      </c>
      <c r="I34" s="1"/>
      <c r="J34" s="1" t="s">
        <v>394</v>
      </c>
      <c r="K34" s="1"/>
      <c r="L34" s="7"/>
      <c r="M34" s="7" t="s">
        <v>125</v>
      </c>
      <c r="N34" s="7" t="s">
        <v>90</v>
      </c>
      <c r="O34" s="10"/>
      <c r="P34" s="10"/>
      <c r="Q34" s="7"/>
      <c r="R34" s="7"/>
      <c r="S34" s="7" t="s">
        <v>124</v>
      </c>
      <c r="T34" s="10"/>
      <c r="U34" s="11" t="s">
        <v>2887</v>
      </c>
      <c r="V34" s="11" t="s">
        <v>93</v>
      </c>
      <c r="W34" s="11">
        <v>0</v>
      </c>
      <c r="X34" s="11" t="s">
        <v>93</v>
      </c>
      <c r="Y34" s="11"/>
      <c r="Z34" s="12"/>
      <c r="AA34" s="11"/>
      <c r="AB34" s="11"/>
      <c r="AC34" s="1" t="s">
        <v>2888</v>
      </c>
      <c r="AD34" s="1" t="s">
        <v>2889</v>
      </c>
    </row>
    <row r="35" spans="1:30" ht="187.2" x14ac:dyDescent="0.3">
      <c r="A35" s="1" t="s">
        <v>292</v>
      </c>
      <c r="B35" s="1" t="s">
        <v>4514</v>
      </c>
      <c r="C35" s="1" t="s">
        <v>395</v>
      </c>
      <c r="D35" s="1" t="s">
        <v>396</v>
      </c>
      <c r="E35" s="1" t="s">
        <v>397</v>
      </c>
      <c r="F35" s="1" t="s">
        <v>399</v>
      </c>
      <c r="G35" s="1" t="s">
        <v>400</v>
      </c>
      <c r="H35" s="1" t="s">
        <v>401</v>
      </c>
      <c r="I35" s="1" t="s">
        <v>402</v>
      </c>
      <c r="J35" s="1" t="s">
        <v>401</v>
      </c>
      <c r="K35" s="1" t="s">
        <v>403</v>
      </c>
      <c r="L35" s="7"/>
      <c r="M35" s="7" t="s">
        <v>125</v>
      </c>
      <c r="N35" s="7" t="s">
        <v>90</v>
      </c>
      <c r="O35" s="10"/>
      <c r="P35" s="10"/>
      <c r="Q35" s="7"/>
      <c r="R35" s="7"/>
      <c r="S35" s="7" t="s">
        <v>124</v>
      </c>
      <c r="T35" s="10"/>
      <c r="U35" s="11" t="s">
        <v>2890</v>
      </c>
      <c r="V35" s="11" t="s">
        <v>93</v>
      </c>
      <c r="W35" s="11">
        <v>0</v>
      </c>
      <c r="X35" s="11" t="s">
        <v>93</v>
      </c>
      <c r="Y35" s="11"/>
      <c r="Z35" s="12"/>
      <c r="AA35" s="11"/>
      <c r="AB35" s="11"/>
      <c r="AC35" s="1" t="s">
        <v>2891</v>
      </c>
      <c r="AD35" s="1" t="s">
        <v>2892</v>
      </c>
    </row>
    <row r="36" spans="1:30" ht="187.2" x14ac:dyDescent="0.3">
      <c r="A36" s="1" t="s">
        <v>292</v>
      </c>
      <c r="B36" s="1" t="s">
        <v>4514</v>
      </c>
      <c r="C36" s="1" t="s">
        <v>395</v>
      </c>
      <c r="D36" s="1" t="s">
        <v>404</v>
      </c>
      <c r="E36" s="1" t="s">
        <v>397</v>
      </c>
      <c r="F36" s="1" t="s">
        <v>406</v>
      </c>
      <c r="G36" s="1" t="s">
        <v>407</v>
      </c>
      <c r="H36" s="1" t="s">
        <v>408</v>
      </c>
      <c r="I36" s="1"/>
      <c r="J36" s="1" t="s">
        <v>408</v>
      </c>
      <c r="K36" s="1"/>
      <c r="L36" s="7"/>
      <c r="M36" s="7" t="s">
        <v>125</v>
      </c>
      <c r="N36" s="7" t="s">
        <v>90</v>
      </c>
      <c r="O36" s="10"/>
      <c r="P36" s="10"/>
      <c r="Q36" s="7"/>
      <c r="R36" s="7"/>
      <c r="S36" s="7" t="s">
        <v>124</v>
      </c>
      <c r="T36" s="10"/>
      <c r="U36" s="11" t="s">
        <v>2893</v>
      </c>
      <c r="V36" s="11" t="s">
        <v>93</v>
      </c>
      <c r="W36" s="11">
        <v>0</v>
      </c>
      <c r="X36" s="11" t="s">
        <v>93</v>
      </c>
      <c r="Y36" s="11"/>
      <c r="Z36" s="12"/>
      <c r="AA36" s="11"/>
      <c r="AB36" s="11"/>
      <c r="AC36" s="1" t="s">
        <v>2894</v>
      </c>
      <c r="AD36" s="1" t="s">
        <v>2895</v>
      </c>
    </row>
    <row r="37" spans="1:30" ht="187.2" x14ac:dyDescent="0.3">
      <c r="A37" s="1" t="s">
        <v>292</v>
      </c>
      <c r="B37" s="1" t="s">
        <v>4514</v>
      </c>
      <c r="C37" s="1" t="s">
        <v>395</v>
      </c>
      <c r="D37" s="1" t="s">
        <v>409</v>
      </c>
      <c r="E37" s="1" t="s">
        <v>397</v>
      </c>
      <c r="F37" s="1" t="s">
        <v>411</v>
      </c>
      <c r="G37" s="1" t="s">
        <v>412</v>
      </c>
      <c r="H37" s="1" t="s">
        <v>413</v>
      </c>
      <c r="I37" s="1"/>
      <c r="J37" s="1" t="s">
        <v>413</v>
      </c>
      <c r="K37" s="1"/>
      <c r="L37" s="7"/>
      <c r="M37" s="7" t="s">
        <v>125</v>
      </c>
      <c r="N37" s="7" t="s">
        <v>90</v>
      </c>
      <c r="O37" s="10"/>
      <c r="P37" s="10"/>
      <c r="Q37" s="7"/>
      <c r="R37" s="7"/>
      <c r="S37" s="7" t="s">
        <v>124</v>
      </c>
      <c r="T37" s="10"/>
      <c r="U37" s="11" t="s">
        <v>2896</v>
      </c>
      <c r="V37" s="11" t="s">
        <v>93</v>
      </c>
      <c r="W37" s="11">
        <v>0</v>
      </c>
      <c r="X37" s="11" t="s">
        <v>93</v>
      </c>
      <c r="Y37" s="11"/>
      <c r="Z37" s="12"/>
      <c r="AA37" s="11"/>
      <c r="AB37" s="11"/>
      <c r="AC37" s="1" t="s">
        <v>2897</v>
      </c>
      <c r="AD37" s="1" t="s">
        <v>2898</v>
      </c>
    </row>
    <row r="38" spans="1:30" ht="187.2" x14ac:dyDescent="0.3">
      <c r="A38" s="1" t="s">
        <v>292</v>
      </c>
      <c r="B38" s="1" t="s">
        <v>4514</v>
      </c>
      <c r="C38" s="1" t="s">
        <v>395</v>
      </c>
      <c r="D38" s="1" t="s">
        <v>414</v>
      </c>
      <c r="E38" s="1" t="s">
        <v>397</v>
      </c>
      <c r="F38" s="1" t="s">
        <v>416</v>
      </c>
      <c r="G38" s="1" t="s">
        <v>417</v>
      </c>
      <c r="H38" s="1" t="s">
        <v>418</v>
      </c>
      <c r="I38" s="1"/>
      <c r="J38" s="1" t="s">
        <v>418</v>
      </c>
      <c r="K38" s="1"/>
      <c r="L38" s="7"/>
      <c r="M38" s="7" t="s">
        <v>125</v>
      </c>
      <c r="N38" s="7" t="s">
        <v>90</v>
      </c>
      <c r="O38" s="10"/>
      <c r="P38" s="10"/>
      <c r="Q38" s="7"/>
      <c r="R38" s="7"/>
      <c r="S38" s="7" t="s">
        <v>124</v>
      </c>
      <c r="T38" s="10"/>
      <c r="U38" s="11" t="s">
        <v>2899</v>
      </c>
      <c r="V38" s="11" t="s">
        <v>93</v>
      </c>
      <c r="W38" s="11">
        <v>0</v>
      </c>
      <c r="X38" s="11" t="s">
        <v>93</v>
      </c>
      <c r="Y38" s="11"/>
      <c r="Z38" s="12"/>
      <c r="AA38" s="11"/>
      <c r="AB38" s="11"/>
      <c r="AC38" s="1" t="s">
        <v>2900</v>
      </c>
      <c r="AD38" s="1" t="s">
        <v>2901</v>
      </c>
    </row>
    <row r="39" spans="1:30" ht="187.2" x14ac:dyDescent="0.3">
      <c r="A39" s="1" t="s">
        <v>262</v>
      </c>
      <c r="B39" s="1" t="s">
        <v>4512</v>
      </c>
      <c r="C39" s="1" t="s">
        <v>419</v>
      </c>
      <c r="D39" s="1" t="s">
        <v>420</v>
      </c>
      <c r="E39" s="1" t="s">
        <v>421</v>
      </c>
      <c r="F39" s="1" t="s">
        <v>423</v>
      </c>
      <c r="G39" s="1" t="s">
        <v>424</v>
      </c>
      <c r="H39" s="1" t="s">
        <v>425</v>
      </c>
      <c r="I39" s="1"/>
      <c r="J39" s="1" t="s">
        <v>425</v>
      </c>
      <c r="K39" s="1"/>
      <c r="L39" s="7"/>
      <c r="M39" s="7" t="s">
        <v>125</v>
      </c>
      <c r="N39" s="7" t="s">
        <v>90</v>
      </c>
      <c r="O39" s="10"/>
      <c r="P39" s="10"/>
      <c r="Q39" s="7"/>
      <c r="R39" s="7"/>
      <c r="S39" s="7" t="s">
        <v>124</v>
      </c>
      <c r="T39" s="10"/>
      <c r="U39" s="11" t="s">
        <v>2902</v>
      </c>
      <c r="V39" s="11" t="s">
        <v>93</v>
      </c>
      <c r="W39" s="11">
        <v>0</v>
      </c>
      <c r="X39" s="11" t="s">
        <v>93</v>
      </c>
      <c r="Y39" s="11"/>
      <c r="Z39" s="12"/>
      <c r="AA39" s="11"/>
      <c r="AB39" s="11"/>
      <c r="AC39" s="1" t="s">
        <v>2903</v>
      </c>
      <c r="AD39" s="1" t="s">
        <v>2904</v>
      </c>
    </row>
    <row r="40" spans="1:30" ht="187.2" x14ac:dyDescent="0.3">
      <c r="A40" s="1" t="s">
        <v>262</v>
      </c>
      <c r="B40" s="1" t="s">
        <v>4512</v>
      </c>
      <c r="C40" s="1" t="s">
        <v>419</v>
      </c>
      <c r="D40" s="1" t="s">
        <v>426</v>
      </c>
      <c r="E40" s="1" t="s">
        <v>421</v>
      </c>
      <c r="F40" s="1" t="s">
        <v>428</v>
      </c>
      <c r="G40" s="1"/>
      <c r="H40" s="1" t="s">
        <v>429</v>
      </c>
      <c r="I40" s="1"/>
      <c r="J40" s="1" t="s">
        <v>429</v>
      </c>
      <c r="K40" s="1"/>
      <c r="L40" s="7"/>
      <c r="M40" s="7" t="s">
        <v>125</v>
      </c>
      <c r="N40" s="7" t="s">
        <v>90</v>
      </c>
      <c r="O40" s="10"/>
      <c r="P40" s="10"/>
      <c r="Q40" s="7"/>
      <c r="R40" s="7"/>
      <c r="S40" s="7" t="s">
        <v>124</v>
      </c>
      <c r="T40" s="10"/>
      <c r="U40" s="11" t="s">
        <v>2905</v>
      </c>
      <c r="V40" s="11" t="s">
        <v>93</v>
      </c>
      <c r="W40" s="11">
        <v>0</v>
      </c>
      <c r="X40" s="11" t="s">
        <v>93</v>
      </c>
      <c r="Y40" s="11"/>
      <c r="Z40" s="12"/>
      <c r="AA40" s="11"/>
      <c r="AB40" s="11"/>
      <c r="AC40" s="1" t="s">
        <v>2906</v>
      </c>
      <c r="AD40" s="1" t="s">
        <v>2907</v>
      </c>
    </row>
    <row r="41" spans="1:30" ht="187.2" x14ac:dyDescent="0.3">
      <c r="A41" s="1" t="s">
        <v>262</v>
      </c>
      <c r="B41" s="1" t="s">
        <v>4512</v>
      </c>
      <c r="C41" s="1" t="s">
        <v>419</v>
      </c>
      <c r="D41" s="1" t="s">
        <v>430</v>
      </c>
      <c r="E41" s="1" t="s">
        <v>421</v>
      </c>
      <c r="F41" s="1" t="s">
        <v>432</v>
      </c>
      <c r="G41" s="1" t="s">
        <v>433</v>
      </c>
      <c r="H41" s="1" t="s">
        <v>434</v>
      </c>
      <c r="I41" s="1" t="s">
        <v>435</v>
      </c>
      <c r="J41" s="1" t="s">
        <v>434</v>
      </c>
      <c r="K41" s="1" t="s">
        <v>436</v>
      </c>
      <c r="L41" s="7"/>
      <c r="M41" s="7" t="s">
        <v>125</v>
      </c>
      <c r="N41" s="7" t="s">
        <v>90</v>
      </c>
      <c r="O41" s="10"/>
      <c r="P41" s="10"/>
      <c r="Q41" s="7"/>
      <c r="R41" s="7"/>
      <c r="S41" s="7" t="s">
        <v>124</v>
      </c>
      <c r="T41" s="10"/>
      <c r="U41" s="11" t="s">
        <v>2908</v>
      </c>
      <c r="V41" s="11" t="s">
        <v>93</v>
      </c>
      <c r="W41" s="11">
        <v>0</v>
      </c>
      <c r="X41" s="11" t="s">
        <v>93</v>
      </c>
      <c r="Y41" s="11"/>
      <c r="Z41" s="12"/>
      <c r="AA41" s="11"/>
      <c r="AB41" s="11"/>
      <c r="AC41" s="1" t="s">
        <v>2909</v>
      </c>
      <c r="AD41" s="1" t="s">
        <v>2910</v>
      </c>
    </row>
    <row r="42" spans="1:30" ht="187.2" x14ac:dyDescent="0.3">
      <c r="A42" s="1" t="s">
        <v>262</v>
      </c>
      <c r="B42" s="1" t="s">
        <v>4512</v>
      </c>
      <c r="C42" s="1" t="s">
        <v>419</v>
      </c>
      <c r="D42" s="1" t="s">
        <v>437</v>
      </c>
      <c r="E42" s="1" t="s">
        <v>421</v>
      </c>
      <c r="F42" s="1" t="s">
        <v>439</v>
      </c>
      <c r="G42" s="1" t="s">
        <v>440</v>
      </c>
      <c r="H42" s="1" t="s">
        <v>441</v>
      </c>
      <c r="I42" s="1"/>
      <c r="J42" s="1" t="s">
        <v>441</v>
      </c>
      <c r="K42" s="1"/>
      <c r="L42" s="7"/>
      <c r="M42" s="7" t="s">
        <v>125</v>
      </c>
      <c r="N42" s="7" t="s">
        <v>90</v>
      </c>
      <c r="O42" s="10"/>
      <c r="P42" s="10"/>
      <c r="Q42" s="7"/>
      <c r="R42" s="7"/>
      <c r="S42" s="7" t="s">
        <v>124</v>
      </c>
      <c r="T42" s="10"/>
      <c r="U42" s="11" t="s">
        <v>2911</v>
      </c>
      <c r="V42" s="11" t="s">
        <v>93</v>
      </c>
      <c r="W42" s="11">
        <v>0</v>
      </c>
      <c r="X42" s="11" t="s">
        <v>93</v>
      </c>
      <c r="Y42" s="11"/>
      <c r="Z42" s="12"/>
      <c r="AA42" s="11"/>
      <c r="AB42" s="11"/>
      <c r="AC42" s="1" t="s">
        <v>2912</v>
      </c>
      <c r="AD42" s="1" t="s">
        <v>2913</v>
      </c>
    </row>
    <row r="43" spans="1:30" ht="187.2" x14ac:dyDescent="0.3">
      <c r="A43" s="1" t="s">
        <v>262</v>
      </c>
      <c r="B43" s="1" t="s">
        <v>4512</v>
      </c>
      <c r="C43" s="1" t="s">
        <v>419</v>
      </c>
      <c r="D43" s="1" t="s">
        <v>442</v>
      </c>
      <c r="E43" s="1" t="s">
        <v>421</v>
      </c>
      <c r="F43" s="1" t="s">
        <v>444</v>
      </c>
      <c r="G43" s="1" t="s">
        <v>445</v>
      </c>
      <c r="H43" s="1" t="s">
        <v>446</v>
      </c>
      <c r="I43" s="1"/>
      <c r="J43" s="1" t="s">
        <v>446</v>
      </c>
      <c r="K43" s="1"/>
      <c r="L43" s="7"/>
      <c r="M43" s="7" t="s">
        <v>125</v>
      </c>
      <c r="N43" s="7" t="s">
        <v>90</v>
      </c>
      <c r="O43" s="10"/>
      <c r="P43" s="10"/>
      <c r="Q43" s="7"/>
      <c r="R43" s="7"/>
      <c r="S43" s="7" t="s">
        <v>124</v>
      </c>
      <c r="T43" s="10"/>
      <c r="U43" s="11" t="s">
        <v>2914</v>
      </c>
      <c r="V43" s="11" t="s">
        <v>93</v>
      </c>
      <c r="W43" s="11">
        <v>0</v>
      </c>
      <c r="X43" s="11" t="s">
        <v>93</v>
      </c>
      <c r="Y43" s="11"/>
      <c r="Z43" s="12"/>
      <c r="AA43" s="11"/>
      <c r="AB43" s="11"/>
      <c r="AC43" s="1" t="s">
        <v>2915</v>
      </c>
      <c r="AD43" s="1" t="s">
        <v>2916</v>
      </c>
    </row>
    <row r="44" spans="1:30" ht="187.2" x14ac:dyDescent="0.3">
      <c r="A44" s="1" t="s">
        <v>262</v>
      </c>
      <c r="B44" s="1" t="s">
        <v>4512</v>
      </c>
      <c r="C44" s="1" t="s">
        <v>419</v>
      </c>
      <c r="D44" s="1" t="s">
        <v>447</v>
      </c>
      <c r="E44" s="1" t="s">
        <v>421</v>
      </c>
      <c r="F44" s="1" t="s">
        <v>449</v>
      </c>
      <c r="G44" s="1" t="s">
        <v>450</v>
      </c>
      <c r="H44" s="1"/>
      <c r="I44" s="1"/>
      <c r="J44" s="1"/>
      <c r="K44" s="1"/>
      <c r="L44" s="7"/>
      <c r="M44" s="7" t="s">
        <v>125</v>
      </c>
      <c r="N44" s="7" t="s">
        <v>90</v>
      </c>
      <c r="O44" s="10"/>
      <c r="P44" s="10"/>
      <c r="Q44" s="7"/>
      <c r="R44" s="7"/>
      <c r="S44" s="7" t="s">
        <v>124</v>
      </c>
      <c r="T44" s="10"/>
      <c r="U44" s="11" t="s">
        <v>2917</v>
      </c>
      <c r="V44" s="11" t="s">
        <v>93</v>
      </c>
      <c r="W44" s="11">
        <v>0</v>
      </c>
      <c r="X44" s="11" t="s">
        <v>93</v>
      </c>
      <c r="Y44" s="11"/>
      <c r="Z44" s="12"/>
      <c r="AA44" s="11"/>
      <c r="AB44" s="11"/>
      <c r="AC44" s="1" t="s">
        <v>2918</v>
      </c>
      <c r="AD44" s="1" t="s">
        <v>2919</v>
      </c>
    </row>
    <row r="45" spans="1:30" ht="187.2" x14ac:dyDescent="0.3">
      <c r="A45" s="1" t="s">
        <v>262</v>
      </c>
      <c r="B45" s="1" t="s">
        <v>4512</v>
      </c>
      <c r="C45" s="1" t="s">
        <v>419</v>
      </c>
      <c r="D45" s="1" t="s">
        <v>451</v>
      </c>
      <c r="E45" s="1" t="s">
        <v>421</v>
      </c>
      <c r="F45" s="1" t="s">
        <v>453</v>
      </c>
      <c r="G45" s="1" t="s">
        <v>454</v>
      </c>
      <c r="H45" s="1" t="s">
        <v>455</v>
      </c>
      <c r="I45" s="1"/>
      <c r="J45" s="1" t="s">
        <v>455</v>
      </c>
      <c r="K45" s="1"/>
      <c r="L45" s="7"/>
      <c r="M45" s="7" t="s">
        <v>125</v>
      </c>
      <c r="N45" s="7" t="s">
        <v>90</v>
      </c>
      <c r="O45" s="10"/>
      <c r="P45" s="10"/>
      <c r="Q45" s="7"/>
      <c r="R45" s="7"/>
      <c r="S45" s="7" t="s">
        <v>124</v>
      </c>
      <c r="T45" s="10"/>
      <c r="U45" s="11" t="s">
        <v>2920</v>
      </c>
      <c r="V45" s="11" t="s">
        <v>93</v>
      </c>
      <c r="W45" s="11">
        <v>0</v>
      </c>
      <c r="X45" s="11" t="s">
        <v>93</v>
      </c>
      <c r="Y45" s="11"/>
      <c r="Z45" s="12"/>
      <c r="AA45" s="11"/>
      <c r="AB45" s="11"/>
      <c r="AC45" s="1" t="s">
        <v>2921</v>
      </c>
      <c r="AD45" s="1" t="s">
        <v>2922</v>
      </c>
    </row>
    <row r="46" spans="1:30" ht="187.2" x14ac:dyDescent="0.3">
      <c r="A46" s="1" t="s">
        <v>262</v>
      </c>
      <c r="B46" s="1" t="s">
        <v>4512</v>
      </c>
      <c r="C46" s="1" t="s">
        <v>419</v>
      </c>
      <c r="D46" s="1" t="s">
        <v>456</v>
      </c>
      <c r="E46" s="1" t="s">
        <v>421</v>
      </c>
      <c r="F46" s="1" t="s">
        <v>458</v>
      </c>
      <c r="G46" s="1" t="s">
        <v>459</v>
      </c>
      <c r="H46" s="1" t="s">
        <v>460</v>
      </c>
      <c r="I46" s="1" t="s">
        <v>461</v>
      </c>
      <c r="J46" s="1" t="s">
        <v>460</v>
      </c>
      <c r="K46" s="1" t="s">
        <v>462</v>
      </c>
      <c r="L46" s="7"/>
      <c r="M46" s="7" t="s">
        <v>125</v>
      </c>
      <c r="N46" s="7" t="s">
        <v>90</v>
      </c>
      <c r="O46" s="10"/>
      <c r="P46" s="10"/>
      <c r="Q46" s="7"/>
      <c r="R46" s="7"/>
      <c r="S46" s="7" t="s">
        <v>124</v>
      </c>
      <c r="T46" s="10"/>
      <c r="U46" s="11" t="s">
        <v>2923</v>
      </c>
      <c r="V46" s="11" t="s">
        <v>93</v>
      </c>
      <c r="W46" s="11">
        <v>0</v>
      </c>
      <c r="X46" s="11" t="s">
        <v>93</v>
      </c>
      <c r="Y46" s="11"/>
      <c r="Z46" s="12"/>
      <c r="AA46" s="11"/>
      <c r="AB46" s="11"/>
      <c r="AC46" s="1" t="s">
        <v>2924</v>
      </c>
      <c r="AD46" s="1" t="s">
        <v>2925</v>
      </c>
    </row>
    <row r="47" spans="1:30" ht="187.2" x14ac:dyDescent="0.3">
      <c r="A47" s="1" t="s">
        <v>262</v>
      </c>
      <c r="B47" s="1" t="s">
        <v>4512</v>
      </c>
      <c r="C47" s="1" t="s">
        <v>419</v>
      </c>
      <c r="D47" s="1" t="s">
        <v>463</v>
      </c>
      <c r="E47" s="1" t="s">
        <v>421</v>
      </c>
      <c r="F47" s="1" t="s">
        <v>465</v>
      </c>
      <c r="G47" s="1" t="s">
        <v>466</v>
      </c>
      <c r="H47" s="1" t="s">
        <v>467</v>
      </c>
      <c r="I47" s="1" t="s">
        <v>468</v>
      </c>
      <c r="J47" s="1" t="s">
        <v>467</v>
      </c>
      <c r="K47" s="1" t="s">
        <v>469</v>
      </c>
      <c r="L47" s="7"/>
      <c r="M47" s="7" t="s">
        <v>125</v>
      </c>
      <c r="N47" s="7" t="s">
        <v>90</v>
      </c>
      <c r="O47" s="10"/>
      <c r="P47" s="10"/>
      <c r="Q47" s="7"/>
      <c r="R47" s="7"/>
      <c r="S47" s="7" t="s">
        <v>124</v>
      </c>
      <c r="T47" s="10"/>
      <c r="U47" s="11" t="s">
        <v>2926</v>
      </c>
      <c r="V47" s="11" t="s">
        <v>93</v>
      </c>
      <c r="W47" s="11">
        <v>0</v>
      </c>
      <c r="X47" s="11" t="s">
        <v>93</v>
      </c>
      <c r="Y47" s="11"/>
      <c r="Z47" s="12"/>
      <c r="AA47" s="11"/>
      <c r="AB47" s="11"/>
      <c r="AC47" s="1" t="s">
        <v>2927</v>
      </c>
      <c r="AD47" s="1" t="s">
        <v>2928</v>
      </c>
    </row>
    <row r="48" spans="1:30" ht="187.2" x14ac:dyDescent="0.3">
      <c r="A48" s="1" t="s">
        <v>262</v>
      </c>
      <c r="B48" s="1" t="s">
        <v>4512</v>
      </c>
      <c r="C48" s="1" t="s">
        <v>419</v>
      </c>
      <c r="D48" s="1" t="s">
        <v>470</v>
      </c>
      <c r="E48" s="1" t="s">
        <v>421</v>
      </c>
      <c r="F48" s="1" t="s">
        <v>472</v>
      </c>
      <c r="G48" s="1" t="s">
        <v>473</v>
      </c>
      <c r="H48" s="1" t="s">
        <v>474</v>
      </c>
      <c r="I48" s="1"/>
      <c r="J48" s="1" t="s">
        <v>474</v>
      </c>
      <c r="K48" s="1"/>
      <c r="L48" s="7"/>
      <c r="M48" s="7" t="s">
        <v>125</v>
      </c>
      <c r="N48" s="7" t="s">
        <v>90</v>
      </c>
      <c r="O48" s="10"/>
      <c r="P48" s="10"/>
      <c r="Q48" s="7"/>
      <c r="R48" s="7"/>
      <c r="S48" s="7" t="s">
        <v>124</v>
      </c>
      <c r="T48" s="10"/>
      <c r="U48" s="11" t="s">
        <v>2929</v>
      </c>
      <c r="V48" s="11" t="s">
        <v>93</v>
      </c>
      <c r="W48" s="11">
        <v>0</v>
      </c>
      <c r="X48" s="11" t="s">
        <v>93</v>
      </c>
      <c r="Y48" s="11"/>
      <c r="Z48" s="12"/>
      <c r="AA48" s="11"/>
      <c r="AB48" s="11"/>
      <c r="AC48" s="1" t="s">
        <v>2930</v>
      </c>
      <c r="AD48" s="1" t="s">
        <v>2931</v>
      </c>
    </row>
    <row r="49" spans="1:30" ht="187.2" x14ac:dyDescent="0.3">
      <c r="A49" s="1" t="s">
        <v>262</v>
      </c>
      <c r="B49" s="1" t="s">
        <v>4512</v>
      </c>
      <c r="C49" s="1" t="s">
        <v>419</v>
      </c>
      <c r="D49" s="1" t="s">
        <v>475</v>
      </c>
      <c r="E49" s="1" t="s">
        <v>421</v>
      </c>
      <c r="F49" s="1" t="s">
        <v>477</v>
      </c>
      <c r="G49" s="1" t="s">
        <v>380</v>
      </c>
      <c r="H49" s="1" t="s">
        <v>478</v>
      </c>
      <c r="I49" s="1"/>
      <c r="J49" s="1" t="s">
        <v>478</v>
      </c>
      <c r="K49" s="1"/>
      <c r="L49" s="7"/>
      <c r="M49" s="7" t="s">
        <v>125</v>
      </c>
      <c r="N49" s="7" t="s">
        <v>90</v>
      </c>
      <c r="O49" s="10"/>
      <c r="P49" s="10"/>
      <c r="Q49" s="7"/>
      <c r="R49" s="7"/>
      <c r="S49" s="7" t="s">
        <v>124</v>
      </c>
      <c r="T49" s="10"/>
      <c r="U49" s="11" t="s">
        <v>2932</v>
      </c>
      <c r="V49" s="11" t="s">
        <v>93</v>
      </c>
      <c r="W49" s="11">
        <v>0</v>
      </c>
      <c r="X49" s="11" t="s">
        <v>93</v>
      </c>
      <c r="Y49" s="11"/>
      <c r="Z49" s="12"/>
      <c r="AA49" s="11"/>
      <c r="AB49" s="11"/>
      <c r="AC49" s="1" t="s">
        <v>2933</v>
      </c>
      <c r="AD49" s="1" t="s">
        <v>2934</v>
      </c>
    </row>
    <row r="50" spans="1:30" ht="187.2" x14ac:dyDescent="0.3">
      <c r="A50" s="1" t="s">
        <v>262</v>
      </c>
      <c r="B50" s="1" t="s">
        <v>4512</v>
      </c>
      <c r="C50" s="1" t="s">
        <v>419</v>
      </c>
      <c r="D50" s="1" t="s">
        <v>479</v>
      </c>
      <c r="E50" s="1" t="s">
        <v>421</v>
      </c>
      <c r="F50" s="1" t="s">
        <v>481</v>
      </c>
      <c r="G50" s="1" t="s">
        <v>482</v>
      </c>
      <c r="H50" s="1" t="s">
        <v>483</v>
      </c>
      <c r="I50" s="1" t="s">
        <v>484</v>
      </c>
      <c r="J50" s="1" t="s">
        <v>483</v>
      </c>
      <c r="K50" s="1" t="s">
        <v>485</v>
      </c>
      <c r="L50" s="7"/>
      <c r="M50" s="7" t="s">
        <v>125</v>
      </c>
      <c r="N50" s="7" t="s">
        <v>90</v>
      </c>
      <c r="O50" s="10"/>
      <c r="P50" s="10"/>
      <c r="Q50" s="7"/>
      <c r="R50" s="7"/>
      <c r="S50" s="7" t="s">
        <v>124</v>
      </c>
      <c r="T50" s="10"/>
      <c r="U50" s="11" t="s">
        <v>2935</v>
      </c>
      <c r="V50" s="11" t="s">
        <v>93</v>
      </c>
      <c r="W50" s="11">
        <v>0</v>
      </c>
      <c r="X50" s="11" t="s">
        <v>93</v>
      </c>
      <c r="Y50" s="11"/>
      <c r="Z50" s="12"/>
      <c r="AA50" s="11"/>
      <c r="AB50" s="11"/>
      <c r="AC50" s="1" t="s">
        <v>2936</v>
      </c>
      <c r="AD50" s="1" t="s">
        <v>2937</v>
      </c>
    </row>
    <row r="51" spans="1:30" ht="187.2" x14ac:dyDescent="0.3">
      <c r="A51" s="1" t="s">
        <v>262</v>
      </c>
      <c r="B51" s="1" t="s">
        <v>4512</v>
      </c>
      <c r="C51" s="1" t="s">
        <v>419</v>
      </c>
      <c r="D51" s="1" t="s">
        <v>486</v>
      </c>
      <c r="E51" s="1" t="s">
        <v>421</v>
      </c>
      <c r="F51" s="1" t="s">
        <v>488</v>
      </c>
      <c r="G51" s="1" t="s">
        <v>489</v>
      </c>
      <c r="H51" s="1" t="s">
        <v>490</v>
      </c>
      <c r="I51" s="1"/>
      <c r="J51" s="1" t="s">
        <v>490</v>
      </c>
      <c r="K51" s="1"/>
      <c r="L51" s="7"/>
      <c r="M51" s="7" t="s">
        <v>125</v>
      </c>
      <c r="N51" s="7" t="s">
        <v>90</v>
      </c>
      <c r="O51" s="10"/>
      <c r="P51" s="10"/>
      <c r="Q51" s="7"/>
      <c r="R51" s="7"/>
      <c r="S51" s="7" t="s">
        <v>124</v>
      </c>
      <c r="T51" s="10"/>
      <c r="U51" s="11" t="s">
        <v>2938</v>
      </c>
      <c r="V51" s="11" t="s">
        <v>93</v>
      </c>
      <c r="W51" s="11">
        <v>0</v>
      </c>
      <c r="X51" s="11" t="s">
        <v>93</v>
      </c>
      <c r="Y51" s="11"/>
      <c r="Z51" s="12"/>
      <c r="AA51" s="11"/>
      <c r="AB51" s="11"/>
      <c r="AC51" s="1" t="s">
        <v>2939</v>
      </c>
      <c r="AD51" s="1" t="s">
        <v>2940</v>
      </c>
    </row>
    <row r="52" spans="1:30" ht="187.2" x14ac:dyDescent="0.3">
      <c r="A52" s="1" t="s">
        <v>262</v>
      </c>
      <c r="B52" s="1" t="s">
        <v>4512</v>
      </c>
      <c r="C52" s="1" t="s">
        <v>419</v>
      </c>
      <c r="D52" s="1" t="s">
        <v>491</v>
      </c>
      <c r="E52" s="1" t="s">
        <v>421</v>
      </c>
      <c r="F52" s="1" t="s">
        <v>294</v>
      </c>
      <c r="G52" s="1" t="s">
        <v>493</v>
      </c>
      <c r="H52" s="1"/>
      <c r="I52" s="1"/>
      <c r="J52" s="1"/>
      <c r="K52" s="1"/>
      <c r="L52" s="7"/>
      <c r="M52" s="7" t="s">
        <v>125</v>
      </c>
      <c r="N52" s="7" t="s">
        <v>90</v>
      </c>
      <c r="O52" s="10"/>
      <c r="P52" s="10"/>
      <c r="Q52" s="7"/>
      <c r="R52" s="7"/>
      <c r="S52" s="7" t="s">
        <v>124</v>
      </c>
      <c r="T52" s="10"/>
      <c r="U52" s="11" t="s">
        <v>2941</v>
      </c>
      <c r="V52" s="11" t="s">
        <v>93</v>
      </c>
      <c r="W52" s="11">
        <v>0</v>
      </c>
      <c r="X52" s="11" t="s">
        <v>93</v>
      </c>
      <c r="Y52" s="11"/>
      <c r="Z52" s="12"/>
      <c r="AA52" s="11"/>
      <c r="AB52" s="11"/>
      <c r="AC52" s="1" t="s">
        <v>2942</v>
      </c>
      <c r="AD52" s="1" t="s">
        <v>2943</v>
      </c>
    </row>
    <row r="53" spans="1:30" ht="187.2" x14ac:dyDescent="0.3">
      <c r="A53" s="1" t="s">
        <v>262</v>
      </c>
      <c r="B53" s="1" t="s">
        <v>4512</v>
      </c>
      <c r="C53" s="1" t="s">
        <v>419</v>
      </c>
      <c r="D53" s="1" t="s">
        <v>494</v>
      </c>
      <c r="E53" s="1" t="s">
        <v>421</v>
      </c>
      <c r="F53" s="1" t="s">
        <v>496</v>
      </c>
      <c r="G53" s="1" t="s">
        <v>497</v>
      </c>
      <c r="H53" s="1" t="s">
        <v>498</v>
      </c>
      <c r="I53" s="1"/>
      <c r="J53" s="1" t="s">
        <v>498</v>
      </c>
      <c r="K53" s="1"/>
      <c r="L53" s="7"/>
      <c r="M53" s="7" t="s">
        <v>125</v>
      </c>
      <c r="N53" s="7" t="s">
        <v>90</v>
      </c>
      <c r="O53" s="10"/>
      <c r="P53" s="10"/>
      <c r="Q53" s="7"/>
      <c r="R53" s="7"/>
      <c r="S53" s="7" t="s">
        <v>124</v>
      </c>
      <c r="T53" s="10"/>
      <c r="U53" s="11" t="s">
        <v>2944</v>
      </c>
      <c r="V53" s="11" t="s">
        <v>93</v>
      </c>
      <c r="W53" s="11">
        <v>0</v>
      </c>
      <c r="X53" s="11" t="s">
        <v>93</v>
      </c>
      <c r="Y53" s="11"/>
      <c r="Z53" s="12"/>
      <c r="AA53" s="11"/>
      <c r="AB53" s="11"/>
      <c r="AC53" s="1" t="s">
        <v>2945</v>
      </c>
      <c r="AD53" s="1" t="s">
        <v>2946</v>
      </c>
    </row>
    <row r="54" spans="1:30" ht="187.2" x14ac:dyDescent="0.3">
      <c r="A54" s="1" t="s">
        <v>262</v>
      </c>
      <c r="B54" s="1" t="s">
        <v>4512</v>
      </c>
      <c r="C54" s="1" t="s">
        <v>419</v>
      </c>
      <c r="D54" s="1" t="s">
        <v>499</v>
      </c>
      <c r="E54" s="1" t="s">
        <v>421</v>
      </c>
      <c r="F54" s="1" t="s">
        <v>501</v>
      </c>
      <c r="G54" s="1"/>
      <c r="H54" s="1"/>
      <c r="I54" s="1"/>
      <c r="J54" s="1"/>
      <c r="K54" s="1" t="s">
        <v>502</v>
      </c>
      <c r="L54" s="7"/>
      <c r="M54" s="7" t="s">
        <v>125</v>
      </c>
      <c r="N54" s="7" t="s">
        <v>90</v>
      </c>
      <c r="O54" s="10"/>
      <c r="P54" s="10"/>
      <c r="Q54" s="7"/>
      <c r="R54" s="7"/>
      <c r="S54" s="7" t="s">
        <v>124</v>
      </c>
      <c r="T54" s="10"/>
      <c r="U54" s="11" t="s">
        <v>2947</v>
      </c>
      <c r="V54" s="11" t="s">
        <v>93</v>
      </c>
      <c r="W54" s="11">
        <v>0</v>
      </c>
      <c r="X54" s="11" t="s">
        <v>93</v>
      </c>
      <c r="Y54" s="11"/>
      <c r="Z54" s="12"/>
      <c r="AA54" s="11"/>
      <c r="AB54" s="11"/>
      <c r="AC54" s="1" t="s">
        <v>2948</v>
      </c>
      <c r="AD54" s="1" t="s">
        <v>2949</v>
      </c>
    </row>
    <row r="55" spans="1:30" ht="187.2" x14ac:dyDescent="0.3">
      <c r="A55" s="1" t="s">
        <v>262</v>
      </c>
      <c r="B55" s="1" t="s">
        <v>4512</v>
      </c>
      <c r="C55" s="1" t="s">
        <v>419</v>
      </c>
      <c r="D55" s="1" t="s">
        <v>503</v>
      </c>
      <c r="E55" s="1" t="s">
        <v>421</v>
      </c>
      <c r="F55" s="1" t="s">
        <v>505</v>
      </c>
      <c r="G55" s="1" t="s">
        <v>506</v>
      </c>
      <c r="H55" s="1" t="s">
        <v>507</v>
      </c>
      <c r="I55" s="1"/>
      <c r="J55" s="1" t="s">
        <v>507</v>
      </c>
      <c r="K55" s="1"/>
      <c r="L55" s="7"/>
      <c r="M55" s="7" t="s">
        <v>125</v>
      </c>
      <c r="N55" s="7" t="s">
        <v>90</v>
      </c>
      <c r="O55" s="10"/>
      <c r="P55" s="10"/>
      <c r="Q55" s="7"/>
      <c r="R55" s="7"/>
      <c r="S55" s="7" t="s">
        <v>124</v>
      </c>
      <c r="T55" s="10"/>
      <c r="U55" s="11" t="s">
        <v>2950</v>
      </c>
      <c r="V55" s="11" t="s">
        <v>93</v>
      </c>
      <c r="W55" s="11">
        <v>0</v>
      </c>
      <c r="X55" s="11" t="s">
        <v>93</v>
      </c>
      <c r="Y55" s="11"/>
      <c r="Z55" s="12"/>
      <c r="AA55" s="11"/>
      <c r="AB55" s="11"/>
      <c r="AC55" s="1" t="s">
        <v>2951</v>
      </c>
      <c r="AD55" s="1" t="s">
        <v>2952</v>
      </c>
    </row>
    <row r="56" spans="1:30" ht="187.2" x14ac:dyDescent="0.3">
      <c r="A56" s="1" t="s">
        <v>262</v>
      </c>
      <c r="B56" s="1" t="s">
        <v>4512</v>
      </c>
      <c r="C56" s="1" t="s">
        <v>419</v>
      </c>
      <c r="D56" s="1" t="s">
        <v>508</v>
      </c>
      <c r="E56" s="1" t="s">
        <v>421</v>
      </c>
      <c r="F56" s="1" t="s">
        <v>305</v>
      </c>
      <c r="G56" s="1" t="s">
        <v>510</v>
      </c>
      <c r="H56" s="1" t="s">
        <v>511</v>
      </c>
      <c r="I56" s="1"/>
      <c r="J56" s="1" t="s">
        <v>511</v>
      </c>
      <c r="K56" s="1"/>
      <c r="L56" s="7"/>
      <c r="M56" s="7" t="s">
        <v>125</v>
      </c>
      <c r="N56" s="7" t="s">
        <v>90</v>
      </c>
      <c r="O56" s="10"/>
      <c r="P56" s="10"/>
      <c r="Q56" s="7"/>
      <c r="R56" s="7"/>
      <c r="S56" s="7" t="s">
        <v>124</v>
      </c>
      <c r="T56" s="10"/>
      <c r="U56" s="11" t="s">
        <v>2953</v>
      </c>
      <c r="V56" s="11" t="s">
        <v>93</v>
      </c>
      <c r="W56" s="11">
        <v>0</v>
      </c>
      <c r="X56" s="11" t="s">
        <v>93</v>
      </c>
      <c r="Y56" s="11"/>
      <c r="Z56" s="12"/>
      <c r="AA56" s="11"/>
      <c r="AB56" s="11"/>
      <c r="AC56" s="1" t="s">
        <v>2954</v>
      </c>
      <c r="AD56" s="1" t="s">
        <v>2955</v>
      </c>
    </row>
    <row r="57" spans="1:30" ht="187.2" x14ac:dyDescent="0.3">
      <c r="A57" s="1" t="s">
        <v>262</v>
      </c>
      <c r="B57" s="1" t="s">
        <v>4512</v>
      </c>
      <c r="C57" s="1" t="s">
        <v>419</v>
      </c>
      <c r="D57" s="1" t="s">
        <v>512</v>
      </c>
      <c r="E57" s="1" t="s">
        <v>421</v>
      </c>
      <c r="F57" s="1" t="s">
        <v>305</v>
      </c>
      <c r="G57" s="1" t="s">
        <v>514</v>
      </c>
      <c r="H57" s="1" t="s">
        <v>515</v>
      </c>
      <c r="I57" s="1"/>
      <c r="J57" s="1" t="s">
        <v>515</v>
      </c>
      <c r="K57" s="1"/>
      <c r="L57" s="7"/>
      <c r="M57" s="7" t="s">
        <v>125</v>
      </c>
      <c r="N57" s="7" t="s">
        <v>90</v>
      </c>
      <c r="O57" s="10"/>
      <c r="P57" s="10"/>
      <c r="Q57" s="7"/>
      <c r="R57" s="7"/>
      <c r="S57" s="7" t="s">
        <v>124</v>
      </c>
      <c r="T57" s="10"/>
      <c r="U57" s="11" t="s">
        <v>2956</v>
      </c>
      <c r="V57" s="11" t="s">
        <v>93</v>
      </c>
      <c r="W57" s="11">
        <v>0</v>
      </c>
      <c r="X57" s="11" t="s">
        <v>93</v>
      </c>
      <c r="Y57" s="11"/>
      <c r="Z57" s="12"/>
      <c r="AA57" s="11"/>
      <c r="AB57" s="11"/>
      <c r="AC57" s="1" t="s">
        <v>2957</v>
      </c>
      <c r="AD57" s="1" t="s">
        <v>2958</v>
      </c>
    </row>
    <row r="58" spans="1:30" ht="187.2" x14ac:dyDescent="0.3">
      <c r="A58" s="1" t="s">
        <v>262</v>
      </c>
      <c r="B58" s="1" t="s">
        <v>4512</v>
      </c>
      <c r="C58" s="1" t="s">
        <v>419</v>
      </c>
      <c r="D58" s="1" t="s">
        <v>516</v>
      </c>
      <c r="E58" s="1" t="s">
        <v>421</v>
      </c>
      <c r="F58" s="1" t="s">
        <v>518</v>
      </c>
      <c r="G58" s="1" t="s">
        <v>519</v>
      </c>
      <c r="H58" s="1" t="s">
        <v>520</v>
      </c>
      <c r="I58" s="1"/>
      <c r="J58" s="1" t="s">
        <v>520</v>
      </c>
      <c r="K58" s="1"/>
      <c r="L58" s="7"/>
      <c r="M58" s="7" t="s">
        <v>125</v>
      </c>
      <c r="N58" s="7" t="s">
        <v>90</v>
      </c>
      <c r="O58" s="10"/>
      <c r="P58" s="10"/>
      <c r="Q58" s="7"/>
      <c r="R58" s="7"/>
      <c r="S58" s="7" t="s">
        <v>124</v>
      </c>
      <c r="T58" s="10"/>
      <c r="U58" s="11" t="s">
        <v>2959</v>
      </c>
      <c r="V58" s="11" t="s">
        <v>93</v>
      </c>
      <c r="W58" s="11">
        <v>0</v>
      </c>
      <c r="X58" s="11" t="s">
        <v>93</v>
      </c>
      <c r="Y58" s="11"/>
      <c r="Z58" s="12"/>
      <c r="AA58" s="11"/>
      <c r="AB58" s="11"/>
      <c r="AC58" s="1" t="s">
        <v>2960</v>
      </c>
      <c r="AD58" s="1" t="s">
        <v>2961</v>
      </c>
    </row>
    <row r="59" spans="1:30" ht="187.2" x14ac:dyDescent="0.3">
      <c r="A59" s="1" t="s">
        <v>262</v>
      </c>
      <c r="B59" s="1" t="s">
        <v>4512</v>
      </c>
      <c r="C59" s="1" t="s">
        <v>419</v>
      </c>
      <c r="D59" s="1" t="s">
        <v>521</v>
      </c>
      <c r="E59" s="1" t="s">
        <v>421</v>
      </c>
      <c r="F59" s="1" t="s">
        <v>523</v>
      </c>
      <c r="G59" s="1" t="s">
        <v>524</v>
      </c>
      <c r="H59" s="1"/>
      <c r="I59" s="1"/>
      <c r="J59" s="1"/>
      <c r="K59" s="1"/>
      <c r="L59" s="7"/>
      <c r="M59" s="7" t="s">
        <v>125</v>
      </c>
      <c r="N59" s="7" t="s">
        <v>90</v>
      </c>
      <c r="O59" s="10"/>
      <c r="P59" s="10"/>
      <c r="Q59" s="7"/>
      <c r="R59" s="7"/>
      <c r="S59" s="7" t="s">
        <v>124</v>
      </c>
      <c r="T59" s="10"/>
      <c r="U59" s="11" t="s">
        <v>2962</v>
      </c>
      <c r="V59" s="11" t="s">
        <v>93</v>
      </c>
      <c r="W59" s="11">
        <v>0</v>
      </c>
      <c r="X59" s="11" t="s">
        <v>93</v>
      </c>
      <c r="Y59" s="11"/>
      <c r="Z59" s="12"/>
      <c r="AA59" s="11"/>
      <c r="AB59" s="11"/>
      <c r="AC59" s="1" t="s">
        <v>2963</v>
      </c>
      <c r="AD59" s="1" t="s">
        <v>2964</v>
      </c>
    </row>
    <row r="60" spans="1:30" ht="187.2" x14ac:dyDescent="0.3">
      <c r="A60" s="1" t="s">
        <v>262</v>
      </c>
      <c r="B60" s="1" t="s">
        <v>4512</v>
      </c>
      <c r="C60" s="1" t="s">
        <v>419</v>
      </c>
      <c r="D60" s="1" t="s">
        <v>525</v>
      </c>
      <c r="E60" s="1" t="s">
        <v>421</v>
      </c>
      <c r="F60" s="1" t="s">
        <v>527</v>
      </c>
      <c r="G60" s="1" t="s">
        <v>528</v>
      </c>
      <c r="H60" s="1" t="s">
        <v>529</v>
      </c>
      <c r="I60" s="1" t="s">
        <v>530</v>
      </c>
      <c r="J60" s="1" t="s">
        <v>529</v>
      </c>
      <c r="K60" s="1"/>
      <c r="L60" s="7"/>
      <c r="M60" s="7" t="s">
        <v>125</v>
      </c>
      <c r="N60" s="7" t="s">
        <v>90</v>
      </c>
      <c r="O60" s="10"/>
      <c r="P60" s="10"/>
      <c r="Q60" s="7"/>
      <c r="R60" s="7"/>
      <c r="S60" s="7" t="s">
        <v>124</v>
      </c>
      <c r="T60" s="10"/>
      <c r="U60" s="11" t="s">
        <v>2965</v>
      </c>
      <c r="V60" s="11" t="s">
        <v>93</v>
      </c>
      <c r="W60" s="11">
        <v>0</v>
      </c>
      <c r="X60" s="11" t="s">
        <v>93</v>
      </c>
      <c r="Y60" s="11"/>
      <c r="Z60" s="12"/>
      <c r="AA60" s="11"/>
      <c r="AB60" s="11"/>
      <c r="AC60" s="1" t="s">
        <v>2966</v>
      </c>
      <c r="AD60" s="1" t="s">
        <v>2967</v>
      </c>
    </row>
    <row r="61" spans="1:30" ht="187.2" x14ac:dyDescent="0.3">
      <c r="A61" s="1" t="s">
        <v>262</v>
      </c>
      <c r="B61" s="1" t="s">
        <v>4512</v>
      </c>
      <c r="C61" s="1" t="s">
        <v>419</v>
      </c>
      <c r="D61" s="1" t="s">
        <v>531</v>
      </c>
      <c r="E61" s="1" t="s">
        <v>421</v>
      </c>
      <c r="F61" s="1" t="s">
        <v>533</v>
      </c>
      <c r="G61" s="1" t="s">
        <v>534</v>
      </c>
      <c r="H61" s="1" t="s">
        <v>535</v>
      </c>
      <c r="I61" s="1" t="s">
        <v>536</v>
      </c>
      <c r="J61" s="1" t="s">
        <v>535</v>
      </c>
      <c r="K61" s="1" t="s">
        <v>537</v>
      </c>
      <c r="L61" s="7"/>
      <c r="M61" s="7" t="s">
        <v>125</v>
      </c>
      <c r="N61" s="7" t="s">
        <v>90</v>
      </c>
      <c r="O61" s="10"/>
      <c r="P61" s="10"/>
      <c r="Q61" s="7"/>
      <c r="R61" s="7"/>
      <c r="S61" s="7" t="s">
        <v>124</v>
      </c>
      <c r="T61" s="10"/>
      <c r="U61" s="11" t="s">
        <v>2968</v>
      </c>
      <c r="V61" s="11" t="s">
        <v>93</v>
      </c>
      <c r="W61" s="11">
        <v>0</v>
      </c>
      <c r="X61" s="11" t="s">
        <v>93</v>
      </c>
      <c r="Y61" s="11"/>
      <c r="Z61" s="12"/>
      <c r="AA61" s="11"/>
      <c r="AB61" s="11"/>
      <c r="AC61" s="1" t="s">
        <v>2969</v>
      </c>
      <c r="AD61" s="1" t="s">
        <v>2970</v>
      </c>
    </row>
    <row r="62" spans="1:30" ht="187.2" x14ac:dyDescent="0.3">
      <c r="A62" s="1" t="s">
        <v>262</v>
      </c>
      <c r="B62" s="1" t="s">
        <v>4512</v>
      </c>
      <c r="C62" s="1" t="s">
        <v>419</v>
      </c>
      <c r="D62" s="1" t="s">
        <v>538</v>
      </c>
      <c r="E62" s="1" t="s">
        <v>421</v>
      </c>
      <c r="F62" s="1" t="s">
        <v>540</v>
      </c>
      <c r="G62" s="1" t="s">
        <v>541</v>
      </c>
      <c r="H62" s="1" t="s">
        <v>542</v>
      </c>
      <c r="I62" s="1"/>
      <c r="J62" s="1" t="s">
        <v>542</v>
      </c>
      <c r="K62" s="1"/>
      <c r="L62" s="7"/>
      <c r="M62" s="7" t="s">
        <v>125</v>
      </c>
      <c r="N62" s="7" t="s">
        <v>90</v>
      </c>
      <c r="O62" s="10"/>
      <c r="P62" s="10"/>
      <c r="Q62" s="7"/>
      <c r="R62" s="7"/>
      <c r="S62" s="7" t="s">
        <v>124</v>
      </c>
      <c r="T62" s="10"/>
      <c r="U62" s="11" t="s">
        <v>2971</v>
      </c>
      <c r="V62" s="11" t="s">
        <v>93</v>
      </c>
      <c r="W62" s="11">
        <v>0</v>
      </c>
      <c r="X62" s="11" t="s">
        <v>93</v>
      </c>
      <c r="Y62" s="11"/>
      <c r="Z62" s="12"/>
      <c r="AA62" s="11"/>
      <c r="AB62" s="11"/>
      <c r="AC62" s="1" t="s">
        <v>2972</v>
      </c>
      <c r="AD62" s="1" t="s">
        <v>2973</v>
      </c>
    </row>
    <row r="63" spans="1:30" ht="187.2" x14ac:dyDescent="0.3">
      <c r="A63" s="1" t="s">
        <v>262</v>
      </c>
      <c r="B63" s="1" t="s">
        <v>4512</v>
      </c>
      <c r="C63" s="1" t="s">
        <v>419</v>
      </c>
      <c r="D63" s="1" t="s">
        <v>543</v>
      </c>
      <c r="E63" s="1" t="s">
        <v>421</v>
      </c>
      <c r="F63" s="1" t="s">
        <v>545</v>
      </c>
      <c r="G63" s="1" t="s">
        <v>546</v>
      </c>
      <c r="H63" s="1" t="s">
        <v>547</v>
      </c>
      <c r="I63" s="1"/>
      <c r="J63" s="1" t="s">
        <v>547</v>
      </c>
      <c r="K63" s="1"/>
      <c r="L63" s="7"/>
      <c r="M63" s="7" t="s">
        <v>125</v>
      </c>
      <c r="N63" s="7" t="s">
        <v>90</v>
      </c>
      <c r="O63" s="10"/>
      <c r="P63" s="10"/>
      <c r="Q63" s="7"/>
      <c r="R63" s="7"/>
      <c r="S63" s="7" t="s">
        <v>124</v>
      </c>
      <c r="T63" s="10"/>
      <c r="U63" s="11" t="s">
        <v>2974</v>
      </c>
      <c r="V63" s="11" t="s">
        <v>93</v>
      </c>
      <c r="W63" s="11">
        <v>0</v>
      </c>
      <c r="X63" s="11" t="s">
        <v>93</v>
      </c>
      <c r="Y63" s="11"/>
      <c r="Z63" s="12"/>
      <c r="AA63" s="11"/>
      <c r="AB63" s="11"/>
      <c r="AC63" s="1" t="s">
        <v>2975</v>
      </c>
      <c r="AD63" s="1" t="s">
        <v>2976</v>
      </c>
    </row>
    <row r="64" spans="1:30" ht="187.2" x14ac:dyDescent="0.3">
      <c r="A64" s="1" t="s">
        <v>270</v>
      </c>
      <c r="B64" s="1" t="s">
        <v>4513</v>
      </c>
      <c r="C64" s="1" t="s">
        <v>548</v>
      </c>
      <c r="D64" s="1" t="s">
        <v>549</v>
      </c>
      <c r="E64" s="1" t="s">
        <v>550</v>
      </c>
      <c r="F64" s="1" t="s">
        <v>552</v>
      </c>
      <c r="G64" s="1" t="s">
        <v>553</v>
      </c>
      <c r="H64" s="1" t="s">
        <v>554</v>
      </c>
      <c r="I64" s="1"/>
      <c r="J64" s="1" t="s">
        <v>554</v>
      </c>
      <c r="K64" s="1"/>
      <c r="L64" s="7"/>
      <c r="M64" s="7" t="s">
        <v>125</v>
      </c>
      <c r="N64" s="7" t="s">
        <v>90</v>
      </c>
      <c r="O64" s="10"/>
      <c r="P64" s="10"/>
      <c r="Q64" s="7"/>
      <c r="R64" s="7"/>
      <c r="S64" s="7" t="s">
        <v>124</v>
      </c>
      <c r="T64" s="10"/>
      <c r="U64" s="11" t="s">
        <v>2977</v>
      </c>
      <c r="V64" s="11" t="s">
        <v>93</v>
      </c>
      <c r="W64" s="11">
        <v>0</v>
      </c>
      <c r="X64" s="11" t="s">
        <v>93</v>
      </c>
      <c r="Y64" s="11"/>
      <c r="Z64" s="12"/>
      <c r="AA64" s="11"/>
      <c r="AB64" s="11"/>
      <c r="AC64" s="1" t="s">
        <v>2978</v>
      </c>
      <c r="AD64" s="1" t="s">
        <v>2979</v>
      </c>
    </row>
    <row r="65" spans="1:30" ht="187.2" x14ac:dyDescent="0.3">
      <c r="A65" s="1" t="s">
        <v>270</v>
      </c>
      <c r="B65" s="1" t="s">
        <v>4513</v>
      </c>
      <c r="C65" s="1" t="s">
        <v>548</v>
      </c>
      <c r="D65" s="1" t="s">
        <v>555</v>
      </c>
      <c r="E65" s="1" t="s">
        <v>550</v>
      </c>
      <c r="F65" s="1" t="s">
        <v>557</v>
      </c>
      <c r="G65" s="1" t="s">
        <v>558</v>
      </c>
      <c r="H65" s="1" t="s">
        <v>559</v>
      </c>
      <c r="I65" s="1"/>
      <c r="J65" s="1" t="s">
        <v>559</v>
      </c>
      <c r="K65" s="1"/>
      <c r="L65" s="7"/>
      <c r="M65" s="7" t="s">
        <v>125</v>
      </c>
      <c r="N65" s="7" t="s">
        <v>90</v>
      </c>
      <c r="O65" s="10"/>
      <c r="P65" s="10"/>
      <c r="Q65" s="7"/>
      <c r="R65" s="7"/>
      <c r="S65" s="7" t="s">
        <v>124</v>
      </c>
      <c r="T65" s="10"/>
      <c r="U65" s="11" t="s">
        <v>2980</v>
      </c>
      <c r="V65" s="11" t="s">
        <v>93</v>
      </c>
      <c r="W65" s="11">
        <v>0</v>
      </c>
      <c r="X65" s="11" t="s">
        <v>93</v>
      </c>
      <c r="Y65" s="11"/>
      <c r="Z65" s="12"/>
      <c r="AA65" s="11"/>
      <c r="AB65" s="11"/>
      <c r="AC65" s="1" t="s">
        <v>2981</v>
      </c>
      <c r="AD65" s="1" t="s">
        <v>2982</v>
      </c>
    </row>
    <row r="66" spans="1:30" ht="187.2" x14ac:dyDescent="0.3">
      <c r="A66" s="1" t="s">
        <v>270</v>
      </c>
      <c r="B66" s="1" t="s">
        <v>4513</v>
      </c>
      <c r="C66" s="1" t="s">
        <v>548</v>
      </c>
      <c r="D66" s="1" t="s">
        <v>560</v>
      </c>
      <c r="E66" s="1" t="s">
        <v>550</v>
      </c>
      <c r="F66" s="1" t="s">
        <v>311</v>
      </c>
      <c r="G66" s="1" t="s">
        <v>562</v>
      </c>
      <c r="H66" s="1" t="s">
        <v>563</v>
      </c>
      <c r="I66" s="1"/>
      <c r="J66" s="1" t="s">
        <v>563</v>
      </c>
      <c r="K66" s="1" t="s">
        <v>564</v>
      </c>
      <c r="L66" s="7"/>
      <c r="M66" s="7" t="s">
        <v>125</v>
      </c>
      <c r="N66" s="7" t="s">
        <v>90</v>
      </c>
      <c r="O66" s="10"/>
      <c r="P66" s="10"/>
      <c r="Q66" s="7"/>
      <c r="R66" s="7"/>
      <c r="S66" s="7" t="s">
        <v>124</v>
      </c>
      <c r="T66" s="10"/>
      <c r="U66" s="11" t="s">
        <v>2983</v>
      </c>
      <c r="V66" s="11" t="s">
        <v>93</v>
      </c>
      <c r="W66" s="11">
        <v>0</v>
      </c>
      <c r="X66" s="11" t="s">
        <v>93</v>
      </c>
      <c r="Y66" s="11"/>
      <c r="Z66" s="12"/>
      <c r="AA66" s="11"/>
      <c r="AB66" s="11"/>
      <c r="AC66" s="1" t="s">
        <v>2984</v>
      </c>
      <c r="AD66" s="1" t="s">
        <v>2985</v>
      </c>
    </row>
    <row r="67" spans="1:30" ht="187.2" x14ac:dyDescent="0.3">
      <c r="A67" s="1" t="s">
        <v>270</v>
      </c>
      <c r="B67" s="1" t="s">
        <v>4513</v>
      </c>
      <c r="C67" s="1" t="s">
        <v>548</v>
      </c>
      <c r="D67" s="1" t="s">
        <v>565</v>
      </c>
      <c r="E67" s="1" t="s">
        <v>550</v>
      </c>
      <c r="F67" s="1" t="s">
        <v>567</v>
      </c>
      <c r="G67" s="1" t="s">
        <v>568</v>
      </c>
      <c r="H67" s="1" t="s">
        <v>569</v>
      </c>
      <c r="I67" s="1"/>
      <c r="J67" s="1" t="s">
        <v>569</v>
      </c>
      <c r="K67" s="1"/>
      <c r="L67" s="7"/>
      <c r="M67" s="7" t="s">
        <v>125</v>
      </c>
      <c r="N67" s="7" t="s">
        <v>90</v>
      </c>
      <c r="O67" s="10"/>
      <c r="P67" s="10"/>
      <c r="Q67" s="7"/>
      <c r="R67" s="7"/>
      <c r="S67" s="7" t="s">
        <v>124</v>
      </c>
      <c r="T67" s="10"/>
      <c r="U67" s="11" t="s">
        <v>2986</v>
      </c>
      <c r="V67" s="11" t="s">
        <v>93</v>
      </c>
      <c r="W67" s="11">
        <v>0</v>
      </c>
      <c r="X67" s="11" t="s">
        <v>93</v>
      </c>
      <c r="Y67" s="11"/>
      <c r="Z67" s="12"/>
      <c r="AA67" s="11"/>
      <c r="AB67" s="11"/>
      <c r="AC67" s="1" t="s">
        <v>2987</v>
      </c>
      <c r="AD67" s="1" t="s">
        <v>2988</v>
      </c>
    </row>
    <row r="68" spans="1:30" ht="187.2" x14ac:dyDescent="0.3">
      <c r="A68" s="1" t="s">
        <v>270</v>
      </c>
      <c r="B68" s="1" t="s">
        <v>4513</v>
      </c>
      <c r="C68" s="1" t="s">
        <v>548</v>
      </c>
      <c r="D68" s="1" t="s">
        <v>570</v>
      </c>
      <c r="E68" s="1" t="s">
        <v>550</v>
      </c>
      <c r="F68" s="1" t="s">
        <v>567</v>
      </c>
      <c r="G68" s="1" t="s">
        <v>572</v>
      </c>
      <c r="H68" s="1" t="s">
        <v>573</v>
      </c>
      <c r="I68" s="1"/>
      <c r="J68" s="1" t="s">
        <v>573</v>
      </c>
      <c r="K68" s="1"/>
      <c r="L68" s="7"/>
      <c r="M68" s="7" t="s">
        <v>125</v>
      </c>
      <c r="N68" s="7" t="s">
        <v>90</v>
      </c>
      <c r="O68" s="10"/>
      <c r="P68" s="10"/>
      <c r="Q68" s="7"/>
      <c r="R68" s="7"/>
      <c r="S68" s="7" t="s">
        <v>124</v>
      </c>
      <c r="T68" s="10"/>
      <c r="U68" s="11" t="s">
        <v>2989</v>
      </c>
      <c r="V68" s="11" t="s">
        <v>93</v>
      </c>
      <c r="W68" s="11">
        <v>0</v>
      </c>
      <c r="X68" s="11" t="s">
        <v>93</v>
      </c>
      <c r="Y68" s="11"/>
      <c r="Z68" s="12"/>
      <c r="AA68" s="11"/>
      <c r="AB68" s="11"/>
      <c r="AC68" s="1" t="s">
        <v>2990</v>
      </c>
      <c r="AD68" s="1" t="s">
        <v>2991</v>
      </c>
    </row>
    <row r="69" spans="1:30" ht="187.2" x14ac:dyDescent="0.3">
      <c r="A69" s="1" t="s">
        <v>270</v>
      </c>
      <c r="B69" s="1" t="s">
        <v>4513</v>
      </c>
      <c r="C69" s="1" t="s">
        <v>548</v>
      </c>
      <c r="D69" s="1" t="s">
        <v>574</v>
      </c>
      <c r="E69" s="1" t="s">
        <v>550</v>
      </c>
      <c r="F69" s="1" t="s">
        <v>576</v>
      </c>
      <c r="G69" s="1" t="s">
        <v>577</v>
      </c>
      <c r="H69" s="1" t="s">
        <v>578</v>
      </c>
      <c r="I69" s="1"/>
      <c r="J69" s="1" t="s">
        <v>578</v>
      </c>
      <c r="K69" s="1"/>
      <c r="L69" s="7"/>
      <c r="M69" s="7" t="s">
        <v>125</v>
      </c>
      <c r="N69" s="7" t="s">
        <v>90</v>
      </c>
      <c r="O69" s="10"/>
      <c r="P69" s="10"/>
      <c r="Q69" s="7"/>
      <c r="R69" s="7"/>
      <c r="S69" s="7" t="s">
        <v>124</v>
      </c>
      <c r="T69" s="10"/>
      <c r="U69" s="11" t="s">
        <v>2992</v>
      </c>
      <c r="V69" s="11" t="s">
        <v>93</v>
      </c>
      <c r="W69" s="11">
        <v>0</v>
      </c>
      <c r="X69" s="11" t="s">
        <v>93</v>
      </c>
      <c r="Y69" s="11"/>
      <c r="Z69" s="12"/>
      <c r="AA69" s="11"/>
      <c r="AB69" s="11"/>
      <c r="AC69" s="1" t="s">
        <v>2993</v>
      </c>
      <c r="AD69" s="1" t="s">
        <v>2994</v>
      </c>
    </row>
    <row r="70" spans="1:30" ht="187.2" x14ac:dyDescent="0.3">
      <c r="A70" s="1" t="s">
        <v>270</v>
      </c>
      <c r="B70" s="1" t="s">
        <v>4513</v>
      </c>
      <c r="C70" s="1" t="s">
        <v>548</v>
      </c>
      <c r="D70" s="1" t="s">
        <v>579</v>
      </c>
      <c r="E70" s="1" t="s">
        <v>550</v>
      </c>
      <c r="F70" s="1" t="s">
        <v>581</v>
      </c>
      <c r="G70" s="1" t="s">
        <v>582</v>
      </c>
      <c r="H70" s="1" t="s">
        <v>583</v>
      </c>
      <c r="I70" s="1" t="s">
        <v>584</v>
      </c>
      <c r="J70" s="1" t="s">
        <v>583</v>
      </c>
      <c r="K70" s="1"/>
      <c r="L70" s="7"/>
      <c r="M70" s="7" t="s">
        <v>125</v>
      </c>
      <c r="N70" s="7" t="s">
        <v>90</v>
      </c>
      <c r="O70" s="10"/>
      <c r="P70" s="10"/>
      <c r="Q70" s="7"/>
      <c r="R70" s="7"/>
      <c r="S70" s="7" t="s">
        <v>124</v>
      </c>
      <c r="T70" s="10"/>
      <c r="U70" s="11" t="s">
        <v>2995</v>
      </c>
      <c r="V70" s="11" t="s">
        <v>93</v>
      </c>
      <c r="W70" s="11">
        <v>0</v>
      </c>
      <c r="X70" s="11" t="s">
        <v>93</v>
      </c>
      <c r="Y70" s="11"/>
      <c r="Z70" s="12"/>
      <c r="AA70" s="11"/>
      <c r="AB70" s="11"/>
      <c r="AC70" s="1" t="s">
        <v>2996</v>
      </c>
      <c r="AD70" s="1" t="s">
        <v>2997</v>
      </c>
    </row>
    <row r="71" spans="1:30" ht="187.2" x14ac:dyDescent="0.3">
      <c r="A71" s="1" t="s">
        <v>270</v>
      </c>
      <c r="B71" s="1" t="s">
        <v>4513</v>
      </c>
      <c r="C71" s="1" t="s">
        <v>548</v>
      </c>
      <c r="D71" s="1" t="s">
        <v>585</v>
      </c>
      <c r="E71" s="1" t="s">
        <v>550</v>
      </c>
      <c r="F71" s="1" t="s">
        <v>587</v>
      </c>
      <c r="G71" s="1" t="s">
        <v>485</v>
      </c>
      <c r="H71" s="1" t="s">
        <v>588</v>
      </c>
      <c r="I71" s="1"/>
      <c r="J71" s="1" t="s">
        <v>588</v>
      </c>
      <c r="K71" s="1"/>
      <c r="L71" s="7"/>
      <c r="M71" s="7" t="s">
        <v>125</v>
      </c>
      <c r="N71" s="7" t="s">
        <v>90</v>
      </c>
      <c r="O71" s="10"/>
      <c r="P71" s="10"/>
      <c r="Q71" s="7"/>
      <c r="R71" s="7"/>
      <c r="S71" s="7" t="s">
        <v>124</v>
      </c>
      <c r="T71" s="10"/>
      <c r="U71" s="11" t="s">
        <v>2998</v>
      </c>
      <c r="V71" s="11" t="s">
        <v>93</v>
      </c>
      <c r="W71" s="11">
        <v>0</v>
      </c>
      <c r="X71" s="11" t="s">
        <v>93</v>
      </c>
      <c r="Y71" s="11"/>
      <c r="Z71" s="12"/>
      <c r="AA71" s="11"/>
      <c r="AB71" s="11"/>
      <c r="AC71" s="1" t="s">
        <v>2999</v>
      </c>
      <c r="AD71" s="1" t="s">
        <v>3000</v>
      </c>
    </row>
    <row r="72" spans="1:30" ht="187.2" x14ac:dyDescent="0.3">
      <c r="A72" s="1" t="s">
        <v>270</v>
      </c>
      <c r="B72" s="1" t="s">
        <v>4513</v>
      </c>
      <c r="C72" s="1" t="s">
        <v>548</v>
      </c>
      <c r="D72" s="1" t="s">
        <v>589</v>
      </c>
      <c r="E72" s="1" t="s">
        <v>550</v>
      </c>
      <c r="F72" s="1" t="s">
        <v>458</v>
      </c>
      <c r="G72" s="1" t="s">
        <v>591</v>
      </c>
      <c r="H72" s="1" t="s">
        <v>592</v>
      </c>
      <c r="I72" s="1" t="s">
        <v>593</v>
      </c>
      <c r="J72" s="1" t="s">
        <v>592</v>
      </c>
      <c r="K72" s="1" t="s">
        <v>316</v>
      </c>
      <c r="L72" s="7"/>
      <c r="M72" s="7" t="s">
        <v>125</v>
      </c>
      <c r="N72" s="7" t="s">
        <v>90</v>
      </c>
      <c r="O72" s="10"/>
      <c r="P72" s="10"/>
      <c r="Q72" s="7"/>
      <c r="R72" s="7"/>
      <c r="S72" s="7" t="s">
        <v>124</v>
      </c>
      <c r="T72" s="10"/>
      <c r="U72" s="11" t="s">
        <v>3001</v>
      </c>
      <c r="V72" s="11" t="s">
        <v>93</v>
      </c>
      <c r="W72" s="11">
        <v>0</v>
      </c>
      <c r="X72" s="11" t="s">
        <v>93</v>
      </c>
      <c r="Y72" s="11"/>
      <c r="Z72" s="12"/>
      <c r="AA72" s="11"/>
      <c r="AB72" s="11"/>
      <c r="AC72" s="1" t="s">
        <v>3002</v>
      </c>
      <c r="AD72" s="1" t="s">
        <v>3003</v>
      </c>
    </row>
    <row r="73" spans="1:30" ht="187.2" x14ac:dyDescent="0.3">
      <c r="A73" s="1" t="s">
        <v>270</v>
      </c>
      <c r="B73" s="1" t="s">
        <v>4513</v>
      </c>
      <c r="C73" s="1" t="s">
        <v>548</v>
      </c>
      <c r="D73" s="1" t="s">
        <v>594</v>
      </c>
      <c r="E73" s="1" t="s">
        <v>550</v>
      </c>
      <c r="F73" s="1" t="s">
        <v>587</v>
      </c>
      <c r="G73" s="1" t="s">
        <v>596</v>
      </c>
      <c r="H73" s="1" t="s">
        <v>597</v>
      </c>
      <c r="I73" s="1"/>
      <c r="J73" s="1" t="s">
        <v>597</v>
      </c>
      <c r="K73" s="1"/>
      <c r="L73" s="7"/>
      <c r="M73" s="7" t="s">
        <v>125</v>
      </c>
      <c r="N73" s="7" t="s">
        <v>90</v>
      </c>
      <c r="O73" s="10"/>
      <c r="P73" s="10"/>
      <c r="Q73" s="7"/>
      <c r="R73" s="7"/>
      <c r="S73" s="7" t="s">
        <v>124</v>
      </c>
      <c r="T73" s="10"/>
      <c r="U73" s="11" t="s">
        <v>3004</v>
      </c>
      <c r="V73" s="11" t="s">
        <v>93</v>
      </c>
      <c r="W73" s="11">
        <v>0</v>
      </c>
      <c r="X73" s="11" t="s">
        <v>93</v>
      </c>
      <c r="Y73" s="11"/>
      <c r="Z73" s="12"/>
      <c r="AA73" s="11"/>
      <c r="AB73" s="11"/>
      <c r="AC73" s="1" t="s">
        <v>3005</v>
      </c>
      <c r="AD73" s="1" t="s">
        <v>3006</v>
      </c>
    </row>
    <row r="74" spans="1:30" ht="187.2" x14ac:dyDescent="0.3">
      <c r="A74" s="1" t="s">
        <v>270</v>
      </c>
      <c r="B74" s="1" t="s">
        <v>4513</v>
      </c>
      <c r="C74" s="1" t="s">
        <v>548</v>
      </c>
      <c r="D74" s="1" t="s">
        <v>598</v>
      </c>
      <c r="E74" s="1" t="s">
        <v>550</v>
      </c>
      <c r="F74" s="1" t="s">
        <v>600</v>
      </c>
      <c r="G74" s="1" t="s">
        <v>601</v>
      </c>
      <c r="H74" s="1" t="s">
        <v>602</v>
      </c>
      <c r="I74" s="1"/>
      <c r="J74" s="1" t="s">
        <v>602</v>
      </c>
      <c r="K74" s="1"/>
      <c r="L74" s="7"/>
      <c r="M74" s="7" t="s">
        <v>125</v>
      </c>
      <c r="N74" s="7" t="s">
        <v>90</v>
      </c>
      <c r="O74" s="10"/>
      <c r="P74" s="10"/>
      <c r="Q74" s="7"/>
      <c r="R74" s="7"/>
      <c r="S74" s="7" t="s">
        <v>124</v>
      </c>
      <c r="T74" s="10"/>
      <c r="U74" s="11" t="s">
        <v>3007</v>
      </c>
      <c r="V74" s="11" t="s">
        <v>93</v>
      </c>
      <c r="W74" s="11">
        <v>0</v>
      </c>
      <c r="X74" s="11" t="s">
        <v>93</v>
      </c>
      <c r="Y74" s="11"/>
      <c r="Z74" s="12"/>
      <c r="AA74" s="11"/>
      <c r="AB74" s="11"/>
      <c r="AC74" s="1" t="s">
        <v>3008</v>
      </c>
      <c r="AD74" s="1" t="s">
        <v>3009</v>
      </c>
    </row>
    <row r="75" spans="1:30" ht="187.2" x14ac:dyDescent="0.3">
      <c r="A75" s="1" t="s">
        <v>270</v>
      </c>
      <c r="B75" s="1" t="s">
        <v>4513</v>
      </c>
      <c r="C75" s="1" t="s">
        <v>548</v>
      </c>
      <c r="D75" s="1" t="s">
        <v>603</v>
      </c>
      <c r="E75" s="1" t="s">
        <v>550</v>
      </c>
      <c r="F75" s="1" t="s">
        <v>605</v>
      </c>
      <c r="G75" s="1" t="s">
        <v>606</v>
      </c>
      <c r="H75" s="1" t="s">
        <v>607</v>
      </c>
      <c r="I75" s="1" t="s">
        <v>608</v>
      </c>
      <c r="J75" s="1" t="s">
        <v>607</v>
      </c>
      <c r="K75" s="1"/>
      <c r="L75" s="7"/>
      <c r="M75" s="7" t="s">
        <v>125</v>
      </c>
      <c r="N75" s="7" t="s">
        <v>90</v>
      </c>
      <c r="O75" s="10"/>
      <c r="P75" s="10"/>
      <c r="Q75" s="7"/>
      <c r="R75" s="7"/>
      <c r="S75" s="7" t="s">
        <v>124</v>
      </c>
      <c r="T75" s="10"/>
      <c r="U75" s="11" t="s">
        <v>3010</v>
      </c>
      <c r="V75" s="11" t="s">
        <v>93</v>
      </c>
      <c r="W75" s="11">
        <v>0</v>
      </c>
      <c r="X75" s="11" t="s">
        <v>93</v>
      </c>
      <c r="Y75" s="11"/>
      <c r="Z75" s="12"/>
      <c r="AA75" s="11"/>
      <c r="AB75" s="11"/>
      <c r="AC75" s="1" t="s">
        <v>3011</v>
      </c>
      <c r="AD75" s="1" t="s">
        <v>3012</v>
      </c>
    </row>
    <row r="76" spans="1:30" ht="187.2" x14ac:dyDescent="0.3">
      <c r="A76" s="1" t="s">
        <v>270</v>
      </c>
      <c r="B76" s="1" t="s">
        <v>4513</v>
      </c>
      <c r="C76" s="1" t="s">
        <v>548</v>
      </c>
      <c r="D76" s="1" t="s">
        <v>609</v>
      </c>
      <c r="E76" s="1" t="s">
        <v>550</v>
      </c>
      <c r="F76" s="1" t="s">
        <v>605</v>
      </c>
      <c r="G76" s="1" t="s">
        <v>611</v>
      </c>
      <c r="H76" s="1" t="s">
        <v>612</v>
      </c>
      <c r="I76" s="1"/>
      <c r="J76" s="1" t="s">
        <v>612</v>
      </c>
      <c r="K76" s="1"/>
      <c r="L76" s="7"/>
      <c r="M76" s="7" t="s">
        <v>125</v>
      </c>
      <c r="N76" s="7" t="s">
        <v>90</v>
      </c>
      <c r="O76" s="10"/>
      <c r="P76" s="10"/>
      <c r="Q76" s="7"/>
      <c r="R76" s="7"/>
      <c r="S76" s="7" t="s">
        <v>124</v>
      </c>
      <c r="T76" s="10"/>
      <c r="U76" s="11" t="s">
        <v>3013</v>
      </c>
      <c r="V76" s="11" t="s">
        <v>93</v>
      </c>
      <c r="W76" s="11">
        <v>0</v>
      </c>
      <c r="X76" s="11" t="s">
        <v>93</v>
      </c>
      <c r="Y76" s="11"/>
      <c r="Z76" s="12"/>
      <c r="AA76" s="11"/>
      <c r="AB76" s="11"/>
      <c r="AC76" s="1" t="s">
        <v>3014</v>
      </c>
      <c r="AD76" s="1" t="s">
        <v>3015</v>
      </c>
    </row>
    <row r="77" spans="1:30" ht="187.2" x14ac:dyDescent="0.3">
      <c r="A77" s="1" t="s">
        <v>270</v>
      </c>
      <c r="B77" s="1" t="s">
        <v>4513</v>
      </c>
      <c r="C77" s="1" t="s">
        <v>548</v>
      </c>
      <c r="D77" s="1" t="s">
        <v>613</v>
      </c>
      <c r="E77" s="1" t="s">
        <v>550</v>
      </c>
      <c r="F77" s="1" t="s">
        <v>615</v>
      </c>
      <c r="G77" s="1" t="s">
        <v>616</v>
      </c>
      <c r="H77" s="1" t="s">
        <v>617</v>
      </c>
      <c r="I77" s="1"/>
      <c r="J77" s="1" t="s">
        <v>617</v>
      </c>
      <c r="K77" s="1"/>
      <c r="L77" s="7"/>
      <c r="M77" s="7" t="s">
        <v>125</v>
      </c>
      <c r="N77" s="7" t="s">
        <v>90</v>
      </c>
      <c r="O77" s="10"/>
      <c r="P77" s="10"/>
      <c r="Q77" s="7"/>
      <c r="R77" s="7"/>
      <c r="S77" s="7" t="s">
        <v>124</v>
      </c>
      <c r="T77" s="10"/>
      <c r="U77" s="11" t="s">
        <v>3016</v>
      </c>
      <c r="V77" s="11" t="s">
        <v>93</v>
      </c>
      <c r="W77" s="11">
        <v>0</v>
      </c>
      <c r="X77" s="11" t="s">
        <v>93</v>
      </c>
      <c r="Y77" s="11"/>
      <c r="Z77" s="12"/>
      <c r="AA77" s="11"/>
      <c r="AB77" s="11"/>
      <c r="AC77" s="1" t="s">
        <v>3017</v>
      </c>
      <c r="AD77" s="1" t="s">
        <v>3018</v>
      </c>
    </row>
    <row r="78" spans="1:30" ht="187.2" x14ac:dyDescent="0.3">
      <c r="A78" s="1" t="s">
        <v>270</v>
      </c>
      <c r="B78" s="1" t="s">
        <v>4513</v>
      </c>
      <c r="C78" s="1" t="s">
        <v>548</v>
      </c>
      <c r="D78" s="1" t="s">
        <v>618</v>
      </c>
      <c r="E78" s="1" t="s">
        <v>550</v>
      </c>
      <c r="F78" s="1" t="s">
        <v>620</v>
      </c>
      <c r="G78" s="1" t="s">
        <v>621</v>
      </c>
      <c r="H78" s="1" t="s">
        <v>622</v>
      </c>
      <c r="I78" s="1"/>
      <c r="J78" s="1" t="s">
        <v>622</v>
      </c>
      <c r="K78" s="1"/>
      <c r="L78" s="7"/>
      <c r="M78" s="7" t="s">
        <v>125</v>
      </c>
      <c r="N78" s="7" t="s">
        <v>90</v>
      </c>
      <c r="O78" s="10"/>
      <c r="P78" s="10"/>
      <c r="Q78" s="7"/>
      <c r="R78" s="7"/>
      <c r="S78" s="7" t="s">
        <v>124</v>
      </c>
      <c r="T78" s="10"/>
      <c r="U78" s="11" t="s">
        <v>3019</v>
      </c>
      <c r="V78" s="11" t="s">
        <v>93</v>
      </c>
      <c r="W78" s="11">
        <v>0</v>
      </c>
      <c r="X78" s="11" t="s">
        <v>93</v>
      </c>
      <c r="Y78" s="11"/>
      <c r="Z78" s="12"/>
      <c r="AA78" s="11"/>
      <c r="AB78" s="11"/>
      <c r="AC78" s="1" t="s">
        <v>3020</v>
      </c>
      <c r="AD78" s="1" t="s">
        <v>3021</v>
      </c>
    </row>
    <row r="79" spans="1:30" ht="187.2" x14ac:dyDescent="0.3">
      <c r="A79" s="1" t="s">
        <v>270</v>
      </c>
      <c r="B79" s="1" t="s">
        <v>4513</v>
      </c>
      <c r="C79" s="1" t="s">
        <v>548</v>
      </c>
      <c r="D79" s="1" t="s">
        <v>623</v>
      </c>
      <c r="E79" s="1" t="s">
        <v>550</v>
      </c>
      <c r="F79" s="1" t="s">
        <v>625</v>
      </c>
      <c r="G79" s="1" t="s">
        <v>626</v>
      </c>
      <c r="H79" s="1" t="s">
        <v>627</v>
      </c>
      <c r="I79" s="1"/>
      <c r="J79" s="1" t="s">
        <v>627</v>
      </c>
      <c r="K79" s="1"/>
      <c r="L79" s="7"/>
      <c r="M79" s="7" t="s">
        <v>125</v>
      </c>
      <c r="N79" s="7" t="s">
        <v>90</v>
      </c>
      <c r="O79" s="10"/>
      <c r="P79" s="10"/>
      <c r="Q79" s="7"/>
      <c r="R79" s="7"/>
      <c r="S79" s="7" t="s">
        <v>124</v>
      </c>
      <c r="T79" s="10"/>
      <c r="U79" s="11" t="s">
        <v>3022</v>
      </c>
      <c r="V79" s="11" t="s">
        <v>93</v>
      </c>
      <c r="W79" s="11">
        <v>0</v>
      </c>
      <c r="X79" s="11" t="s">
        <v>93</v>
      </c>
      <c r="Y79" s="11"/>
      <c r="Z79" s="12"/>
      <c r="AA79" s="11"/>
      <c r="AB79" s="11"/>
      <c r="AC79" s="1" t="s">
        <v>3023</v>
      </c>
      <c r="AD79" s="1" t="s">
        <v>3024</v>
      </c>
    </row>
    <row r="80" spans="1:30" ht="187.2" x14ac:dyDescent="0.3">
      <c r="A80" s="1" t="s">
        <v>270</v>
      </c>
      <c r="B80" s="1" t="s">
        <v>4513</v>
      </c>
      <c r="C80" s="1" t="s">
        <v>548</v>
      </c>
      <c r="D80" s="1" t="s">
        <v>628</v>
      </c>
      <c r="E80" s="1" t="s">
        <v>550</v>
      </c>
      <c r="F80" s="1" t="s">
        <v>630</v>
      </c>
      <c r="G80" s="1" t="s">
        <v>631</v>
      </c>
      <c r="H80" s="1" t="s">
        <v>632</v>
      </c>
      <c r="I80" s="1"/>
      <c r="J80" s="1" t="s">
        <v>632</v>
      </c>
      <c r="K80" s="1"/>
      <c r="L80" s="7"/>
      <c r="M80" s="7" t="s">
        <v>125</v>
      </c>
      <c r="N80" s="7" t="s">
        <v>90</v>
      </c>
      <c r="O80" s="10"/>
      <c r="P80" s="10"/>
      <c r="Q80" s="7"/>
      <c r="R80" s="7"/>
      <c r="S80" s="7" t="s">
        <v>124</v>
      </c>
      <c r="T80" s="10"/>
      <c r="U80" s="11" t="s">
        <v>3025</v>
      </c>
      <c r="V80" s="11" t="s">
        <v>93</v>
      </c>
      <c r="W80" s="11">
        <v>0</v>
      </c>
      <c r="X80" s="11" t="s">
        <v>93</v>
      </c>
      <c r="Y80" s="11"/>
      <c r="Z80" s="12"/>
      <c r="AA80" s="11"/>
      <c r="AB80" s="11"/>
      <c r="AC80" s="1" t="s">
        <v>3026</v>
      </c>
      <c r="AD80" s="1" t="s">
        <v>3027</v>
      </c>
    </row>
    <row r="81" spans="1:30" ht="187.2" x14ac:dyDescent="0.3">
      <c r="A81" s="1" t="s">
        <v>270</v>
      </c>
      <c r="B81" s="1" t="s">
        <v>4513</v>
      </c>
      <c r="C81" s="1" t="s">
        <v>548</v>
      </c>
      <c r="D81" s="1" t="s">
        <v>633</v>
      </c>
      <c r="E81" s="1" t="s">
        <v>550</v>
      </c>
      <c r="F81" s="1" t="s">
        <v>635</v>
      </c>
      <c r="G81" s="1" t="s">
        <v>636</v>
      </c>
      <c r="H81" s="1" t="s">
        <v>637</v>
      </c>
      <c r="I81" s="1" t="s">
        <v>638</v>
      </c>
      <c r="J81" s="1" t="s">
        <v>637</v>
      </c>
      <c r="K81" s="1" t="s">
        <v>639</v>
      </c>
      <c r="L81" s="7"/>
      <c r="M81" s="7" t="s">
        <v>125</v>
      </c>
      <c r="N81" s="7" t="s">
        <v>90</v>
      </c>
      <c r="O81" s="10"/>
      <c r="P81" s="10"/>
      <c r="Q81" s="7"/>
      <c r="R81" s="7"/>
      <c r="S81" s="7" t="s">
        <v>124</v>
      </c>
      <c r="T81" s="10"/>
      <c r="U81" s="11" t="s">
        <v>3028</v>
      </c>
      <c r="V81" s="11" t="s">
        <v>93</v>
      </c>
      <c r="W81" s="11">
        <v>0</v>
      </c>
      <c r="X81" s="11" t="s">
        <v>93</v>
      </c>
      <c r="Y81" s="11"/>
      <c r="Z81" s="12"/>
      <c r="AA81" s="11"/>
      <c r="AB81" s="11"/>
      <c r="AC81" s="1" t="s">
        <v>3029</v>
      </c>
      <c r="AD81" s="1" t="s">
        <v>3030</v>
      </c>
    </row>
    <row r="82" spans="1:30" ht="187.2" x14ac:dyDescent="0.3">
      <c r="A82" s="1" t="s">
        <v>270</v>
      </c>
      <c r="B82" s="1" t="s">
        <v>4513</v>
      </c>
      <c r="C82" s="1" t="s">
        <v>548</v>
      </c>
      <c r="D82" s="1" t="s">
        <v>640</v>
      </c>
      <c r="E82" s="1" t="s">
        <v>550</v>
      </c>
      <c r="F82" s="1" t="s">
        <v>311</v>
      </c>
      <c r="G82" s="1" t="s">
        <v>642</v>
      </c>
      <c r="H82" s="1" t="s">
        <v>643</v>
      </c>
      <c r="I82" s="1"/>
      <c r="J82" s="1" t="s">
        <v>643</v>
      </c>
      <c r="K82" s="1"/>
      <c r="L82" s="7"/>
      <c r="M82" s="7" t="s">
        <v>125</v>
      </c>
      <c r="N82" s="7" t="s">
        <v>90</v>
      </c>
      <c r="O82" s="10"/>
      <c r="P82" s="10"/>
      <c r="Q82" s="7"/>
      <c r="R82" s="7"/>
      <c r="S82" s="7" t="s">
        <v>124</v>
      </c>
      <c r="T82" s="10"/>
      <c r="U82" s="11" t="s">
        <v>3031</v>
      </c>
      <c r="V82" s="11" t="s">
        <v>93</v>
      </c>
      <c r="W82" s="11">
        <v>0</v>
      </c>
      <c r="X82" s="11" t="s">
        <v>93</v>
      </c>
      <c r="Y82" s="11"/>
      <c r="Z82" s="12"/>
      <c r="AA82" s="11"/>
      <c r="AB82" s="11"/>
      <c r="AC82" s="1" t="s">
        <v>3032</v>
      </c>
      <c r="AD82" s="1" t="s">
        <v>3033</v>
      </c>
    </row>
    <row r="83" spans="1:30" ht="187.2" x14ac:dyDescent="0.3">
      <c r="A83" s="1" t="s">
        <v>270</v>
      </c>
      <c r="B83" s="1" t="s">
        <v>4513</v>
      </c>
      <c r="C83" s="1" t="s">
        <v>548</v>
      </c>
      <c r="D83" s="1" t="s">
        <v>644</v>
      </c>
      <c r="E83" s="1" t="s">
        <v>550</v>
      </c>
      <c r="F83" s="1" t="s">
        <v>646</v>
      </c>
      <c r="G83" s="1" t="s">
        <v>647</v>
      </c>
      <c r="H83" s="1" t="s">
        <v>648</v>
      </c>
      <c r="I83" s="1" t="s">
        <v>649</v>
      </c>
      <c r="J83" s="1" t="s">
        <v>648</v>
      </c>
      <c r="K83" s="1" t="s">
        <v>650</v>
      </c>
      <c r="L83" s="7"/>
      <c r="M83" s="7" t="s">
        <v>125</v>
      </c>
      <c r="N83" s="7" t="s">
        <v>90</v>
      </c>
      <c r="O83" s="10"/>
      <c r="P83" s="10"/>
      <c r="Q83" s="7"/>
      <c r="R83" s="7"/>
      <c r="S83" s="7" t="s">
        <v>124</v>
      </c>
      <c r="T83" s="10"/>
      <c r="U83" s="11" t="s">
        <v>3034</v>
      </c>
      <c r="V83" s="11" t="s">
        <v>93</v>
      </c>
      <c r="W83" s="11">
        <v>0</v>
      </c>
      <c r="X83" s="11" t="s">
        <v>93</v>
      </c>
      <c r="Y83" s="11"/>
      <c r="Z83" s="12"/>
      <c r="AA83" s="11"/>
      <c r="AB83" s="11"/>
      <c r="AC83" s="1" t="s">
        <v>3035</v>
      </c>
      <c r="AD83" s="1" t="s">
        <v>3036</v>
      </c>
    </row>
    <row r="84" spans="1:30" ht="187.2" x14ac:dyDescent="0.3">
      <c r="A84" s="1" t="s">
        <v>270</v>
      </c>
      <c r="B84" s="1" t="s">
        <v>4513</v>
      </c>
      <c r="C84" s="1" t="s">
        <v>548</v>
      </c>
      <c r="D84" s="1" t="s">
        <v>651</v>
      </c>
      <c r="E84" s="1" t="s">
        <v>550</v>
      </c>
      <c r="F84" s="1" t="s">
        <v>653</v>
      </c>
      <c r="G84" s="1" t="s">
        <v>654</v>
      </c>
      <c r="H84" s="1" t="s">
        <v>655</v>
      </c>
      <c r="I84" s="1"/>
      <c r="J84" s="1" t="s">
        <v>655</v>
      </c>
      <c r="K84" s="1"/>
      <c r="L84" s="7"/>
      <c r="M84" s="7" t="s">
        <v>125</v>
      </c>
      <c r="N84" s="7" t="s">
        <v>90</v>
      </c>
      <c r="O84" s="10"/>
      <c r="P84" s="10"/>
      <c r="Q84" s="7"/>
      <c r="R84" s="7"/>
      <c r="S84" s="7" t="s">
        <v>124</v>
      </c>
      <c r="T84" s="10"/>
      <c r="U84" s="11" t="s">
        <v>3037</v>
      </c>
      <c r="V84" s="11" t="s">
        <v>93</v>
      </c>
      <c r="W84" s="11">
        <v>0</v>
      </c>
      <c r="X84" s="11" t="s">
        <v>93</v>
      </c>
      <c r="Y84" s="11"/>
      <c r="Z84" s="12"/>
      <c r="AA84" s="11"/>
      <c r="AB84" s="11"/>
      <c r="AC84" s="1" t="s">
        <v>3038</v>
      </c>
      <c r="AD84" s="1" t="s">
        <v>3039</v>
      </c>
    </row>
    <row r="85" spans="1:30" ht="187.2" x14ac:dyDescent="0.3">
      <c r="A85" s="1" t="s">
        <v>270</v>
      </c>
      <c r="B85" s="1" t="s">
        <v>4513</v>
      </c>
      <c r="C85" s="1" t="s">
        <v>548</v>
      </c>
      <c r="D85" s="1" t="s">
        <v>656</v>
      </c>
      <c r="E85" s="1" t="s">
        <v>550</v>
      </c>
      <c r="F85" s="1" t="s">
        <v>658</v>
      </c>
      <c r="G85" s="1" t="s">
        <v>659</v>
      </c>
      <c r="H85" s="1" t="s">
        <v>660</v>
      </c>
      <c r="I85" s="1"/>
      <c r="J85" s="1" t="s">
        <v>660</v>
      </c>
      <c r="K85" s="1"/>
      <c r="L85" s="7"/>
      <c r="M85" s="7" t="s">
        <v>125</v>
      </c>
      <c r="N85" s="7" t="s">
        <v>90</v>
      </c>
      <c r="O85" s="10"/>
      <c r="P85" s="10"/>
      <c r="Q85" s="7"/>
      <c r="R85" s="7"/>
      <c r="S85" s="7" t="s">
        <v>124</v>
      </c>
      <c r="T85" s="10"/>
      <c r="U85" s="11" t="s">
        <v>3040</v>
      </c>
      <c r="V85" s="11" t="s">
        <v>93</v>
      </c>
      <c r="W85" s="11">
        <v>0</v>
      </c>
      <c r="X85" s="11" t="s">
        <v>93</v>
      </c>
      <c r="Y85" s="11"/>
      <c r="Z85" s="12"/>
      <c r="AA85" s="11"/>
      <c r="AB85" s="11"/>
      <c r="AC85" s="1" t="s">
        <v>3041</v>
      </c>
      <c r="AD85" s="1" t="s">
        <v>3042</v>
      </c>
    </row>
    <row r="86" spans="1:30" ht="187.2" x14ac:dyDescent="0.3">
      <c r="A86" s="1" t="s">
        <v>270</v>
      </c>
      <c r="B86" s="1" t="s">
        <v>4513</v>
      </c>
      <c r="C86" s="1" t="s">
        <v>548</v>
      </c>
      <c r="D86" s="1" t="s">
        <v>661</v>
      </c>
      <c r="E86" s="1" t="s">
        <v>550</v>
      </c>
      <c r="F86" s="1" t="s">
        <v>658</v>
      </c>
      <c r="G86" s="1" t="s">
        <v>663</v>
      </c>
      <c r="H86" s="1" t="s">
        <v>664</v>
      </c>
      <c r="I86" s="1" t="s">
        <v>665</v>
      </c>
      <c r="J86" s="1" t="s">
        <v>664</v>
      </c>
      <c r="K86" s="1"/>
      <c r="L86" s="7"/>
      <c r="M86" s="7" t="s">
        <v>125</v>
      </c>
      <c r="N86" s="7" t="s">
        <v>90</v>
      </c>
      <c r="O86" s="10"/>
      <c r="P86" s="10"/>
      <c r="Q86" s="7"/>
      <c r="R86" s="7"/>
      <c r="S86" s="7" t="s">
        <v>124</v>
      </c>
      <c r="T86" s="10"/>
      <c r="U86" s="11" t="s">
        <v>3043</v>
      </c>
      <c r="V86" s="11" t="s">
        <v>93</v>
      </c>
      <c r="W86" s="11">
        <v>0</v>
      </c>
      <c r="X86" s="11" t="s">
        <v>93</v>
      </c>
      <c r="Y86" s="11"/>
      <c r="Z86" s="12"/>
      <c r="AA86" s="11"/>
      <c r="AB86" s="11"/>
      <c r="AC86" s="1" t="s">
        <v>3044</v>
      </c>
      <c r="AD86" s="1" t="s">
        <v>3045</v>
      </c>
    </row>
    <row r="87" spans="1:30" ht="187.2" x14ac:dyDescent="0.3">
      <c r="A87" s="1" t="s">
        <v>270</v>
      </c>
      <c r="B87" s="1" t="s">
        <v>4513</v>
      </c>
      <c r="C87" s="1" t="s">
        <v>548</v>
      </c>
      <c r="D87" s="1" t="s">
        <v>666</v>
      </c>
      <c r="E87" s="1" t="s">
        <v>550</v>
      </c>
      <c r="F87" s="1" t="s">
        <v>668</v>
      </c>
      <c r="G87" s="1" t="s">
        <v>669</v>
      </c>
      <c r="H87" s="1" t="s">
        <v>670</v>
      </c>
      <c r="I87" s="1" t="s">
        <v>671</v>
      </c>
      <c r="J87" s="1" t="s">
        <v>670</v>
      </c>
      <c r="K87" s="1" t="s">
        <v>672</v>
      </c>
      <c r="L87" s="7"/>
      <c r="M87" s="7" t="s">
        <v>125</v>
      </c>
      <c r="N87" s="7" t="s">
        <v>90</v>
      </c>
      <c r="O87" s="10"/>
      <c r="P87" s="10"/>
      <c r="Q87" s="7"/>
      <c r="R87" s="7"/>
      <c r="S87" s="7" t="s">
        <v>124</v>
      </c>
      <c r="T87" s="10"/>
      <c r="U87" s="11" t="s">
        <v>3046</v>
      </c>
      <c r="V87" s="11" t="s">
        <v>93</v>
      </c>
      <c r="W87" s="11">
        <v>0</v>
      </c>
      <c r="X87" s="11" t="s">
        <v>93</v>
      </c>
      <c r="Y87" s="11"/>
      <c r="Z87" s="12"/>
      <c r="AA87" s="11"/>
      <c r="AB87" s="11"/>
      <c r="AC87" s="1" t="s">
        <v>3047</v>
      </c>
      <c r="AD87" s="1" t="s">
        <v>3048</v>
      </c>
    </row>
    <row r="88" spans="1:30" ht="187.2" x14ac:dyDescent="0.3">
      <c r="A88" s="1" t="s">
        <v>270</v>
      </c>
      <c r="B88" s="1" t="s">
        <v>4519</v>
      </c>
      <c r="C88" s="1" t="s">
        <v>673</v>
      </c>
      <c r="D88" s="1" t="s">
        <v>674</v>
      </c>
      <c r="E88" s="1" t="s">
        <v>675</v>
      </c>
      <c r="F88" s="1" t="s">
        <v>677</v>
      </c>
      <c r="G88" s="1"/>
      <c r="H88" s="1" t="s">
        <v>678</v>
      </c>
      <c r="I88" s="1"/>
      <c r="J88" s="1" t="s">
        <v>678</v>
      </c>
      <c r="K88" s="1"/>
      <c r="L88" s="7"/>
      <c r="M88" s="7" t="s">
        <v>125</v>
      </c>
      <c r="N88" s="7" t="s">
        <v>90</v>
      </c>
      <c r="O88" s="10"/>
      <c r="P88" s="10"/>
      <c r="Q88" s="7"/>
      <c r="R88" s="7"/>
      <c r="S88" s="7" t="s">
        <v>124</v>
      </c>
      <c r="T88" s="10"/>
      <c r="U88" s="11" t="s">
        <v>3049</v>
      </c>
      <c r="V88" s="11" t="s">
        <v>93</v>
      </c>
      <c r="W88" s="11">
        <v>0</v>
      </c>
      <c r="X88" s="11" t="s">
        <v>93</v>
      </c>
      <c r="Y88" s="11"/>
      <c r="Z88" s="12"/>
      <c r="AA88" s="11"/>
      <c r="AB88" s="11"/>
      <c r="AC88" s="1" t="s">
        <v>3050</v>
      </c>
      <c r="AD88" s="1" t="s">
        <v>3051</v>
      </c>
    </row>
    <row r="89" spans="1:30" ht="187.2" x14ac:dyDescent="0.3">
      <c r="A89" s="1" t="s">
        <v>270</v>
      </c>
      <c r="B89" s="1" t="s">
        <v>4519</v>
      </c>
      <c r="C89" s="1" t="s">
        <v>673</v>
      </c>
      <c r="D89" s="1" t="s">
        <v>679</v>
      </c>
      <c r="E89" s="1" t="s">
        <v>675</v>
      </c>
      <c r="F89" s="1" t="s">
        <v>681</v>
      </c>
      <c r="G89" s="1"/>
      <c r="H89" s="1" t="s">
        <v>682</v>
      </c>
      <c r="I89" s="1"/>
      <c r="J89" s="1" t="s">
        <v>682</v>
      </c>
      <c r="K89" s="1"/>
      <c r="L89" s="7"/>
      <c r="M89" s="7" t="s">
        <v>125</v>
      </c>
      <c r="N89" s="7" t="s">
        <v>90</v>
      </c>
      <c r="O89" s="10"/>
      <c r="P89" s="10"/>
      <c r="Q89" s="7"/>
      <c r="R89" s="7"/>
      <c r="S89" s="7" t="s">
        <v>124</v>
      </c>
      <c r="T89" s="10"/>
      <c r="U89" s="11" t="s">
        <v>3052</v>
      </c>
      <c r="V89" s="11" t="s">
        <v>93</v>
      </c>
      <c r="W89" s="11">
        <v>0</v>
      </c>
      <c r="X89" s="11" t="s">
        <v>93</v>
      </c>
      <c r="Y89" s="11"/>
      <c r="Z89" s="12"/>
      <c r="AA89" s="11"/>
      <c r="AB89" s="11"/>
      <c r="AC89" s="1" t="s">
        <v>3053</v>
      </c>
      <c r="AD89" s="1" t="s">
        <v>3054</v>
      </c>
    </row>
    <row r="90" spans="1:30" ht="187.2" x14ac:dyDescent="0.3">
      <c r="A90" s="1" t="s">
        <v>292</v>
      </c>
      <c r="B90" s="1" t="s">
        <v>4515</v>
      </c>
      <c r="C90" s="1" t="s">
        <v>683</v>
      </c>
      <c r="D90" s="1" t="s">
        <v>684</v>
      </c>
      <c r="E90" s="1" t="s">
        <v>685</v>
      </c>
      <c r="F90" s="1" t="s">
        <v>687</v>
      </c>
      <c r="G90" s="1" t="s">
        <v>688</v>
      </c>
      <c r="H90" s="1" t="s">
        <v>689</v>
      </c>
      <c r="I90" s="1"/>
      <c r="J90" s="1" t="s">
        <v>689</v>
      </c>
      <c r="K90" s="1"/>
      <c r="L90" s="7"/>
      <c r="M90" s="7" t="s">
        <v>125</v>
      </c>
      <c r="N90" s="7" t="s">
        <v>90</v>
      </c>
      <c r="O90" s="10"/>
      <c r="P90" s="10"/>
      <c r="Q90" s="7"/>
      <c r="R90" s="7"/>
      <c r="S90" s="7" t="s">
        <v>124</v>
      </c>
      <c r="T90" s="10"/>
      <c r="U90" s="11" t="s">
        <v>3055</v>
      </c>
      <c r="V90" s="11" t="s">
        <v>93</v>
      </c>
      <c r="W90" s="11">
        <v>0</v>
      </c>
      <c r="X90" s="11" t="s">
        <v>93</v>
      </c>
      <c r="Y90" s="11"/>
      <c r="Z90" s="12"/>
      <c r="AA90" s="11"/>
      <c r="AB90" s="11"/>
      <c r="AC90" s="1" t="s">
        <v>3056</v>
      </c>
      <c r="AD90" s="1" t="s">
        <v>3057</v>
      </c>
    </row>
    <row r="91" spans="1:30" ht="187.2" x14ac:dyDescent="0.3">
      <c r="A91" s="1" t="s">
        <v>292</v>
      </c>
      <c r="B91" s="1" t="s">
        <v>4515</v>
      </c>
      <c r="C91" s="1" t="s">
        <v>683</v>
      </c>
      <c r="D91" s="1" t="s">
        <v>690</v>
      </c>
      <c r="E91" s="1" t="s">
        <v>685</v>
      </c>
      <c r="F91" s="1" t="s">
        <v>692</v>
      </c>
      <c r="G91" s="1" t="s">
        <v>693</v>
      </c>
      <c r="H91" s="1" t="s">
        <v>694</v>
      </c>
      <c r="I91" s="1"/>
      <c r="J91" s="1" t="s">
        <v>694</v>
      </c>
      <c r="K91" s="1"/>
      <c r="L91" s="7"/>
      <c r="M91" s="7" t="s">
        <v>125</v>
      </c>
      <c r="N91" s="7" t="s">
        <v>90</v>
      </c>
      <c r="O91" s="10"/>
      <c r="P91" s="10"/>
      <c r="Q91" s="7"/>
      <c r="R91" s="7"/>
      <c r="S91" s="7" t="s">
        <v>124</v>
      </c>
      <c r="T91" s="10"/>
      <c r="U91" s="11" t="s">
        <v>3058</v>
      </c>
      <c r="V91" s="11" t="s">
        <v>93</v>
      </c>
      <c r="W91" s="11">
        <v>0</v>
      </c>
      <c r="X91" s="11" t="s">
        <v>93</v>
      </c>
      <c r="Y91" s="11"/>
      <c r="Z91" s="12"/>
      <c r="AA91" s="11"/>
      <c r="AB91" s="11"/>
      <c r="AC91" s="1" t="s">
        <v>3059</v>
      </c>
      <c r="AD91" s="1" t="s">
        <v>3060</v>
      </c>
    </row>
    <row r="92" spans="1:30" ht="187.2" x14ac:dyDescent="0.3">
      <c r="A92" s="1" t="s">
        <v>292</v>
      </c>
      <c r="B92" s="1" t="s">
        <v>4515</v>
      </c>
      <c r="C92" s="1" t="s">
        <v>683</v>
      </c>
      <c r="D92" s="1" t="s">
        <v>695</v>
      </c>
      <c r="E92" s="1" t="s">
        <v>685</v>
      </c>
      <c r="F92" s="1" t="s">
        <v>697</v>
      </c>
      <c r="G92" s="1" t="s">
        <v>698</v>
      </c>
      <c r="H92" s="1" t="s">
        <v>699</v>
      </c>
      <c r="I92" s="1" t="s">
        <v>700</v>
      </c>
      <c r="J92" s="1" t="s">
        <v>699</v>
      </c>
      <c r="K92" s="1"/>
      <c r="L92" s="7"/>
      <c r="M92" s="7" t="s">
        <v>125</v>
      </c>
      <c r="N92" s="7" t="s">
        <v>90</v>
      </c>
      <c r="O92" s="10"/>
      <c r="P92" s="10"/>
      <c r="Q92" s="7"/>
      <c r="R92" s="7"/>
      <c r="S92" s="7" t="s">
        <v>124</v>
      </c>
      <c r="T92" s="10"/>
      <c r="U92" s="11" t="s">
        <v>3061</v>
      </c>
      <c r="V92" s="11" t="s">
        <v>93</v>
      </c>
      <c r="W92" s="11">
        <v>0</v>
      </c>
      <c r="X92" s="11" t="s">
        <v>93</v>
      </c>
      <c r="Y92" s="11"/>
      <c r="Z92" s="12"/>
      <c r="AA92" s="11"/>
      <c r="AB92" s="11"/>
      <c r="AC92" s="1" t="s">
        <v>3062</v>
      </c>
      <c r="AD92" s="1" t="s">
        <v>3063</v>
      </c>
    </row>
    <row r="93" spans="1:30" ht="187.2" x14ac:dyDescent="0.3">
      <c r="A93" s="1" t="s">
        <v>292</v>
      </c>
      <c r="B93" s="1" t="s">
        <v>4515</v>
      </c>
      <c r="C93" s="1" t="s">
        <v>683</v>
      </c>
      <c r="D93" s="1" t="s">
        <v>701</v>
      </c>
      <c r="E93" s="1" t="s">
        <v>685</v>
      </c>
      <c r="F93" s="1" t="s">
        <v>703</v>
      </c>
      <c r="G93" s="1" t="s">
        <v>424</v>
      </c>
      <c r="H93" s="1"/>
      <c r="I93" s="1"/>
      <c r="J93" s="1"/>
      <c r="K93" s="1"/>
      <c r="L93" s="7"/>
      <c r="M93" s="7" t="s">
        <v>125</v>
      </c>
      <c r="N93" s="7" t="s">
        <v>90</v>
      </c>
      <c r="O93" s="10"/>
      <c r="P93" s="10"/>
      <c r="Q93" s="7"/>
      <c r="R93" s="7"/>
      <c r="S93" s="7" t="s">
        <v>124</v>
      </c>
      <c r="T93" s="10"/>
      <c r="U93" s="11" t="s">
        <v>3064</v>
      </c>
      <c r="V93" s="11" t="s">
        <v>93</v>
      </c>
      <c r="W93" s="11">
        <v>0</v>
      </c>
      <c r="X93" s="11" t="s">
        <v>93</v>
      </c>
      <c r="Y93" s="11"/>
      <c r="Z93" s="12"/>
      <c r="AA93" s="11"/>
      <c r="AB93" s="11"/>
      <c r="AC93" s="1" t="s">
        <v>3065</v>
      </c>
      <c r="AD93" s="1" t="s">
        <v>3066</v>
      </c>
    </row>
    <row r="94" spans="1:30" ht="187.2" x14ac:dyDescent="0.3">
      <c r="A94" s="1" t="s">
        <v>292</v>
      </c>
      <c r="B94" s="1" t="s">
        <v>4515</v>
      </c>
      <c r="C94" s="1" t="s">
        <v>683</v>
      </c>
      <c r="D94" s="1" t="s">
        <v>704</v>
      </c>
      <c r="E94" s="1" t="s">
        <v>685</v>
      </c>
      <c r="F94" s="1" t="s">
        <v>428</v>
      </c>
      <c r="G94" s="1" t="s">
        <v>706</v>
      </c>
      <c r="H94" s="1" t="s">
        <v>707</v>
      </c>
      <c r="I94" s="1" t="s">
        <v>708</v>
      </c>
      <c r="J94" s="1" t="s">
        <v>707</v>
      </c>
      <c r="K94" s="1" t="s">
        <v>709</v>
      </c>
      <c r="L94" s="7"/>
      <c r="M94" s="7" t="s">
        <v>125</v>
      </c>
      <c r="N94" s="7" t="s">
        <v>90</v>
      </c>
      <c r="O94" s="10"/>
      <c r="P94" s="10"/>
      <c r="Q94" s="7"/>
      <c r="R94" s="7"/>
      <c r="S94" s="7" t="s">
        <v>124</v>
      </c>
      <c r="T94" s="10"/>
      <c r="U94" s="11" t="s">
        <v>3067</v>
      </c>
      <c r="V94" s="11" t="s">
        <v>93</v>
      </c>
      <c r="W94" s="11">
        <v>0</v>
      </c>
      <c r="X94" s="11" t="s">
        <v>93</v>
      </c>
      <c r="Y94" s="11"/>
      <c r="Z94" s="12"/>
      <c r="AA94" s="11"/>
      <c r="AB94" s="11"/>
      <c r="AC94" s="1" t="s">
        <v>3068</v>
      </c>
      <c r="AD94" s="1" t="s">
        <v>3069</v>
      </c>
    </row>
    <row r="95" spans="1:30" ht="187.2" x14ac:dyDescent="0.3">
      <c r="A95" s="1" t="s">
        <v>292</v>
      </c>
      <c r="B95" s="1" t="s">
        <v>4515</v>
      </c>
      <c r="C95" s="1" t="s">
        <v>683</v>
      </c>
      <c r="D95" s="1" t="s">
        <v>710</v>
      </c>
      <c r="E95" s="1" t="s">
        <v>685</v>
      </c>
      <c r="F95" s="1" t="s">
        <v>712</v>
      </c>
      <c r="G95" s="1" t="s">
        <v>713</v>
      </c>
      <c r="H95" s="1" t="s">
        <v>714</v>
      </c>
      <c r="I95" s="1"/>
      <c r="J95" s="1" t="s">
        <v>714</v>
      </c>
      <c r="K95" s="1"/>
      <c r="L95" s="7"/>
      <c r="M95" s="7" t="s">
        <v>125</v>
      </c>
      <c r="N95" s="7" t="s">
        <v>90</v>
      </c>
      <c r="O95" s="10"/>
      <c r="P95" s="10"/>
      <c r="Q95" s="7"/>
      <c r="R95" s="7"/>
      <c r="S95" s="7" t="s">
        <v>124</v>
      </c>
      <c r="T95" s="10"/>
      <c r="U95" s="11" t="s">
        <v>3070</v>
      </c>
      <c r="V95" s="11" t="s">
        <v>93</v>
      </c>
      <c r="W95" s="11">
        <v>0</v>
      </c>
      <c r="X95" s="11" t="s">
        <v>93</v>
      </c>
      <c r="Y95" s="11"/>
      <c r="Z95" s="12"/>
      <c r="AA95" s="11"/>
      <c r="AB95" s="11"/>
      <c r="AC95" s="1" t="s">
        <v>3071</v>
      </c>
      <c r="AD95" s="1" t="s">
        <v>3072</v>
      </c>
    </row>
    <row r="96" spans="1:30" ht="187.2" x14ac:dyDescent="0.3">
      <c r="A96" s="1" t="s">
        <v>292</v>
      </c>
      <c r="B96" s="1" t="s">
        <v>4515</v>
      </c>
      <c r="C96" s="1" t="s">
        <v>683</v>
      </c>
      <c r="D96" s="1" t="s">
        <v>715</v>
      </c>
      <c r="E96" s="1" t="s">
        <v>685</v>
      </c>
      <c r="F96" s="1" t="s">
        <v>712</v>
      </c>
      <c r="G96" s="1" t="s">
        <v>506</v>
      </c>
      <c r="H96" s="1" t="s">
        <v>717</v>
      </c>
      <c r="I96" s="1"/>
      <c r="J96" s="1" t="s">
        <v>717</v>
      </c>
      <c r="K96" s="1"/>
      <c r="L96" s="7"/>
      <c r="M96" s="7" t="s">
        <v>125</v>
      </c>
      <c r="N96" s="7" t="s">
        <v>90</v>
      </c>
      <c r="O96" s="10"/>
      <c r="P96" s="10"/>
      <c r="Q96" s="7"/>
      <c r="R96" s="7"/>
      <c r="S96" s="7" t="s">
        <v>124</v>
      </c>
      <c r="T96" s="10"/>
      <c r="U96" s="11" t="s">
        <v>3073</v>
      </c>
      <c r="V96" s="11" t="s">
        <v>93</v>
      </c>
      <c r="W96" s="11">
        <v>0</v>
      </c>
      <c r="X96" s="11" t="s">
        <v>93</v>
      </c>
      <c r="Y96" s="11"/>
      <c r="Z96" s="12"/>
      <c r="AA96" s="11"/>
      <c r="AB96" s="11"/>
      <c r="AC96" s="1" t="s">
        <v>3074</v>
      </c>
      <c r="AD96" s="1" t="s">
        <v>3075</v>
      </c>
    </row>
    <row r="97" spans="1:30" ht="187.2" x14ac:dyDescent="0.3">
      <c r="A97" s="1" t="s">
        <v>292</v>
      </c>
      <c r="B97" s="1" t="s">
        <v>4515</v>
      </c>
      <c r="C97" s="1" t="s">
        <v>683</v>
      </c>
      <c r="D97" s="1" t="s">
        <v>718</v>
      </c>
      <c r="E97" s="1" t="s">
        <v>685</v>
      </c>
      <c r="F97" s="1" t="s">
        <v>720</v>
      </c>
      <c r="G97" s="1" t="s">
        <v>721</v>
      </c>
      <c r="H97" s="1" t="s">
        <v>722</v>
      </c>
      <c r="I97" s="1" t="s">
        <v>723</v>
      </c>
      <c r="J97" s="1" t="s">
        <v>722</v>
      </c>
      <c r="K97" s="1"/>
      <c r="L97" s="7"/>
      <c r="M97" s="7" t="s">
        <v>125</v>
      </c>
      <c r="N97" s="7" t="s">
        <v>90</v>
      </c>
      <c r="O97" s="10"/>
      <c r="P97" s="10"/>
      <c r="Q97" s="7"/>
      <c r="R97" s="7"/>
      <c r="S97" s="7" t="s">
        <v>124</v>
      </c>
      <c r="T97" s="10"/>
      <c r="U97" s="11" t="s">
        <v>3076</v>
      </c>
      <c r="V97" s="11" t="s">
        <v>93</v>
      </c>
      <c r="W97" s="11">
        <v>0</v>
      </c>
      <c r="X97" s="11" t="s">
        <v>93</v>
      </c>
      <c r="Y97" s="11"/>
      <c r="Z97" s="12"/>
      <c r="AA97" s="11"/>
      <c r="AB97" s="11"/>
      <c r="AC97" s="1" t="s">
        <v>3077</v>
      </c>
      <c r="AD97" s="1" t="s">
        <v>3078</v>
      </c>
    </row>
    <row r="98" spans="1:30" ht="187.2" x14ac:dyDescent="0.3">
      <c r="A98" s="1" t="s">
        <v>292</v>
      </c>
      <c r="B98" s="1" t="s">
        <v>4515</v>
      </c>
      <c r="C98" s="1" t="s">
        <v>683</v>
      </c>
      <c r="D98" s="1" t="s">
        <v>724</v>
      </c>
      <c r="E98" s="1" t="s">
        <v>685</v>
      </c>
      <c r="F98" s="1" t="s">
        <v>658</v>
      </c>
      <c r="G98" s="1" t="s">
        <v>726</v>
      </c>
      <c r="H98" s="1" t="s">
        <v>727</v>
      </c>
      <c r="I98" s="1" t="s">
        <v>728</v>
      </c>
      <c r="J98" s="1" t="s">
        <v>727</v>
      </c>
      <c r="K98" s="1"/>
      <c r="L98" s="7"/>
      <c r="M98" s="7" t="s">
        <v>125</v>
      </c>
      <c r="N98" s="7" t="s">
        <v>90</v>
      </c>
      <c r="O98" s="10"/>
      <c r="P98" s="10"/>
      <c r="Q98" s="7"/>
      <c r="R98" s="7"/>
      <c r="S98" s="7" t="s">
        <v>124</v>
      </c>
      <c r="T98" s="10"/>
      <c r="U98" s="11" t="s">
        <v>3079</v>
      </c>
      <c r="V98" s="11" t="s">
        <v>93</v>
      </c>
      <c r="W98" s="11">
        <v>0</v>
      </c>
      <c r="X98" s="11" t="s">
        <v>93</v>
      </c>
      <c r="Y98" s="11"/>
      <c r="Z98" s="12"/>
      <c r="AA98" s="11"/>
      <c r="AB98" s="11"/>
      <c r="AC98" s="1" t="s">
        <v>3080</v>
      </c>
      <c r="AD98" s="1" t="s">
        <v>3081</v>
      </c>
    </row>
    <row r="99" spans="1:30" ht="187.2" x14ac:dyDescent="0.3">
      <c r="A99" s="1" t="s">
        <v>270</v>
      </c>
      <c r="B99" s="1" t="s">
        <v>4516</v>
      </c>
      <c r="C99" s="1" t="s">
        <v>729</v>
      </c>
      <c r="D99" s="1" t="s">
        <v>730</v>
      </c>
      <c r="E99" s="1" t="s">
        <v>88</v>
      </c>
      <c r="F99" s="1" t="s">
        <v>732</v>
      </c>
      <c r="G99" s="1" t="s">
        <v>733</v>
      </c>
      <c r="H99" s="1" t="s">
        <v>734</v>
      </c>
      <c r="I99" s="1"/>
      <c r="J99" s="1" t="s">
        <v>734</v>
      </c>
      <c r="K99" s="1"/>
      <c r="L99" s="7"/>
      <c r="M99" s="7" t="s">
        <v>125</v>
      </c>
      <c r="N99" s="7" t="s">
        <v>90</v>
      </c>
      <c r="O99" s="10"/>
      <c r="P99" s="10"/>
      <c r="Q99" s="7"/>
      <c r="R99" s="7"/>
      <c r="S99" s="7" t="s">
        <v>124</v>
      </c>
      <c r="T99" s="10"/>
      <c r="U99" s="11" t="s">
        <v>3082</v>
      </c>
      <c r="V99" s="11" t="s">
        <v>93</v>
      </c>
      <c r="W99" s="11">
        <v>0</v>
      </c>
      <c r="X99" s="11" t="s">
        <v>93</v>
      </c>
      <c r="Y99" s="11"/>
      <c r="Z99" s="12"/>
      <c r="AA99" s="11"/>
      <c r="AB99" s="11"/>
      <c r="AC99" s="1" t="s">
        <v>3083</v>
      </c>
      <c r="AD99" s="1" t="s">
        <v>3084</v>
      </c>
    </row>
    <row r="100" spans="1:30" ht="187.2" x14ac:dyDescent="0.3">
      <c r="A100" s="1" t="s">
        <v>270</v>
      </c>
      <c r="B100" s="1" t="s">
        <v>4516</v>
      </c>
      <c r="C100" s="1" t="s">
        <v>729</v>
      </c>
      <c r="D100" s="1" t="s">
        <v>735</v>
      </c>
      <c r="E100" s="1" t="s">
        <v>88</v>
      </c>
      <c r="F100" s="1" t="s">
        <v>737</v>
      </c>
      <c r="G100" s="1" t="s">
        <v>738</v>
      </c>
      <c r="H100" s="1" t="s">
        <v>739</v>
      </c>
      <c r="I100" s="1"/>
      <c r="J100" s="1" t="s">
        <v>739</v>
      </c>
      <c r="K100" s="1"/>
      <c r="L100" s="7"/>
      <c r="M100" s="7" t="s">
        <v>125</v>
      </c>
      <c r="N100" s="7" t="s">
        <v>90</v>
      </c>
      <c r="O100" s="10"/>
      <c r="P100" s="10"/>
      <c r="Q100" s="7"/>
      <c r="R100" s="7"/>
      <c r="S100" s="7" t="s">
        <v>124</v>
      </c>
      <c r="T100" s="10"/>
      <c r="U100" s="11" t="s">
        <v>3085</v>
      </c>
      <c r="V100" s="11" t="s">
        <v>93</v>
      </c>
      <c r="W100" s="11">
        <v>0</v>
      </c>
      <c r="X100" s="11" t="s">
        <v>93</v>
      </c>
      <c r="Y100" s="11"/>
      <c r="Z100" s="12"/>
      <c r="AA100" s="11"/>
      <c r="AB100" s="11"/>
      <c r="AC100" s="1" t="s">
        <v>3086</v>
      </c>
      <c r="AD100" s="1" t="s">
        <v>3087</v>
      </c>
    </row>
    <row r="101" spans="1:30" ht="187.2" x14ac:dyDescent="0.3">
      <c r="A101" s="1" t="s">
        <v>270</v>
      </c>
      <c r="B101" s="1" t="s">
        <v>4516</v>
      </c>
      <c r="C101" s="1" t="s">
        <v>729</v>
      </c>
      <c r="D101" s="1" t="s">
        <v>740</v>
      </c>
      <c r="E101" s="1" t="s">
        <v>88</v>
      </c>
      <c r="F101" s="1" t="s">
        <v>567</v>
      </c>
      <c r="G101" s="1" t="s">
        <v>742</v>
      </c>
      <c r="H101" s="1" t="s">
        <v>743</v>
      </c>
      <c r="I101" s="1" t="s">
        <v>744</v>
      </c>
      <c r="J101" s="1" t="s">
        <v>743</v>
      </c>
      <c r="K101" s="1"/>
      <c r="L101" s="7"/>
      <c r="M101" s="7" t="s">
        <v>125</v>
      </c>
      <c r="N101" s="7" t="s">
        <v>90</v>
      </c>
      <c r="O101" s="10"/>
      <c r="P101" s="10"/>
      <c r="Q101" s="7"/>
      <c r="R101" s="7"/>
      <c r="S101" s="7" t="s">
        <v>124</v>
      </c>
      <c r="T101" s="10"/>
      <c r="U101" s="11" t="s">
        <v>3088</v>
      </c>
      <c r="V101" s="11" t="s">
        <v>93</v>
      </c>
      <c r="W101" s="11">
        <v>0</v>
      </c>
      <c r="X101" s="11" t="s">
        <v>93</v>
      </c>
      <c r="Y101" s="11"/>
      <c r="Z101" s="12"/>
      <c r="AA101" s="11"/>
      <c r="AB101" s="11"/>
      <c r="AC101" s="1" t="s">
        <v>3089</v>
      </c>
      <c r="AD101" s="1" t="s">
        <v>3090</v>
      </c>
    </row>
    <row r="102" spans="1:30" ht="187.2" x14ac:dyDescent="0.3">
      <c r="A102" s="1" t="s">
        <v>270</v>
      </c>
      <c r="B102" s="1" t="s">
        <v>4516</v>
      </c>
      <c r="C102" s="1" t="s">
        <v>729</v>
      </c>
      <c r="D102" s="1" t="s">
        <v>745</v>
      </c>
      <c r="E102" s="1" t="s">
        <v>88</v>
      </c>
      <c r="F102" s="1" t="s">
        <v>747</v>
      </c>
      <c r="G102" s="1" t="s">
        <v>748</v>
      </c>
      <c r="H102" s="1" t="s">
        <v>749</v>
      </c>
      <c r="I102" s="1" t="s">
        <v>750</v>
      </c>
      <c r="J102" s="1" t="s">
        <v>749</v>
      </c>
      <c r="K102" s="1"/>
      <c r="L102" s="7"/>
      <c r="M102" s="7" t="s">
        <v>125</v>
      </c>
      <c r="N102" s="7" t="s">
        <v>90</v>
      </c>
      <c r="O102" s="10"/>
      <c r="P102" s="10"/>
      <c r="Q102" s="7"/>
      <c r="R102" s="7"/>
      <c r="S102" s="7" t="s">
        <v>124</v>
      </c>
      <c r="T102" s="10"/>
      <c r="U102" s="11" t="s">
        <v>3091</v>
      </c>
      <c r="V102" s="11" t="s">
        <v>93</v>
      </c>
      <c r="W102" s="11">
        <v>0</v>
      </c>
      <c r="X102" s="11" t="s">
        <v>93</v>
      </c>
      <c r="Y102" s="11"/>
      <c r="Z102" s="12"/>
      <c r="AA102" s="11"/>
      <c r="AB102" s="11"/>
      <c r="AC102" s="1" t="s">
        <v>3092</v>
      </c>
      <c r="AD102" s="1" t="s">
        <v>3093</v>
      </c>
    </row>
    <row r="103" spans="1:30" ht="187.2" x14ac:dyDescent="0.3">
      <c r="A103" s="1" t="s">
        <v>270</v>
      </c>
      <c r="B103" s="1" t="s">
        <v>4516</v>
      </c>
      <c r="C103" s="1" t="s">
        <v>729</v>
      </c>
      <c r="D103" s="1" t="s">
        <v>751</v>
      </c>
      <c r="E103" s="1" t="s">
        <v>88</v>
      </c>
      <c r="F103" s="1" t="s">
        <v>753</v>
      </c>
      <c r="G103" s="1" t="s">
        <v>754</v>
      </c>
      <c r="H103" s="1" t="s">
        <v>755</v>
      </c>
      <c r="I103" s="1"/>
      <c r="J103" s="1" t="s">
        <v>755</v>
      </c>
      <c r="K103" s="1"/>
      <c r="L103" s="7"/>
      <c r="M103" s="7" t="s">
        <v>125</v>
      </c>
      <c r="N103" s="7" t="s">
        <v>90</v>
      </c>
      <c r="O103" s="10"/>
      <c r="P103" s="10"/>
      <c r="Q103" s="7"/>
      <c r="R103" s="7"/>
      <c r="S103" s="7" t="s">
        <v>124</v>
      </c>
      <c r="T103" s="10"/>
      <c r="U103" s="11" t="s">
        <v>3094</v>
      </c>
      <c r="V103" s="11" t="s">
        <v>93</v>
      </c>
      <c r="W103" s="11">
        <v>0</v>
      </c>
      <c r="X103" s="11" t="s">
        <v>93</v>
      </c>
      <c r="Y103" s="11"/>
      <c r="Z103" s="12"/>
      <c r="AA103" s="11"/>
      <c r="AB103" s="11"/>
      <c r="AC103" s="1" t="s">
        <v>3095</v>
      </c>
      <c r="AD103" s="1" t="s">
        <v>3096</v>
      </c>
    </row>
    <row r="104" spans="1:30" ht="187.2" x14ac:dyDescent="0.3">
      <c r="A104" s="1" t="s">
        <v>270</v>
      </c>
      <c r="B104" s="1" t="s">
        <v>4516</v>
      </c>
      <c r="C104" s="1" t="s">
        <v>729</v>
      </c>
      <c r="D104" s="1" t="s">
        <v>756</v>
      </c>
      <c r="E104" s="1" t="s">
        <v>88</v>
      </c>
      <c r="F104" s="1" t="s">
        <v>758</v>
      </c>
      <c r="G104" s="1" t="s">
        <v>759</v>
      </c>
      <c r="H104" s="1" t="s">
        <v>760</v>
      </c>
      <c r="I104" s="1"/>
      <c r="J104" s="1" t="s">
        <v>760</v>
      </c>
      <c r="K104" s="1"/>
      <c r="L104" s="7"/>
      <c r="M104" s="7" t="s">
        <v>125</v>
      </c>
      <c r="N104" s="7" t="s">
        <v>90</v>
      </c>
      <c r="O104" s="10"/>
      <c r="P104" s="10"/>
      <c r="Q104" s="7"/>
      <c r="R104" s="7"/>
      <c r="S104" s="7" t="s">
        <v>124</v>
      </c>
      <c r="T104" s="10"/>
      <c r="U104" s="11" t="s">
        <v>3097</v>
      </c>
      <c r="V104" s="11" t="s">
        <v>93</v>
      </c>
      <c r="W104" s="11">
        <v>0</v>
      </c>
      <c r="X104" s="11" t="s">
        <v>93</v>
      </c>
      <c r="Y104" s="11"/>
      <c r="Z104" s="12"/>
      <c r="AA104" s="11"/>
      <c r="AB104" s="11"/>
      <c r="AC104" s="1" t="s">
        <v>3098</v>
      </c>
      <c r="AD104" s="1" t="s">
        <v>3099</v>
      </c>
    </row>
    <row r="105" spans="1:30" ht="187.2" x14ac:dyDescent="0.3">
      <c r="A105" s="1" t="s">
        <v>270</v>
      </c>
      <c r="B105" s="1" t="s">
        <v>4516</v>
      </c>
      <c r="C105" s="1" t="s">
        <v>729</v>
      </c>
      <c r="D105" s="1" t="s">
        <v>761</v>
      </c>
      <c r="E105" s="1" t="s">
        <v>88</v>
      </c>
      <c r="F105" s="1" t="s">
        <v>687</v>
      </c>
      <c r="G105" s="1" t="s">
        <v>763</v>
      </c>
      <c r="H105" s="1" t="s">
        <v>764</v>
      </c>
      <c r="I105" s="1" t="s">
        <v>765</v>
      </c>
      <c r="J105" s="1" t="s">
        <v>764</v>
      </c>
      <c r="K105" s="1"/>
      <c r="L105" s="7"/>
      <c r="M105" s="7" t="s">
        <v>125</v>
      </c>
      <c r="N105" s="7" t="s">
        <v>90</v>
      </c>
      <c r="O105" s="10"/>
      <c r="P105" s="10"/>
      <c r="Q105" s="7"/>
      <c r="R105" s="7"/>
      <c r="S105" s="7" t="s">
        <v>124</v>
      </c>
      <c r="T105" s="10"/>
      <c r="U105" s="11" t="s">
        <v>3100</v>
      </c>
      <c r="V105" s="11" t="s">
        <v>93</v>
      </c>
      <c r="W105" s="11">
        <v>0</v>
      </c>
      <c r="X105" s="11" t="s">
        <v>93</v>
      </c>
      <c r="Y105" s="11"/>
      <c r="Z105" s="12"/>
      <c r="AA105" s="11"/>
      <c r="AB105" s="11"/>
      <c r="AC105" s="1" t="s">
        <v>3101</v>
      </c>
      <c r="AD105" s="1" t="s">
        <v>3102</v>
      </c>
    </row>
    <row r="106" spans="1:30" ht="187.2" x14ac:dyDescent="0.3">
      <c r="A106" s="1" t="s">
        <v>270</v>
      </c>
      <c r="B106" s="1" t="s">
        <v>4516</v>
      </c>
      <c r="C106" s="1" t="s">
        <v>729</v>
      </c>
      <c r="D106" s="1" t="s">
        <v>766</v>
      </c>
      <c r="E106" s="1" t="s">
        <v>88</v>
      </c>
      <c r="F106" s="1" t="s">
        <v>687</v>
      </c>
      <c r="G106" s="1" t="s">
        <v>236</v>
      </c>
      <c r="H106" s="1" t="s">
        <v>768</v>
      </c>
      <c r="I106" s="1"/>
      <c r="J106" s="1" t="s">
        <v>768</v>
      </c>
      <c r="K106" s="1"/>
      <c r="L106" s="7"/>
      <c r="M106" s="7" t="s">
        <v>125</v>
      </c>
      <c r="N106" s="7" t="s">
        <v>90</v>
      </c>
      <c r="O106" s="10"/>
      <c r="P106" s="10"/>
      <c r="Q106" s="7"/>
      <c r="R106" s="7"/>
      <c r="S106" s="7" t="s">
        <v>124</v>
      </c>
      <c r="T106" s="10"/>
      <c r="U106" s="11" t="s">
        <v>3103</v>
      </c>
      <c r="V106" s="11" t="s">
        <v>93</v>
      </c>
      <c r="W106" s="11">
        <v>0</v>
      </c>
      <c r="X106" s="11" t="s">
        <v>93</v>
      </c>
      <c r="Y106" s="11"/>
      <c r="Z106" s="12"/>
      <c r="AA106" s="11"/>
      <c r="AB106" s="11"/>
      <c r="AC106" s="1" t="s">
        <v>3104</v>
      </c>
      <c r="AD106" s="1" t="s">
        <v>3105</v>
      </c>
    </row>
    <row r="107" spans="1:30" ht="187.2" x14ac:dyDescent="0.3">
      <c r="A107" s="1" t="s">
        <v>270</v>
      </c>
      <c r="B107" s="1" t="s">
        <v>4516</v>
      </c>
      <c r="C107" s="1" t="s">
        <v>729</v>
      </c>
      <c r="D107" s="1" t="s">
        <v>769</v>
      </c>
      <c r="E107" s="1" t="s">
        <v>88</v>
      </c>
      <c r="F107" s="1" t="s">
        <v>771</v>
      </c>
      <c r="G107" s="1" t="s">
        <v>772</v>
      </c>
      <c r="H107" s="1" t="s">
        <v>773</v>
      </c>
      <c r="I107" s="1"/>
      <c r="J107" s="1" t="s">
        <v>773</v>
      </c>
      <c r="K107" s="1"/>
      <c r="L107" s="7"/>
      <c r="M107" s="7" t="s">
        <v>125</v>
      </c>
      <c r="N107" s="7" t="s">
        <v>90</v>
      </c>
      <c r="O107" s="10"/>
      <c r="P107" s="10"/>
      <c r="Q107" s="7"/>
      <c r="R107" s="7"/>
      <c r="S107" s="7" t="s">
        <v>124</v>
      </c>
      <c r="T107" s="10"/>
      <c r="U107" s="11" t="s">
        <v>3106</v>
      </c>
      <c r="V107" s="11" t="s">
        <v>93</v>
      </c>
      <c r="W107" s="11">
        <v>0</v>
      </c>
      <c r="X107" s="11" t="s">
        <v>93</v>
      </c>
      <c r="Y107" s="11"/>
      <c r="Z107" s="12"/>
      <c r="AA107" s="11"/>
      <c r="AB107" s="11"/>
      <c r="AC107" s="1" t="s">
        <v>3107</v>
      </c>
      <c r="AD107" s="1" t="s">
        <v>3108</v>
      </c>
    </row>
    <row r="108" spans="1:30" ht="187.2" x14ac:dyDescent="0.3">
      <c r="A108" s="1" t="s">
        <v>270</v>
      </c>
      <c r="B108" s="1" t="s">
        <v>4516</v>
      </c>
      <c r="C108" s="1" t="s">
        <v>729</v>
      </c>
      <c r="D108" s="1" t="s">
        <v>774</v>
      </c>
      <c r="E108" s="1" t="s">
        <v>88</v>
      </c>
      <c r="F108" s="1" t="s">
        <v>458</v>
      </c>
      <c r="G108" s="1" t="s">
        <v>776</v>
      </c>
      <c r="H108" s="1" t="s">
        <v>777</v>
      </c>
      <c r="I108" s="1"/>
      <c r="J108" s="1" t="s">
        <v>777</v>
      </c>
      <c r="K108" s="1"/>
      <c r="L108" s="7"/>
      <c r="M108" s="7" t="s">
        <v>125</v>
      </c>
      <c r="N108" s="7" t="s">
        <v>90</v>
      </c>
      <c r="O108" s="10"/>
      <c r="P108" s="10"/>
      <c r="Q108" s="7"/>
      <c r="R108" s="7"/>
      <c r="S108" s="7" t="s">
        <v>124</v>
      </c>
      <c r="T108" s="10"/>
      <c r="U108" s="11" t="s">
        <v>3109</v>
      </c>
      <c r="V108" s="11" t="s">
        <v>93</v>
      </c>
      <c r="W108" s="11">
        <v>0</v>
      </c>
      <c r="X108" s="11" t="s">
        <v>93</v>
      </c>
      <c r="Y108" s="11"/>
      <c r="Z108" s="12"/>
      <c r="AA108" s="11"/>
      <c r="AB108" s="11"/>
      <c r="AC108" s="1" t="s">
        <v>3110</v>
      </c>
      <c r="AD108" s="1" t="s">
        <v>3111</v>
      </c>
    </row>
    <row r="109" spans="1:30" ht="187.2" x14ac:dyDescent="0.3">
      <c r="A109" s="1" t="s">
        <v>270</v>
      </c>
      <c r="B109" s="1" t="s">
        <v>4516</v>
      </c>
      <c r="C109" s="1" t="s">
        <v>729</v>
      </c>
      <c r="D109" s="1" t="s">
        <v>778</v>
      </c>
      <c r="E109" s="1" t="s">
        <v>88</v>
      </c>
      <c r="F109" s="1" t="s">
        <v>780</v>
      </c>
      <c r="G109" s="1" t="s">
        <v>781</v>
      </c>
      <c r="H109" s="1" t="s">
        <v>782</v>
      </c>
      <c r="I109" s="1"/>
      <c r="J109" s="1" t="s">
        <v>782</v>
      </c>
      <c r="K109" s="1" t="s">
        <v>672</v>
      </c>
      <c r="L109" s="7"/>
      <c r="M109" s="7" t="s">
        <v>125</v>
      </c>
      <c r="N109" s="7" t="s">
        <v>90</v>
      </c>
      <c r="O109" s="10"/>
      <c r="P109" s="10"/>
      <c r="Q109" s="7"/>
      <c r="R109" s="7"/>
      <c r="S109" s="7" t="s">
        <v>124</v>
      </c>
      <c r="T109" s="10"/>
      <c r="U109" s="11" t="s">
        <v>3112</v>
      </c>
      <c r="V109" s="11" t="s">
        <v>93</v>
      </c>
      <c r="W109" s="11">
        <v>0</v>
      </c>
      <c r="X109" s="11" t="s">
        <v>93</v>
      </c>
      <c r="Y109" s="11"/>
      <c r="Z109" s="12"/>
      <c r="AA109" s="11"/>
      <c r="AB109" s="11"/>
      <c r="AC109" s="1" t="s">
        <v>3113</v>
      </c>
      <c r="AD109" s="1" t="s">
        <v>3114</v>
      </c>
    </row>
    <row r="110" spans="1:30" ht="187.2" x14ac:dyDescent="0.3">
      <c r="A110" s="1" t="s">
        <v>270</v>
      </c>
      <c r="B110" s="1" t="s">
        <v>4516</v>
      </c>
      <c r="C110" s="1" t="s">
        <v>729</v>
      </c>
      <c r="D110" s="1" t="s">
        <v>783</v>
      </c>
      <c r="E110" s="1" t="s">
        <v>88</v>
      </c>
      <c r="F110" s="1" t="s">
        <v>279</v>
      </c>
      <c r="G110" s="1" t="s">
        <v>785</v>
      </c>
      <c r="H110" s="1" t="s">
        <v>786</v>
      </c>
      <c r="I110" s="1"/>
      <c r="J110" s="1" t="s">
        <v>786</v>
      </c>
      <c r="K110" s="1"/>
      <c r="L110" s="7"/>
      <c r="M110" s="7" t="s">
        <v>125</v>
      </c>
      <c r="N110" s="7" t="s">
        <v>90</v>
      </c>
      <c r="O110" s="10"/>
      <c r="P110" s="10"/>
      <c r="Q110" s="7"/>
      <c r="R110" s="7"/>
      <c r="S110" s="7" t="s">
        <v>124</v>
      </c>
      <c r="T110" s="10"/>
      <c r="U110" s="11" t="s">
        <v>3115</v>
      </c>
      <c r="V110" s="11" t="s">
        <v>93</v>
      </c>
      <c r="W110" s="11">
        <v>0</v>
      </c>
      <c r="X110" s="11" t="s">
        <v>93</v>
      </c>
      <c r="Y110" s="11"/>
      <c r="Z110" s="12"/>
      <c r="AA110" s="11"/>
      <c r="AB110" s="11"/>
      <c r="AC110" s="1" t="s">
        <v>3116</v>
      </c>
      <c r="AD110" s="1" t="s">
        <v>3117</v>
      </c>
    </row>
    <row r="111" spans="1:30" ht="187.2" x14ac:dyDescent="0.3">
      <c r="A111" s="1" t="s">
        <v>270</v>
      </c>
      <c r="B111" s="1" t="s">
        <v>4516</v>
      </c>
      <c r="C111" s="1" t="s">
        <v>729</v>
      </c>
      <c r="D111" s="1" t="s">
        <v>787</v>
      </c>
      <c r="E111" s="1" t="s">
        <v>88</v>
      </c>
      <c r="F111" s="1" t="s">
        <v>789</v>
      </c>
      <c r="G111" s="1" t="s">
        <v>790</v>
      </c>
      <c r="H111" s="1"/>
      <c r="I111" s="1"/>
      <c r="J111" s="1"/>
      <c r="K111" s="1"/>
      <c r="L111" s="7"/>
      <c r="M111" s="7" t="s">
        <v>125</v>
      </c>
      <c r="N111" s="7" t="s">
        <v>90</v>
      </c>
      <c r="O111" s="10"/>
      <c r="P111" s="10"/>
      <c r="Q111" s="7"/>
      <c r="R111" s="7"/>
      <c r="S111" s="7" t="s">
        <v>124</v>
      </c>
      <c r="T111" s="10"/>
      <c r="U111" s="11" t="s">
        <v>3118</v>
      </c>
      <c r="V111" s="11" t="s">
        <v>93</v>
      </c>
      <c r="W111" s="11">
        <v>0</v>
      </c>
      <c r="X111" s="11" t="s">
        <v>93</v>
      </c>
      <c r="Y111" s="11"/>
      <c r="Z111" s="12"/>
      <c r="AA111" s="11"/>
      <c r="AB111" s="11"/>
      <c r="AC111" s="1" t="s">
        <v>3119</v>
      </c>
      <c r="AD111" s="1" t="s">
        <v>3120</v>
      </c>
    </row>
    <row r="112" spans="1:30" ht="187.2" x14ac:dyDescent="0.3">
      <c r="A112" s="1" t="s">
        <v>270</v>
      </c>
      <c r="B112" s="1" t="s">
        <v>4516</v>
      </c>
      <c r="C112" s="1" t="s">
        <v>729</v>
      </c>
      <c r="D112" s="1" t="s">
        <v>791</v>
      </c>
      <c r="E112" s="1" t="s">
        <v>88</v>
      </c>
      <c r="F112" s="1" t="s">
        <v>793</v>
      </c>
      <c r="G112" s="1" t="s">
        <v>794</v>
      </c>
      <c r="H112" s="1" t="s">
        <v>795</v>
      </c>
      <c r="I112" s="1" t="s">
        <v>796</v>
      </c>
      <c r="J112" s="1" t="s">
        <v>795</v>
      </c>
      <c r="K112" s="1" t="s">
        <v>797</v>
      </c>
      <c r="L112" s="7"/>
      <c r="M112" s="7" t="s">
        <v>125</v>
      </c>
      <c r="N112" s="7" t="s">
        <v>90</v>
      </c>
      <c r="O112" s="10"/>
      <c r="P112" s="10"/>
      <c r="Q112" s="7"/>
      <c r="R112" s="7"/>
      <c r="S112" s="7" t="s">
        <v>124</v>
      </c>
      <c r="T112" s="10"/>
      <c r="U112" s="11" t="s">
        <v>3121</v>
      </c>
      <c r="V112" s="11" t="s">
        <v>93</v>
      </c>
      <c r="W112" s="11">
        <v>0</v>
      </c>
      <c r="X112" s="11" t="s">
        <v>93</v>
      </c>
      <c r="Y112" s="11"/>
      <c r="Z112" s="12"/>
      <c r="AA112" s="11"/>
      <c r="AB112" s="11"/>
      <c r="AC112" s="1" t="s">
        <v>3122</v>
      </c>
      <c r="AD112" s="1" t="s">
        <v>3123</v>
      </c>
    </row>
    <row r="113" spans="1:30" ht="187.2" x14ac:dyDescent="0.3">
      <c r="A113" s="1" t="s">
        <v>270</v>
      </c>
      <c r="B113" s="1" t="s">
        <v>4516</v>
      </c>
      <c r="C113" s="1" t="s">
        <v>729</v>
      </c>
      <c r="D113" s="1" t="s">
        <v>798</v>
      </c>
      <c r="E113" s="1" t="s">
        <v>88</v>
      </c>
      <c r="F113" s="1" t="s">
        <v>800</v>
      </c>
      <c r="G113" s="1" t="s">
        <v>801</v>
      </c>
      <c r="H113" s="1" t="s">
        <v>802</v>
      </c>
      <c r="I113" s="1" t="s">
        <v>803</v>
      </c>
      <c r="J113" s="1" t="s">
        <v>802</v>
      </c>
      <c r="K113" s="1" t="s">
        <v>804</v>
      </c>
      <c r="L113" s="7"/>
      <c r="M113" s="7" t="s">
        <v>125</v>
      </c>
      <c r="N113" s="7" t="s">
        <v>90</v>
      </c>
      <c r="O113" s="10"/>
      <c r="P113" s="10"/>
      <c r="Q113" s="7"/>
      <c r="R113" s="7"/>
      <c r="S113" s="7" t="s">
        <v>124</v>
      </c>
      <c r="T113" s="10"/>
      <c r="U113" s="11" t="s">
        <v>3124</v>
      </c>
      <c r="V113" s="11" t="s">
        <v>93</v>
      </c>
      <c r="W113" s="11">
        <v>0</v>
      </c>
      <c r="X113" s="11" t="s">
        <v>93</v>
      </c>
      <c r="Y113" s="11"/>
      <c r="Z113" s="12"/>
      <c r="AA113" s="11"/>
      <c r="AB113" s="11"/>
      <c r="AC113" s="1" t="s">
        <v>3125</v>
      </c>
      <c r="AD113" s="1" t="s">
        <v>3126</v>
      </c>
    </row>
    <row r="114" spans="1:30" ht="187.2" x14ac:dyDescent="0.3">
      <c r="A114" s="1" t="s">
        <v>270</v>
      </c>
      <c r="B114" s="1" t="s">
        <v>4516</v>
      </c>
      <c r="C114" s="1" t="s">
        <v>729</v>
      </c>
      <c r="D114" s="1" t="s">
        <v>805</v>
      </c>
      <c r="E114" s="1" t="s">
        <v>88</v>
      </c>
      <c r="F114" s="1" t="s">
        <v>807</v>
      </c>
      <c r="G114" s="1" t="s">
        <v>808</v>
      </c>
      <c r="H114" s="1" t="s">
        <v>809</v>
      </c>
      <c r="I114" s="1"/>
      <c r="J114" s="1" t="s">
        <v>809</v>
      </c>
      <c r="K114" s="1"/>
      <c r="L114" s="7"/>
      <c r="M114" s="7" t="s">
        <v>125</v>
      </c>
      <c r="N114" s="7" t="s">
        <v>90</v>
      </c>
      <c r="O114" s="10"/>
      <c r="P114" s="10"/>
      <c r="Q114" s="7"/>
      <c r="R114" s="7"/>
      <c r="S114" s="7" t="s">
        <v>124</v>
      </c>
      <c r="T114" s="10"/>
      <c r="U114" s="11" t="s">
        <v>3127</v>
      </c>
      <c r="V114" s="11" t="s">
        <v>93</v>
      </c>
      <c r="W114" s="11">
        <v>0</v>
      </c>
      <c r="X114" s="11" t="s">
        <v>93</v>
      </c>
      <c r="Y114" s="11"/>
      <c r="Z114" s="12"/>
      <c r="AA114" s="11"/>
      <c r="AB114" s="11"/>
      <c r="AC114" s="1" t="s">
        <v>3128</v>
      </c>
      <c r="AD114" s="1" t="s">
        <v>3129</v>
      </c>
    </row>
    <row r="115" spans="1:30" ht="187.2" x14ac:dyDescent="0.3">
      <c r="A115" s="1" t="s">
        <v>270</v>
      </c>
      <c r="B115" s="1" t="s">
        <v>4516</v>
      </c>
      <c r="C115" s="1" t="s">
        <v>729</v>
      </c>
      <c r="D115" s="1" t="s">
        <v>810</v>
      </c>
      <c r="E115" s="1" t="s">
        <v>88</v>
      </c>
      <c r="F115" s="1" t="s">
        <v>812</v>
      </c>
      <c r="G115" s="1" t="s">
        <v>813</v>
      </c>
      <c r="H115" s="1" t="s">
        <v>814</v>
      </c>
      <c r="I115" s="1"/>
      <c r="J115" s="1" t="s">
        <v>814</v>
      </c>
      <c r="K115" s="1"/>
      <c r="L115" s="7"/>
      <c r="M115" s="7" t="s">
        <v>125</v>
      </c>
      <c r="N115" s="7" t="s">
        <v>90</v>
      </c>
      <c r="O115" s="10"/>
      <c r="P115" s="10"/>
      <c r="Q115" s="7"/>
      <c r="R115" s="7"/>
      <c r="S115" s="7" t="s">
        <v>124</v>
      </c>
      <c r="T115" s="10"/>
      <c r="U115" s="11" t="s">
        <v>3130</v>
      </c>
      <c r="V115" s="11" t="s">
        <v>93</v>
      </c>
      <c r="W115" s="11">
        <v>0</v>
      </c>
      <c r="X115" s="11" t="s">
        <v>93</v>
      </c>
      <c r="Y115" s="11"/>
      <c r="Z115" s="12"/>
      <c r="AA115" s="11"/>
      <c r="AB115" s="11"/>
      <c r="AC115" s="1" t="s">
        <v>3131</v>
      </c>
      <c r="AD115" s="1" t="s">
        <v>3132</v>
      </c>
    </row>
    <row r="116" spans="1:30" ht="187.2" x14ac:dyDescent="0.3">
      <c r="A116" s="1" t="s">
        <v>270</v>
      </c>
      <c r="B116" s="1" t="s">
        <v>4516</v>
      </c>
      <c r="C116" s="1" t="s">
        <v>729</v>
      </c>
      <c r="D116" s="1" t="s">
        <v>815</v>
      </c>
      <c r="E116" s="1" t="s">
        <v>88</v>
      </c>
      <c r="F116" s="1" t="s">
        <v>817</v>
      </c>
      <c r="G116" s="1" t="s">
        <v>818</v>
      </c>
      <c r="H116" s="1" t="s">
        <v>819</v>
      </c>
      <c r="I116" s="1"/>
      <c r="J116" s="1" t="s">
        <v>819</v>
      </c>
      <c r="K116" s="1"/>
      <c r="L116" s="7"/>
      <c r="M116" s="7" t="s">
        <v>125</v>
      </c>
      <c r="N116" s="7" t="s">
        <v>90</v>
      </c>
      <c r="O116" s="10"/>
      <c r="P116" s="10"/>
      <c r="Q116" s="7"/>
      <c r="R116" s="7"/>
      <c r="S116" s="7" t="s">
        <v>124</v>
      </c>
      <c r="T116" s="10"/>
      <c r="U116" s="11" t="s">
        <v>3133</v>
      </c>
      <c r="V116" s="11" t="s">
        <v>93</v>
      </c>
      <c r="W116" s="11">
        <v>0</v>
      </c>
      <c r="X116" s="11" t="s">
        <v>93</v>
      </c>
      <c r="Y116" s="11"/>
      <c r="Z116" s="12"/>
      <c r="AA116" s="11"/>
      <c r="AB116" s="11"/>
      <c r="AC116" s="1" t="s">
        <v>3134</v>
      </c>
      <c r="AD116" s="1" t="s">
        <v>3135</v>
      </c>
    </row>
    <row r="117" spans="1:30" ht="187.2" x14ac:dyDescent="0.3">
      <c r="A117" s="1" t="s">
        <v>270</v>
      </c>
      <c r="B117" s="1" t="s">
        <v>4516</v>
      </c>
      <c r="C117" s="1" t="s">
        <v>729</v>
      </c>
      <c r="D117" s="1" t="s">
        <v>820</v>
      </c>
      <c r="E117" s="1" t="s">
        <v>88</v>
      </c>
      <c r="F117" s="1" t="s">
        <v>822</v>
      </c>
      <c r="G117" s="1" t="s">
        <v>823</v>
      </c>
      <c r="H117" s="1"/>
      <c r="I117" s="1"/>
      <c r="J117" s="1"/>
      <c r="K117" s="1"/>
      <c r="L117" s="7"/>
      <c r="M117" s="7" t="s">
        <v>125</v>
      </c>
      <c r="N117" s="7" t="s">
        <v>90</v>
      </c>
      <c r="O117" s="10"/>
      <c r="P117" s="10"/>
      <c r="Q117" s="7"/>
      <c r="R117" s="7"/>
      <c r="S117" s="7" t="s">
        <v>124</v>
      </c>
      <c r="T117" s="10"/>
      <c r="U117" s="11" t="s">
        <v>3136</v>
      </c>
      <c r="V117" s="11" t="s">
        <v>93</v>
      </c>
      <c r="W117" s="11">
        <v>0</v>
      </c>
      <c r="X117" s="11" t="s">
        <v>93</v>
      </c>
      <c r="Y117" s="11"/>
      <c r="Z117" s="12"/>
      <c r="AA117" s="11"/>
      <c r="AB117" s="11"/>
      <c r="AC117" s="1" t="s">
        <v>3137</v>
      </c>
      <c r="AD117" s="1" t="s">
        <v>3138</v>
      </c>
    </row>
    <row r="118" spans="1:30" ht="187.2" x14ac:dyDescent="0.3">
      <c r="A118" s="1" t="s">
        <v>270</v>
      </c>
      <c r="B118" s="1" t="s">
        <v>4516</v>
      </c>
      <c r="C118" s="1" t="s">
        <v>729</v>
      </c>
      <c r="D118" s="1" t="s">
        <v>824</v>
      </c>
      <c r="E118" s="1" t="s">
        <v>88</v>
      </c>
      <c r="F118" s="1" t="s">
        <v>311</v>
      </c>
      <c r="G118" s="1" t="s">
        <v>826</v>
      </c>
      <c r="H118" s="1" t="s">
        <v>827</v>
      </c>
      <c r="I118" s="1"/>
      <c r="J118" s="1" t="s">
        <v>827</v>
      </c>
      <c r="K118" s="1"/>
      <c r="L118" s="7"/>
      <c r="M118" s="7" t="s">
        <v>125</v>
      </c>
      <c r="N118" s="7" t="s">
        <v>90</v>
      </c>
      <c r="O118" s="10"/>
      <c r="P118" s="10"/>
      <c r="Q118" s="7"/>
      <c r="R118" s="7"/>
      <c r="S118" s="7" t="s">
        <v>124</v>
      </c>
      <c r="T118" s="10"/>
      <c r="U118" s="11" t="s">
        <v>3139</v>
      </c>
      <c r="V118" s="11" t="s">
        <v>93</v>
      </c>
      <c r="W118" s="11">
        <v>0</v>
      </c>
      <c r="X118" s="11" t="s">
        <v>93</v>
      </c>
      <c r="Y118" s="11"/>
      <c r="Z118" s="12"/>
      <c r="AA118" s="11"/>
      <c r="AB118" s="11"/>
      <c r="AC118" s="1" t="s">
        <v>3140</v>
      </c>
      <c r="AD118" s="1" t="s">
        <v>3141</v>
      </c>
    </row>
    <row r="119" spans="1:30" ht="187.2" x14ac:dyDescent="0.3">
      <c r="A119" s="1" t="s">
        <v>270</v>
      </c>
      <c r="B119" s="1" t="s">
        <v>4516</v>
      </c>
      <c r="C119" s="1" t="s">
        <v>729</v>
      </c>
      <c r="D119" s="1" t="s">
        <v>828</v>
      </c>
      <c r="E119" s="1" t="s">
        <v>88</v>
      </c>
      <c r="F119" s="1" t="s">
        <v>830</v>
      </c>
      <c r="G119" s="1" t="s">
        <v>831</v>
      </c>
      <c r="H119" s="1" t="s">
        <v>832</v>
      </c>
      <c r="I119" s="1"/>
      <c r="J119" s="1" t="s">
        <v>832</v>
      </c>
      <c r="K119" s="1"/>
      <c r="L119" s="7"/>
      <c r="M119" s="7" t="s">
        <v>125</v>
      </c>
      <c r="N119" s="7" t="s">
        <v>90</v>
      </c>
      <c r="O119" s="10"/>
      <c r="P119" s="10"/>
      <c r="Q119" s="7"/>
      <c r="R119" s="7"/>
      <c r="S119" s="7" t="s">
        <v>124</v>
      </c>
      <c r="T119" s="10"/>
      <c r="U119" s="11" t="s">
        <v>3142</v>
      </c>
      <c r="V119" s="11" t="s">
        <v>93</v>
      </c>
      <c r="W119" s="11">
        <v>0</v>
      </c>
      <c r="X119" s="11" t="s">
        <v>93</v>
      </c>
      <c r="Y119" s="11"/>
      <c r="Z119" s="12"/>
      <c r="AA119" s="11"/>
      <c r="AB119" s="11"/>
      <c r="AC119" s="1" t="s">
        <v>3143</v>
      </c>
      <c r="AD119" s="1" t="s">
        <v>3144</v>
      </c>
    </row>
    <row r="120" spans="1:30" ht="187.2" x14ac:dyDescent="0.3">
      <c r="A120" s="1" t="s">
        <v>270</v>
      </c>
      <c r="B120" s="1" t="s">
        <v>4516</v>
      </c>
      <c r="C120" s="1" t="s">
        <v>729</v>
      </c>
      <c r="D120" s="1" t="s">
        <v>833</v>
      </c>
      <c r="E120" s="1" t="s">
        <v>88</v>
      </c>
      <c r="F120" s="1" t="s">
        <v>835</v>
      </c>
      <c r="G120" s="1" t="s">
        <v>836</v>
      </c>
      <c r="H120" s="1" t="s">
        <v>837</v>
      </c>
      <c r="I120" s="1"/>
      <c r="J120" s="1" t="s">
        <v>837</v>
      </c>
      <c r="K120" s="1" t="s">
        <v>838</v>
      </c>
      <c r="L120" s="7"/>
      <c r="M120" s="7" t="s">
        <v>125</v>
      </c>
      <c r="N120" s="7" t="s">
        <v>90</v>
      </c>
      <c r="O120" s="10"/>
      <c r="P120" s="10"/>
      <c r="Q120" s="7"/>
      <c r="R120" s="7"/>
      <c r="S120" s="7" t="s">
        <v>124</v>
      </c>
      <c r="T120" s="10"/>
      <c r="U120" s="11" t="s">
        <v>3145</v>
      </c>
      <c r="V120" s="11" t="s">
        <v>93</v>
      </c>
      <c r="W120" s="11">
        <v>0</v>
      </c>
      <c r="X120" s="11" t="s">
        <v>93</v>
      </c>
      <c r="Y120" s="11"/>
      <c r="Z120" s="12"/>
      <c r="AA120" s="11"/>
      <c r="AB120" s="11"/>
      <c r="AC120" s="1" t="s">
        <v>3146</v>
      </c>
      <c r="AD120" s="1" t="s">
        <v>3147</v>
      </c>
    </row>
    <row r="121" spans="1:30" ht="187.2" x14ac:dyDescent="0.3">
      <c r="A121" s="1" t="s">
        <v>270</v>
      </c>
      <c r="B121" s="1" t="s">
        <v>4516</v>
      </c>
      <c r="C121" s="1" t="s">
        <v>729</v>
      </c>
      <c r="D121" s="1" t="s">
        <v>839</v>
      </c>
      <c r="E121" s="1" t="s">
        <v>88</v>
      </c>
      <c r="F121" s="1" t="s">
        <v>841</v>
      </c>
      <c r="G121" s="1" t="s">
        <v>219</v>
      </c>
      <c r="H121" s="1" t="s">
        <v>842</v>
      </c>
      <c r="I121" s="1"/>
      <c r="J121" s="1" t="s">
        <v>842</v>
      </c>
      <c r="K121" s="1"/>
      <c r="L121" s="7"/>
      <c r="M121" s="7" t="s">
        <v>125</v>
      </c>
      <c r="N121" s="7" t="s">
        <v>90</v>
      </c>
      <c r="O121" s="10"/>
      <c r="P121" s="10"/>
      <c r="Q121" s="7"/>
      <c r="R121" s="7"/>
      <c r="S121" s="7" t="s">
        <v>124</v>
      </c>
      <c r="T121" s="10"/>
      <c r="U121" s="11" t="s">
        <v>3148</v>
      </c>
      <c r="V121" s="11" t="s">
        <v>93</v>
      </c>
      <c r="W121" s="11">
        <v>0</v>
      </c>
      <c r="X121" s="11" t="s">
        <v>93</v>
      </c>
      <c r="Y121" s="11"/>
      <c r="Z121" s="12"/>
      <c r="AA121" s="11"/>
      <c r="AB121" s="11"/>
      <c r="AC121" s="1" t="s">
        <v>3149</v>
      </c>
      <c r="AD121" s="1" t="s">
        <v>3150</v>
      </c>
    </row>
    <row r="122" spans="1:30" ht="187.2" x14ac:dyDescent="0.3">
      <c r="A122" s="1" t="s">
        <v>270</v>
      </c>
      <c r="B122" s="1" t="s">
        <v>4516</v>
      </c>
      <c r="C122" s="1" t="s">
        <v>729</v>
      </c>
      <c r="D122" s="1" t="s">
        <v>843</v>
      </c>
      <c r="E122" s="1" t="s">
        <v>88</v>
      </c>
      <c r="F122" s="1" t="s">
        <v>845</v>
      </c>
      <c r="G122" s="1" t="s">
        <v>846</v>
      </c>
      <c r="H122" s="1" t="s">
        <v>847</v>
      </c>
      <c r="I122" s="1"/>
      <c r="J122" s="1" t="s">
        <v>847</v>
      </c>
      <c r="K122" s="1"/>
      <c r="L122" s="7"/>
      <c r="M122" s="7" t="s">
        <v>125</v>
      </c>
      <c r="N122" s="7" t="s">
        <v>90</v>
      </c>
      <c r="O122" s="10"/>
      <c r="P122" s="10"/>
      <c r="Q122" s="7"/>
      <c r="R122" s="7"/>
      <c r="S122" s="7" t="s">
        <v>124</v>
      </c>
      <c r="T122" s="10"/>
      <c r="U122" s="11" t="s">
        <v>3151</v>
      </c>
      <c r="V122" s="11" t="s">
        <v>93</v>
      </c>
      <c r="W122" s="11">
        <v>0</v>
      </c>
      <c r="X122" s="11" t="s">
        <v>93</v>
      </c>
      <c r="Y122" s="11"/>
      <c r="Z122" s="12"/>
      <c r="AA122" s="11"/>
      <c r="AB122" s="11"/>
      <c r="AC122" s="1" t="s">
        <v>3152</v>
      </c>
      <c r="AD122" s="1" t="s">
        <v>3153</v>
      </c>
    </row>
    <row r="123" spans="1:30" ht="187.2" x14ac:dyDescent="0.3">
      <c r="A123" s="1" t="s">
        <v>270</v>
      </c>
      <c r="B123" s="1" t="s">
        <v>4516</v>
      </c>
      <c r="C123" s="1" t="s">
        <v>729</v>
      </c>
      <c r="D123" s="1" t="s">
        <v>848</v>
      </c>
      <c r="E123" s="1" t="s">
        <v>88</v>
      </c>
      <c r="F123" s="1" t="s">
        <v>850</v>
      </c>
      <c r="G123" s="1" t="s">
        <v>851</v>
      </c>
      <c r="H123" s="1" t="s">
        <v>852</v>
      </c>
      <c r="I123" s="1"/>
      <c r="J123" s="1" t="s">
        <v>852</v>
      </c>
      <c r="K123" s="1" t="s">
        <v>853</v>
      </c>
      <c r="L123" s="7"/>
      <c r="M123" s="7" t="s">
        <v>125</v>
      </c>
      <c r="N123" s="7" t="s">
        <v>90</v>
      </c>
      <c r="O123" s="10"/>
      <c r="P123" s="10"/>
      <c r="Q123" s="7"/>
      <c r="R123" s="7"/>
      <c r="S123" s="7" t="s">
        <v>124</v>
      </c>
      <c r="T123" s="10"/>
      <c r="U123" s="11" t="s">
        <v>3154</v>
      </c>
      <c r="V123" s="11" t="s">
        <v>93</v>
      </c>
      <c r="W123" s="11">
        <v>0</v>
      </c>
      <c r="X123" s="11" t="s">
        <v>93</v>
      </c>
      <c r="Y123" s="11"/>
      <c r="Z123" s="12"/>
      <c r="AA123" s="11"/>
      <c r="AB123" s="11"/>
      <c r="AC123" s="1" t="s">
        <v>3155</v>
      </c>
      <c r="AD123" s="1" t="s">
        <v>3156</v>
      </c>
    </row>
    <row r="124" spans="1:30" ht="187.2" x14ac:dyDescent="0.3">
      <c r="A124" s="1" t="s">
        <v>270</v>
      </c>
      <c r="B124" s="1" t="s">
        <v>4516</v>
      </c>
      <c r="C124" s="1" t="s">
        <v>729</v>
      </c>
      <c r="D124" s="1" t="s">
        <v>854</v>
      </c>
      <c r="E124" s="1" t="s">
        <v>88</v>
      </c>
      <c r="F124" s="1" t="s">
        <v>856</v>
      </c>
      <c r="G124" s="1" t="s">
        <v>857</v>
      </c>
      <c r="H124" s="1" t="s">
        <v>858</v>
      </c>
      <c r="I124" s="1"/>
      <c r="J124" s="1" t="s">
        <v>858</v>
      </c>
      <c r="K124" s="1"/>
      <c r="L124" s="7"/>
      <c r="M124" s="7" t="s">
        <v>125</v>
      </c>
      <c r="N124" s="7" t="s">
        <v>90</v>
      </c>
      <c r="O124" s="10"/>
      <c r="P124" s="10"/>
      <c r="Q124" s="7"/>
      <c r="R124" s="7"/>
      <c r="S124" s="7" t="s">
        <v>124</v>
      </c>
      <c r="T124" s="10"/>
      <c r="U124" s="11" t="s">
        <v>3157</v>
      </c>
      <c r="V124" s="11" t="s">
        <v>93</v>
      </c>
      <c r="W124" s="11">
        <v>0</v>
      </c>
      <c r="X124" s="11" t="s">
        <v>93</v>
      </c>
      <c r="Y124" s="11"/>
      <c r="Z124" s="12"/>
      <c r="AA124" s="11"/>
      <c r="AB124" s="11"/>
      <c r="AC124" s="1" t="s">
        <v>3158</v>
      </c>
      <c r="AD124" s="1" t="s">
        <v>3159</v>
      </c>
    </row>
    <row r="125" spans="1:30" ht="187.2" x14ac:dyDescent="0.3">
      <c r="A125" s="1" t="s">
        <v>270</v>
      </c>
      <c r="B125" s="1" t="s">
        <v>4516</v>
      </c>
      <c r="C125" s="1" t="s">
        <v>729</v>
      </c>
      <c r="D125" s="1" t="s">
        <v>859</v>
      </c>
      <c r="E125" s="1" t="s">
        <v>88</v>
      </c>
      <c r="F125" s="1"/>
      <c r="G125" s="1"/>
      <c r="H125" s="1"/>
      <c r="I125" s="1"/>
      <c r="J125" s="1"/>
      <c r="K125" s="1"/>
      <c r="L125" s="7"/>
      <c r="M125" s="7" t="s">
        <v>125</v>
      </c>
      <c r="N125" s="7" t="s">
        <v>90</v>
      </c>
      <c r="O125" s="10"/>
      <c r="P125" s="10"/>
      <c r="Q125" s="7"/>
      <c r="R125" s="7"/>
      <c r="S125" s="7" t="s">
        <v>124</v>
      </c>
      <c r="T125" s="10"/>
      <c r="U125" s="11" t="s">
        <v>3160</v>
      </c>
      <c r="V125" s="11" t="s">
        <v>93</v>
      </c>
      <c r="W125" s="11">
        <v>0</v>
      </c>
      <c r="X125" s="11" t="s">
        <v>93</v>
      </c>
      <c r="Y125" s="11"/>
      <c r="Z125" s="12"/>
      <c r="AA125" s="11"/>
      <c r="AB125" s="11"/>
      <c r="AC125" s="1" t="s">
        <v>3161</v>
      </c>
      <c r="AD125" s="1" t="s">
        <v>3162</v>
      </c>
    </row>
    <row r="126" spans="1:30" ht="187.2" x14ac:dyDescent="0.3">
      <c r="A126" s="1" t="s">
        <v>270</v>
      </c>
      <c r="B126" s="1" t="s">
        <v>4516</v>
      </c>
      <c r="C126" s="1" t="s">
        <v>861</v>
      </c>
      <c r="D126" s="1" t="s">
        <v>862</v>
      </c>
      <c r="E126" s="1" t="s">
        <v>863</v>
      </c>
      <c r="F126" s="1" t="s">
        <v>625</v>
      </c>
      <c r="G126" s="1" t="s">
        <v>865</v>
      </c>
      <c r="H126" s="1" t="s">
        <v>866</v>
      </c>
      <c r="I126" s="1" t="s">
        <v>867</v>
      </c>
      <c r="J126" s="1" t="s">
        <v>866</v>
      </c>
      <c r="K126" s="1" t="s">
        <v>868</v>
      </c>
      <c r="L126" s="7"/>
      <c r="M126" s="7" t="s">
        <v>125</v>
      </c>
      <c r="N126" s="7" t="s">
        <v>90</v>
      </c>
      <c r="O126" s="10"/>
      <c r="P126" s="10"/>
      <c r="Q126" s="7"/>
      <c r="R126" s="7"/>
      <c r="S126" s="7" t="s">
        <v>124</v>
      </c>
      <c r="T126" s="10"/>
      <c r="U126" s="11" t="s">
        <v>3163</v>
      </c>
      <c r="V126" s="11" t="s">
        <v>93</v>
      </c>
      <c r="W126" s="11">
        <v>0</v>
      </c>
      <c r="X126" s="11" t="s">
        <v>93</v>
      </c>
      <c r="Y126" s="11"/>
      <c r="Z126" s="12"/>
      <c r="AA126" s="11"/>
      <c r="AB126" s="11"/>
      <c r="AC126" s="1" t="s">
        <v>3164</v>
      </c>
      <c r="AD126" s="1" t="s">
        <v>3165</v>
      </c>
    </row>
    <row r="127" spans="1:30" ht="187.2" x14ac:dyDescent="0.3">
      <c r="A127" s="1" t="s">
        <v>270</v>
      </c>
      <c r="B127" s="1" t="s">
        <v>4516</v>
      </c>
      <c r="C127" s="1" t="s">
        <v>861</v>
      </c>
      <c r="D127" s="1" t="s">
        <v>869</v>
      </c>
      <c r="E127" s="1" t="s">
        <v>863</v>
      </c>
      <c r="F127" s="1"/>
      <c r="G127" s="1"/>
      <c r="H127" s="1"/>
      <c r="I127" s="1"/>
      <c r="J127" s="1"/>
      <c r="K127" s="1"/>
      <c r="L127" s="7"/>
      <c r="M127" s="7" t="s">
        <v>125</v>
      </c>
      <c r="N127" s="7" t="s">
        <v>90</v>
      </c>
      <c r="O127" s="10"/>
      <c r="P127" s="10"/>
      <c r="Q127" s="7"/>
      <c r="R127" s="7"/>
      <c r="S127" s="7" t="s">
        <v>124</v>
      </c>
      <c r="T127" s="10"/>
      <c r="U127" s="11" t="s">
        <v>3166</v>
      </c>
      <c r="V127" s="11" t="s">
        <v>93</v>
      </c>
      <c r="W127" s="11">
        <v>0</v>
      </c>
      <c r="X127" s="11" t="s">
        <v>93</v>
      </c>
      <c r="Y127" s="11"/>
      <c r="Z127" s="12"/>
      <c r="AA127" s="11"/>
      <c r="AB127" s="11"/>
      <c r="AC127" s="1" t="s">
        <v>3167</v>
      </c>
      <c r="AD127" s="1" t="s">
        <v>3168</v>
      </c>
    </row>
    <row r="128" spans="1:30" ht="187.2" x14ac:dyDescent="0.3">
      <c r="A128" s="1" t="s">
        <v>270</v>
      </c>
      <c r="B128" s="1" t="s">
        <v>4516</v>
      </c>
      <c r="C128" s="1" t="s">
        <v>871</v>
      </c>
      <c r="D128" s="1" t="s">
        <v>872</v>
      </c>
      <c r="E128" s="1" t="s">
        <v>873</v>
      </c>
      <c r="F128" s="1" t="s">
        <v>875</v>
      </c>
      <c r="G128" s="1" t="s">
        <v>876</v>
      </c>
      <c r="H128" s="1" t="s">
        <v>877</v>
      </c>
      <c r="I128" s="1"/>
      <c r="J128" s="1" t="s">
        <v>877</v>
      </c>
      <c r="K128" s="1"/>
      <c r="L128" s="7"/>
      <c r="M128" s="7" t="s">
        <v>125</v>
      </c>
      <c r="N128" s="7" t="s">
        <v>90</v>
      </c>
      <c r="O128" s="10"/>
      <c r="P128" s="10"/>
      <c r="Q128" s="7"/>
      <c r="R128" s="7"/>
      <c r="S128" s="7" t="s">
        <v>124</v>
      </c>
      <c r="T128" s="10"/>
      <c r="U128" s="11" t="s">
        <v>3169</v>
      </c>
      <c r="V128" s="11" t="s">
        <v>93</v>
      </c>
      <c r="W128" s="11">
        <v>0</v>
      </c>
      <c r="X128" s="11" t="s">
        <v>93</v>
      </c>
      <c r="Y128" s="11"/>
      <c r="Z128" s="12"/>
      <c r="AA128" s="11"/>
      <c r="AB128" s="11"/>
      <c r="AC128" s="1" t="s">
        <v>3170</v>
      </c>
      <c r="AD128" s="1" t="s">
        <v>3171</v>
      </c>
    </row>
    <row r="129" spans="1:30" ht="187.2" x14ac:dyDescent="0.3">
      <c r="A129" s="1" t="s">
        <v>270</v>
      </c>
      <c r="B129" s="1" t="s">
        <v>4516</v>
      </c>
      <c r="C129" s="1" t="s">
        <v>871</v>
      </c>
      <c r="D129" s="1" t="s">
        <v>878</v>
      </c>
      <c r="E129" s="1" t="s">
        <v>873</v>
      </c>
      <c r="F129" s="1" t="s">
        <v>880</v>
      </c>
      <c r="G129" s="1" t="s">
        <v>881</v>
      </c>
      <c r="H129" s="1"/>
      <c r="I129" s="1"/>
      <c r="J129" s="1"/>
      <c r="K129" s="1"/>
      <c r="L129" s="7"/>
      <c r="M129" s="7" t="s">
        <v>125</v>
      </c>
      <c r="N129" s="7" t="s">
        <v>90</v>
      </c>
      <c r="O129" s="10"/>
      <c r="P129" s="10"/>
      <c r="Q129" s="7"/>
      <c r="R129" s="7"/>
      <c r="S129" s="7" t="s">
        <v>124</v>
      </c>
      <c r="T129" s="10"/>
      <c r="U129" s="11" t="s">
        <v>3172</v>
      </c>
      <c r="V129" s="11" t="s">
        <v>93</v>
      </c>
      <c r="W129" s="11">
        <v>0</v>
      </c>
      <c r="X129" s="11" t="s">
        <v>93</v>
      </c>
      <c r="Y129" s="11"/>
      <c r="Z129" s="12"/>
      <c r="AA129" s="11"/>
      <c r="AB129" s="11"/>
      <c r="AC129" s="1" t="s">
        <v>3173</v>
      </c>
      <c r="AD129" s="1" t="s">
        <v>3174</v>
      </c>
    </row>
    <row r="130" spans="1:30" ht="187.2" x14ac:dyDescent="0.3">
      <c r="A130" s="1" t="s">
        <v>270</v>
      </c>
      <c r="B130" s="1" t="s">
        <v>4516</v>
      </c>
      <c r="C130" s="1" t="s">
        <v>871</v>
      </c>
      <c r="D130" s="1" t="s">
        <v>882</v>
      </c>
      <c r="E130" s="1" t="s">
        <v>873</v>
      </c>
      <c r="F130" s="1" t="s">
        <v>884</v>
      </c>
      <c r="G130" s="1" t="s">
        <v>885</v>
      </c>
      <c r="H130" s="1" t="s">
        <v>886</v>
      </c>
      <c r="I130" s="1"/>
      <c r="J130" s="1" t="s">
        <v>886</v>
      </c>
      <c r="K130" s="1"/>
      <c r="L130" s="7"/>
      <c r="M130" s="7" t="s">
        <v>125</v>
      </c>
      <c r="N130" s="7" t="s">
        <v>90</v>
      </c>
      <c r="O130" s="10"/>
      <c r="P130" s="10"/>
      <c r="Q130" s="7"/>
      <c r="R130" s="7"/>
      <c r="S130" s="7" t="s">
        <v>124</v>
      </c>
      <c r="T130" s="10"/>
      <c r="U130" s="11" t="s">
        <v>3175</v>
      </c>
      <c r="V130" s="11" t="s">
        <v>93</v>
      </c>
      <c r="W130" s="11">
        <v>0</v>
      </c>
      <c r="X130" s="11" t="s">
        <v>93</v>
      </c>
      <c r="Y130" s="11"/>
      <c r="Z130" s="12"/>
      <c r="AA130" s="11"/>
      <c r="AB130" s="11"/>
      <c r="AC130" s="1" t="s">
        <v>3176</v>
      </c>
      <c r="AD130" s="1" t="s">
        <v>3177</v>
      </c>
    </row>
    <row r="131" spans="1:30" ht="187.2" x14ac:dyDescent="0.3">
      <c r="A131" s="1" t="s">
        <v>262</v>
      </c>
      <c r="B131" s="1" t="s">
        <v>4517</v>
      </c>
      <c r="C131" s="1" t="s">
        <v>887</v>
      </c>
      <c r="D131" s="1" t="s">
        <v>888</v>
      </c>
      <c r="E131" s="1" t="s">
        <v>889</v>
      </c>
      <c r="F131" s="1" t="s">
        <v>891</v>
      </c>
      <c r="G131" s="1" t="s">
        <v>892</v>
      </c>
      <c r="H131" s="1" t="s">
        <v>893</v>
      </c>
      <c r="I131" s="1"/>
      <c r="J131" s="1" t="s">
        <v>893</v>
      </c>
      <c r="K131" s="1"/>
      <c r="L131" s="7"/>
      <c r="M131" s="7" t="s">
        <v>125</v>
      </c>
      <c r="N131" s="7" t="s">
        <v>90</v>
      </c>
      <c r="O131" s="10"/>
      <c r="P131" s="10"/>
      <c r="Q131" s="7"/>
      <c r="R131" s="7"/>
      <c r="S131" s="7" t="s">
        <v>124</v>
      </c>
      <c r="T131" s="10"/>
      <c r="U131" s="11" t="s">
        <v>3178</v>
      </c>
      <c r="V131" s="11" t="s">
        <v>93</v>
      </c>
      <c r="W131" s="11">
        <v>0</v>
      </c>
      <c r="X131" s="11" t="s">
        <v>93</v>
      </c>
      <c r="Y131" s="11"/>
      <c r="Z131" s="12"/>
      <c r="AA131" s="11"/>
      <c r="AB131" s="11"/>
      <c r="AC131" s="1" t="s">
        <v>3179</v>
      </c>
      <c r="AD131" s="1" t="s">
        <v>3180</v>
      </c>
    </row>
    <row r="132" spans="1:30" ht="187.2" x14ac:dyDescent="0.3">
      <c r="A132" s="1" t="s">
        <v>262</v>
      </c>
      <c r="B132" s="1" t="s">
        <v>4517</v>
      </c>
      <c r="C132" s="1" t="s">
        <v>887</v>
      </c>
      <c r="D132" s="1" t="s">
        <v>894</v>
      </c>
      <c r="E132" s="1" t="s">
        <v>889</v>
      </c>
      <c r="F132" s="1" t="s">
        <v>458</v>
      </c>
      <c r="G132" s="1" t="s">
        <v>896</v>
      </c>
      <c r="H132" s="1"/>
      <c r="I132" s="1"/>
      <c r="J132" s="1"/>
      <c r="K132" s="1"/>
      <c r="L132" s="7"/>
      <c r="M132" s="7" t="s">
        <v>125</v>
      </c>
      <c r="N132" s="7" t="s">
        <v>90</v>
      </c>
      <c r="O132" s="10"/>
      <c r="P132" s="10"/>
      <c r="Q132" s="7"/>
      <c r="R132" s="7"/>
      <c r="S132" s="7" t="s">
        <v>124</v>
      </c>
      <c r="T132" s="10"/>
      <c r="U132" s="11" t="s">
        <v>3181</v>
      </c>
      <c r="V132" s="11" t="s">
        <v>93</v>
      </c>
      <c r="W132" s="11">
        <v>0</v>
      </c>
      <c r="X132" s="11" t="s">
        <v>93</v>
      </c>
      <c r="Y132" s="11"/>
      <c r="Z132" s="12"/>
      <c r="AA132" s="11"/>
      <c r="AB132" s="11"/>
      <c r="AC132" s="1" t="s">
        <v>3182</v>
      </c>
      <c r="AD132" s="1" t="s">
        <v>3183</v>
      </c>
    </row>
    <row r="133" spans="1:30" ht="187.2" x14ac:dyDescent="0.3">
      <c r="A133" s="1" t="s">
        <v>270</v>
      </c>
      <c r="B133" s="1" t="s">
        <v>4516</v>
      </c>
      <c r="C133" s="1" t="s">
        <v>897</v>
      </c>
      <c r="D133" s="1" t="s">
        <v>898</v>
      </c>
      <c r="E133" s="1" t="s">
        <v>899</v>
      </c>
      <c r="F133" s="1" t="s">
        <v>901</v>
      </c>
      <c r="G133" s="1" t="s">
        <v>902</v>
      </c>
      <c r="H133" s="1" t="s">
        <v>903</v>
      </c>
      <c r="I133" s="1"/>
      <c r="J133" s="1" t="s">
        <v>903</v>
      </c>
      <c r="K133" s="1"/>
      <c r="L133" s="7"/>
      <c r="M133" s="7" t="s">
        <v>125</v>
      </c>
      <c r="N133" s="7" t="s">
        <v>90</v>
      </c>
      <c r="O133" s="10"/>
      <c r="P133" s="10"/>
      <c r="Q133" s="7"/>
      <c r="R133" s="7"/>
      <c r="S133" s="7" t="s">
        <v>124</v>
      </c>
      <c r="T133" s="10"/>
      <c r="U133" s="11" t="s">
        <v>3184</v>
      </c>
      <c r="V133" s="11" t="s">
        <v>93</v>
      </c>
      <c r="W133" s="11">
        <v>0</v>
      </c>
      <c r="X133" s="11" t="s">
        <v>93</v>
      </c>
      <c r="Y133" s="11"/>
      <c r="Z133" s="12"/>
      <c r="AA133" s="11"/>
      <c r="AB133" s="11"/>
      <c r="AC133" s="1" t="s">
        <v>3185</v>
      </c>
      <c r="AD133" s="1" t="s">
        <v>3186</v>
      </c>
    </row>
    <row r="134" spans="1:30" ht="187.2" x14ac:dyDescent="0.3">
      <c r="A134" s="1" t="s">
        <v>270</v>
      </c>
      <c r="B134" s="1" t="s">
        <v>4516</v>
      </c>
      <c r="C134" s="1" t="s">
        <v>897</v>
      </c>
      <c r="D134" s="1" t="s">
        <v>904</v>
      </c>
      <c r="E134" s="1" t="s">
        <v>899</v>
      </c>
      <c r="F134" s="1" t="s">
        <v>906</v>
      </c>
      <c r="G134" s="1" t="s">
        <v>907</v>
      </c>
      <c r="H134" s="1" t="s">
        <v>908</v>
      </c>
      <c r="I134" s="1"/>
      <c r="J134" s="1" t="s">
        <v>908</v>
      </c>
      <c r="K134" s="1"/>
      <c r="L134" s="7"/>
      <c r="M134" s="7" t="s">
        <v>125</v>
      </c>
      <c r="N134" s="7" t="s">
        <v>90</v>
      </c>
      <c r="O134" s="10"/>
      <c r="P134" s="10"/>
      <c r="Q134" s="7"/>
      <c r="R134" s="7"/>
      <c r="S134" s="7" t="s">
        <v>124</v>
      </c>
      <c r="T134" s="10"/>
      <c r="U134" s="11" t="s">
        <v>3187</v>
      </c>
      <c r="V134" s="11" t="s">
        <v>93</v>
      </c>
      <c r="W134" s="11">
        <v>0</v>
      </c>
      <c r="X134" s="11" t="s">
        <v>93</v>
      </c>
      <c r="Y134" s="11"/>
      <c r="Z134" s="12"/>
      <c r="AA134" s="11"/>
      <c r="AB134" s="11"/>
      <c r="AC134" s="1" t="s">
        <v>3188</v>
      </c>
      <c r="AD134" s="1" t="s">
        <v>3189</v>
      </c>
    </row>
    <row r="135" spans="1:30" ht="187.2" x14ac:dyDescent="0.3">
      <c r="A135" s="1" t="s">
        <v>270</v>
      </c>
      <c r="B135" s="1" t="s">
        <v>4516</v>
      </c>
      <c r="C135" s="1" t="s">
        <v>897</v>
      </c>
      <c r="D135" s="1" t="s">
        <v>909</v>
      </c>
      <c r="E135" s="1" t="s">
        <v>899</v>
      </c>
      <c r="F135" s="1" t="s">
        <v>687</v>
      </c>
      <c r="G135" s="1" t="s">
        <v>911</v>
      </c>
      <c r="H135" s="1" t="s">
        <v>912</v>
      </c>
      <c r="I135" s="1" t="s">
        <v>913</v>
      </c>
      <c r="J135" s="1" t="s">
        <v>912</v>
      </c>
      <c r="K135" s="1"/>
      <c r="L135" s="7"/>
      <c r="M135" s="7" t="s">
        <v>125</v>
      </c>
      <c r="N135" s="7" t="s">
        <v>90</v>
      </c>
      <c r="O135" s="10"/>
      <c r="P135" s="10"/>
      <c r="Q135" s="7"/>
      <c r="R135" s="7"/>
      <c r="S135" s="7" t="s">
        <v>124</v>
      </c>
      <c r="T135" s="10"/>
      <c r="U135" s="11" t="s">
        <v>3190</v>
      </c>
      <c r="V135" s="11" t="s">
        <v>93</v>
      </c>
      <c r="W135" s="11">
        <v>0</v>
      </c>
      <c r="X135" s="11" t="s">
        <v>93</v>
      </c>
      <c r="Y135" s="11"/>
      <c r="Z135" s="12"/>
      <c r="AA135" s="11"/>
      <c r="AB135" s="11"/>
      <c r="AC135" s="1" t="s">
        <v>3191</v>
      </c>
      <c r="AD135" s="1" t="s">
        <v>3192</v>
      </c>
    </row>
    <row r="136" spans="1:30" ht="187.2" x14ac:dyDescent="0.3">
      <c r="A136" s="1" t="s">
        <v>270</v>
      </c>
      <c r="B136" s="1" t="s">
        <v>4516</v>
      </c>
      <c r="C136" s="1" t="s">
        <v>897</v>
      </c>
      <c r="D136" s="1" t="s">
        <v>914</v>
      </c>
      <c r="E136" s="1" t="s">
        <v>899</v>
      </c>
      <c r="F136" s="1" t="s">
        <v>916</v>
      </c>
      <c r="G136" s="1" t="s">
        <v>917</v>
      </c>
      <c r="H136" s="1" t="s">
        <v>918</v>
      </c>
      <c r="I136" s="1"/>
      <c r="J136" s="1" t="s">
        <v>918</v>
      </c>
      <c r="K136" s="1"/>
      <c r="L136" s="7"/>
      <c r="M136" s="7" t="s">
        <v>125</v>
      </c>
      <c r="N136" s="7" t="s">
        <v>90</v>
      </c>
      <c r="O136" s="10"/>
      <c r="P136" s="10"/>
      <c r="Q136" s="7"/>
      <c r="R136" s="7"/>
      <c r="S136" s="7" t="s">
        <v>124</v>
      </c>
      <c r="T136" s="10"/>
      <c r="U136" s="11" t="s">
        <v>3193</v>
      </c>
      <c r="V136" s="11" t="s">
        <v>93</v>
      </c>
      <c r="W136" s="11">
        <v>0</v>
      </c>
      <c r="X136" s="11" t="s">
        <v>93</v>
      </c>
      <c r="Y136" s="11"/>
      <c r="Z136" s="12"/>
      <c r="AA136" s="11"/>
      <c r="AB136" s="11"/>
      <c r="AC136" s="1" t="s">
        <v>3194</v>
      </c>
      <c r="AD136" s="1" t="s">
        <v>3195</v>
      </c>
    </row>
    <row r="137" spans="1:30" ht="187.2" x14ac:dyDescent="0.3">
      <c r="A137" s="1" t="s">
        <v>292</v>
      </c>
      <c r="B137" s="1" t="s">
        <v>4515</v>
      </c>
      <c r="C137" s="1" t="s">
        <v>919</v>
      </c>
      <c r="D137" s="1" t="s">
        <v>920</v>
      </c>
      <c r="E137" s="1" t="s">
        <v>921</v>
      </c>
      <c r="F137" s="1" t="s">
        <v>923</v>
      </c>
      <c r="G137" s="1" t="s">
        <v>924</v>
      </c>
      <c r="H137" s="1" t="s">
        <v>925</v>
      </c>
      <c r="I137" s="1"/>
      <c r="J137" s="1" t="s">
        <v>925</v>
      </c>
      <c r="K137" s="1"/>
      <c r="L137" s="7"/>
      <c r="M137" s="7" t="s">
        <v>125</v>
      </c>
      <c r="N137" s="7" t="s">
        <v>90</v>
      </c>
      <c r="O137" s="10"/>
      <c r="P137" s="10"/>
      <c r="Q137" s="7"/>
      <c r="R137" s="7"/>
      <c r="S137" s="7" t="s">
        <v>124</v>
      </c>
      <c r="T137" s="10"/>
      <c r="U137" s="11" t="s">
        <v>3196</v>
      </c>
      <c r="V137" s="11" t="s">
        <v>93</v>
      </c>
      <c r="W137" s="11">
        <v>0</v>
      </c>
      <c r="X137" s="11" t="s">
        <v>93</v>
      </c>
      <c r="Y137" s="11"/>
      <c r="Z137" s="12"/>
      <c r="AA137" s="11"/>
      <c r="AB137" s="11"/>
      <c r="AC137" s="1" t="s">
        <v>3197</v>
      </c>
      <c r="AD137" s="1" t="s">
        <v>3198</v>
      </c>
    </row>
    <row r="138" spans="1:30" ht="187.2" x14ac:dyDescent="0.3">
      <c r="A138" s="1" t="s">
        <v>292</v>
      </c>
      <c r="B138" s="1" t="s">
        <v>4515</v>
      </c>
      <c r="C138" s="1" t="s">
        <v>919</v>
      </c>
      <c r="D138" s="1" t="s">
        <v>926</v>
      </c>
      <c r="E138" s="1" t="s">
        <v>921</v>
      </c>
      <c r="F138" s="1" t="s">
        <v>567</v>
      </c>
      <c r="G138" s="1" t="s">
        <v>928</v>
      </c>
      <c r="H138" s="1" t="s">
        <v>929</v>
      </c>
      <c r="I138" s="1"/>
      <c r="J138" s="1" t="s">
        <v>929</v>
      </c>
      <c r="K138" s="1"/>
      <c r="L138" s="7"/>
      <c r="M138" s="7" t="s">
        <v>125</v>
      </c>
      <c r="N138" s="7" t="s">
        <v>90</v>
      </c>
      <c r="O138" s="10"/>
      <c r="P138" s="10"/>
      <c r="Q138" s="7"/>
      <c r="R138" s="7"/>
      <c r="S138" s="7" t="s">
        <v>124</v>
      </c>
      <c r="T138" s="10"/>
      <c r="U138" s="11" t="s">
        <v>3199</v>
      </c>
      <c r="V138" s="11" t="s">
        <v>93</v>
      </c>
      <c r="W138" s="11">
        <v>0</v>
      </c>
      <c r="X138" s="11" t="s">
        <v>93</v>
      </c>
      <c r="Y138" s="11"/>
      <c r="Z138" s="12"/>
      <c r="AA138" s="11"/>
      <c r="AB138" s="11"/>
      <c r="AC138" s="1" t="s">
        <v>3200</v>
      </c>
      <c r="AD138" s="1" t="s">
        <v>3201</v>
      </c>
    </row>
    <row r="139" spans="1:30" ht="187.2" x14ac:dyDescent="0.3">
      <c r="A139" s="1" t="s">
        <v>292</v>
      </c>
      <c r="B139" s="1" t="s">
        <v>4515</v>
      </c>
      <c r="C139" s="1" t="s">
        <v>919</v>
      </c>
      <c r="D139" s="1" t="s">
        <v>930</v>
      </c>
      <c r="E139" s="1" t="s">
        <v>921</v>
      </c>
      <c r="F139" s="1" t="s">
        <v>932</v>
      </c>
      <c r="G139" s="1" t="s">
        <v>933</v>
      </c>
      <c r="H139" s="1" t="s">
        <v>934</v>
      </c>
      <c r="I139" s="1" t="s">
        <v>935</v>
      </c>
      <c r="J139" s="1" t="s">
        <v>934</v>
      </c>
      <c r="K139" s="1" t="s">
        <v>936</v>
      </c>
      <c r="L139" s="7"/>
      <c r="M139" s="7" t="s">
        <v>125</v>
      </c>
      <c r="N139" s="7" t="s">
        <v>90</v>
      </c>
      <c r="O139" s="10"/>
      <c r="P139" s="10"/>
      <c r="Q139" s="7"/>
      <c r="R139" s="7"/>
      <c r="S139" s="7" t="s">
        <v>124</v>
      </c>
      <c r="T139" s="10"/>
      <c r="U139" s="11" t="s">
        <v>3202</v>
      </c>
      <c r="V139" s="11" t="s">
        <v>93</v>
      </c>
      <c r="W139" s="11">
        <v>0</v>
      </c>
      <c r="X139" s="11" t="s">
        <v>93</v>
      </c>
      <c r="Y139" s="11"/>
      <c r="Z139" s="12"/>
      <c r="AA139" s="11"/>
      <c r="AB139" s="11"/>
      <c r="AC139" s="1" t="s">
        <v>3203</v>
      </c>
      <c r="AD139" s="1" t="s">
        <v>3204</v>
      </c>
    </row>
    <row r="140" spans="1:30" ht="187.2" x14ac:dyDescent="0.3">
      <c r="A140" s="1" t="s">
        <v>292</v>
      </c>
      <c r="B140" s="1" t="s">
        <v>4515</v>
      </c>
      <c r="C140" s="1" t="s">
        <v>919</v>
      </c>
      <c r="D140" s="1" t="s">
        <v>937</v>
      </c>
      <c r="E140" s="1" t="s">
        <v>921</v>
      </c>
      <c r="F140" s="1" t="s">
        <v>587</v>
      </c>
      <c r="G140" s="1" t="s">
        <v>939</v>
      </c>
      <c r="H140" s="1" t="s">
        <v>940</v>
      </c>
      <c r="I140" s="1" t="s">
        <v>941</v>
      </c>
      <c r="J140" s="1" t="s">
        <v>940</v>
      </c>
      <c r="K140" s="1"/>
      <c r="L140" s="7"/>
      <c r="M140" s="7" t="s">
        <v>125</v>
      </c>
      <c r="N140" s="7" t="s">
        <v>90</v>
      </c>
      <c r="O140" s="10"/>
      <c r="P140" s="10"/>
      <c r="Q140" s="7"/>
      <c r="R140" s="7"/>
      <c r="S140" s="7" t="s">
        <v>124</v>
      </c>
      <c r="T140" s="10"/>
      <c r="U140" s="11" t="s">
        <v>3205</v>
      </c>
      <c r="V140" s="11" t="s">
        <v>93</v>
      </c>
      <c r="W140" s="11">
        <v>0</v>
      </c>
      <c r="X140" s="11" t="s">
        <v>93</v>
      </c>
      <c r="Y140" s="11"/>
      <c r="Z140" s="12"/>
      <c r="AA140" s="11"/>
      <c r="AB140" s="11"/>
      <c r="AC140" s="1" t="s">
        <v>3206</v>
      </c>
      <c r="AD140" s="1" t="s">
        <v>3207</v>
      </c>
    </row>
    <row r="141" spans="1:30" ht="187.2" x14ac:dyDescent="0.3">
      <c r="A141" s="1" t="s">
        <v>292</v>
      </c>
      <c r="B141" s="1" t="s">
        <v>4515</v>
      </c>
      <c r="C141" s="1" t="s">
        <v>919</v>
      </c>
      <c r="D141" s="1" t="s">
        <v>942</v>
      </c>
      <c r="E141" s="1" t="s">
        <v>921</v>
      </c>
      <c r="F141" s="1" t="s">
        <v>944</v>
      </c>
      <c r="G141" s="1" t="s">
        <v>939</v>
      </c>
      <c r="H141" s="1" t="s">
        <v>945</v>
      </c>
      <c r="I141" s="1"/>
      <c r="J141" s="1" t="s">
        <v>945</v>
      </c>
      <c r="K141" s="1"/>
      <c r="L141" s="7"/>
      <c r="M141" s="7" t="s">
        <v>125</v>
      </c>
      <c r="N141" s="7" t="s">
        <v>90</v>
      </c>
      <c r="O141" s="10"/>
      <c r="P141" s="10"/>
      <c r="Q141" s="7"/>
      <c r="R141" s="7"/>
      <c r="S141" s="7" t="s">
        <v>124</v>
      </c>
      <c r="T141" s="10"/>
      <c r="U141" s="11" t="s">
        <v>3208</v>
      </c>
      <c r="V141" s="11" t="s">
        <v>93</v>
      </c>
      <c r="W141" s="11">
        <v>0</v>
      </c>
      <c r="X141" s="11" t="s">
        <v>93</v>
      </c>
      <c r="Y141" s="11"/>
      <c r="Z141" s="12"/>
      <c r="AA141" s="11"/>
      <c r="AB141" s="11"/>
      <c r="AC141" s="1" t="s">
        <v>3209</v>
      </c>
      <c r="AD141" s="1" t="s">
        <v>3210</v>
      </c>
    </row>
    <row r="142" spans="1:30" ht="187.2" x14ac:dyDescent="0.3">
      <c r="A142" s="1" t="s">
        <v>292</v>
      </c>
      <c r="B142" s="1" t="s">
        <v>4515</v>
      </c>
      <c r="C142" s="1" t="s">
        <v>919</v>
      </c>
      <c r="D142" s="1" t="s">
        <v>946</v>
      </c>
      <c r="E142" s="1" t="s">
        <v>921</v>
      </c>
      <c r="F142" s="1" t="s">
        <v>948</v>
      </c>
      <c r="G142" s="1" t="s">
        <v>949</v>
      </c>
      <c r="H142" s="1" t="s">
        <v>950</v>
      </c>
      <c r="I142" s="1" t="s">
        <v>951</v>
      </c>
      <c r="J142" s="1" t="s">
        <v>950</v>
      </c>
      <c r="K142" s="1"/>
      <c r="L142" s="7"/>
      <c r="M142" s="7" t="s">
        <v>125</v>
      </c>
      <c r="N142" s="7" t="s">
        <v>90</v>
      </c>
      <c r="O142" s="10"/>
      <c r="P142" s="10"/>
      <c r="Q142" s="7"/>
      <c r="R142" s="7"/>
      <c r="S142" s="7" t="s">
        <v>124</v>
      </c>
      <c r="T142" s="10"/>
      <c r="U142" s="11" t="s">
        <v>3211</v>
      </c>
      <c r="V142" s="11" t="s">
        <v>93</v>
      </c>
      <c r="W142" s="11">
        <v>0</v>
      </c>
      <c r="X142" s="11" t="s">
        <v>93</v>
      </c>
      <c r="Y142" s="11"/>
      <c r="Z142" s="12"/>
      <c r="AA142" s="11"/>
      <c r="AB142" s="11"/>
      <c r="AC142" s="1" t="s">
        <v>3212</v>
      </c>
      <c r="AD142" s="1" t="s">
        <v>3213</v>
      </c>
    </row>
    <row r="143" spans="1:30" ht="187.2" x14ac:dyDescent="0.3">
      <c r="A143" s="1" t="s">
        <v>292</v>
      </c>
      <c r="B143" s="1" t="s">
        <v>4515</v>
      </c>
      <c r="C143" s="1" t="s">
        <v>919</v>
      </c>
      <c r="D143" s="1" t="s">
        <v>952</v>
      </c>
      <c r="E143" s="1" t="s">
        <v>921</v>
      </c>
      <c r="F143" s="1" t="s">
        <v>658</v>
      </c>
      <c r="G143" s="1" t="s">
        <v>954</v>
      </c>
      <c r="H143" s="1" t="s">
        <v>955</v>
      </c>
      <c r="I143" s="1"/>
      <c r="J143" s="1" t="s">
        <v>955</v>
      </c>
      <c r="K143" s="1"/>
      <c r="L143" s="7"/>
      <c r="M143" s="7" t="s">
        <v>125</v>
      </c>
      <c r="N143" s="7" t="s">
        <v>90</v>
      </c>
      <c r="O143" s="10"/>
      <c r="P143" s="10"/>
      <c r="Q143" s="7"/>
      <c r="R143" s="7"/>
      <c r="S143" s="7" t="s">
        <v>124</v>
      </c>
      <c r="T143" s="10"/>
      <c r="U143" s="11" t="s">
        <v>3214</v>
      </c>
      <c r="V143" s="11" t="s">
        <v>93</v>
      </c>
      <c r="W143" s="11">
        <v>0</v>
      </c>
      <c r="X143" s="11" t="s">
        <v>93</v>
      </c>
      <c r="Y143" s="11"/>
      <c r="Z143" s="12"/>
      <c r="AA143" s="11"/>
      <c r="AB143" s="11"/>
      <c r="AC143" s="1" t="s">
        <v>3215</v>
      </c>
      <c r="AD143" s="1" t="s">
        <v>3216</v>
      </c>
    </row>
    <row r="144" spans="1:30" ht="187.2" x14ac:dyDescent="0.3">
      <c r="A144" s="1" t="s">
        <v>292</v>
      </c>
      <c r="B144" s="1" t="s">
        <v>4515</v>
      </c>
      <c r="C144" s="1" t="s">
        <v>919</v>
      </c>
      <c r="D144" s="1" t="s">
        <v>956</v>
      </c>
      <c r="E144" s="1" t="s">
        <v>921</v>
      </c>
      <c r="F144" s="1" t="s">
        <v>658</v>
      </c>
      <c r="G144" s="1" t="s">
        <v>958</v>
      </c>
      <c r="H144" s="1" t="s">
        <v>959</v>
      </c>
      <c r="I144" s="1" t="s">
        <v>960</v>
      </c>
      <c r="J144" s="1" t="s">
        <v>959</v>
      </c>
      <c r="K144" s="1"/>
      <c r="L144" s="7"/>
      <c r="M144" s="7" t="s">
        <v>125</v>
      </c>
      <c r="N144" s="7" t="s">
        <v>90</v>
      </c>
      <c r="O144" s="10"/>
      <c r="P144" s="10"/>
      <c r="Q144" s="7"/>
      <c r="R144" s="7"/>
      <c r="S144" s="7" t="s">
        <v>124</v>
      </c>
      <c r="T144" s="10"/>
      <c r="U144" s="11" t="s">
        <v>3217</v>
      </c>
      <c r="V144" s="11" t="s">
        <v>93</v>
      </c>
      <c r="W144" s="11">
        <v>0</v>
      </c>
      <c r="X144" s="11" t="s">
        <v>93</v>
      </c>
      <c r="Y144" s="11"/>
      <c r="Z144" s="12"/>
      <c r="AA144" s="11"/>
      <c r="AB144" s="11"/>
      <c r="AC144" s="1" t="s">
        <v>3218</v>
      </c>
      <c r="AD144" s="1" t="s">
        <v>3219</v>
      </c>
    </row>
    <row r="145" spans="1:30" ht="187.2" x14ac:dyDescent="0.3">
      <c r="A145" s="1" t="s">
        <v>292</v>
      </c>
      <c r="B145" s="1" t="s">
        <v>4515</v>
      </c>
      <c r="C145" s="1" t="s">
        <v>961</v>
      </c>
      <c r="D145" s="1" t="s">
        <v>962</v>
      </c>
      <c r="E145" s="1" t="s">
        <v>963</v>
      </c>
      <c r="F145" s="1" t="s">
        <v>965</v>
      </c>
      <c r="G145" s="1" t="s">
        <v>966</v>
      </c>
      <c r="H145" s="1" t="s">
        <v>967</v>
      </c>
      <c r="I145" s="1" t="s">
        <v>968</v>
      </c>
      <c r="J145" s="1" t="s">
        <v>967</v>
      </c>
      <c r="K145" s="1"/>
      <c r="L145" s="7"/>
      <c r="M145" s="7" t="s">
        <v>125</v>
      </c>
      <c r="N145" s="7" t="s">
        <v>90</v>
      </c>
      <c r="O145" s="10"/>
      <c r="P145" s="10"/>
      <c r="Q145" s="7"/>
      <c r="R145" s="7"/>
      <c r="S145" s="7" t="s">
        <v>124</v>
      </c>
      <c r="T145" s="10"/>
      <c r="U145" s="11" t="s">
        <v>3220</v>
      </c>
      <c r="V145" s="11" t="s">
        <v>93</v>
      </c>
      <c r="W145" s="11">
        <v>0</v>
      </c>
      <c r="X145" s="11" t="s">
        <v>93</v>
      </c>
      <c r="Y145" s="11"/>
      <c r="Z145" s="12"/>
      <c r="AA145" s="11"/>
      <c r="AB145" s="11"/>
      <c r="AC145" s="1" t="s">
        <v>3221</v>
      </c>
      <c r="AD145" s="1" t="s">
        <v>3222</v>
      </c>
    </row>
    <row r="146" spans="1:30" ht="187.2" x14ac:dyDescent="0.3">
      <c r="A146" s="1" t="s">
        <v>292</v>
      </c>
      <c r="B146" s="1" t="s">
        <v>4515</v>
      </c>
      <c r="C146" s="1" t="s">
        <v>961</v>
      </c>
      <c r="D146" s="1" t="s">
        <v>969</v>
      </c>
      <c r="E146" s="1" t="s">
        <v>963</v>
      </c>
      <c r="F146" s="1" t="s">
        <v>971</v>
      </c>
      <c r="G146" s="1" t="s">
        <v>972</v>
      </c>
      <c r="H146" s="1"/>
      <c r="I146" s="1"/>
      <c r="J146" s="1"/>
      <c r="K146" s="1"/>
      <c r="L146" s="7"/>
      <c r="M146" s="7" t="s">
        <v>125</v>
      </c>
      <c r="N146" s="7" t="s">
        <v>90</v>
      </c>
      <c r="O146" s="10"/>
      <c r="P146" s="10"/>
      <c r="Q146" s="7"/>
      <c r="R146" s="7"/>
      <c r="S146" s="7" t="s">
        <v>124</v>
      </c>
      <c r="T146" s="10"/>
      <c r="U146" s="11" t="s">
        <v>3223</v>
      </c>
      <c r="V146" s="11" t="s">
        <v>93</v>
      </c>
      <c r="W146" s="11">
        <v>0</v>
      </c>
      <c r="X146" s="11" t="s">
        <v>93</v>
      </c>
      <c r="Y146" s="11"/>
      <c r="Z146" s="12"/>
      <c r="AA146" s="11"/>
      <c r="AB146" s="11"/>
      <c r="AC146" s="1" t="s">
        <v>3224</v>
      </c>
      <c r="AD146" s="1" t="s">
        <v>3225</v>
      </c>
    </row>
    <row r="147" spans="1:30" ht="187.2" x14ac:dyDescent="0.3">
      <c r="A147" s="1" t="s">
        <v>292</v>
      </c>
      <c r="B147" s="1" t="s">
        <v>4515</v>
      </c>
      <c r="C147" s="1" t="s">
        <v>961</v>
      </c>
      <c r="D147" s="1" t="s">
        <v>973</v>
      </c>
      <c r="E147" s="1" t="s">
        <v>963</v>
      </c>
      <c r="F147" s="1" t="s">
        <v>975</v>
      </c>
      <c r="G147" s="1" t="s">
        <v>949</v>
      </c>
      <c r="H147" s="1"/>
      <c r="I147" s="1"/>
      <c r="J147" s="1"/>
      <c r="K147" s="1"/>
      <c r="L147" s="7"/>
      <c r="M147" s="7" t="s">
        <v>125</v>
      </c>
      <c r="N147" s="7" t="s">
        <v>90</v>
      </c>
      <c r="O147" s="10"/>
      <c r="P147" s="10"/>
      <c r="Q147" s="7"/>
      <c r="R147" s="7"/>
      <c r="S147" s="7" t="s">
        <v>124</v>
      </c>
      <c r="T147" s="10"/>
      <c r="U147" s="11" t="s">
        <v>3226</v>
      </c>
      <c r="V147" s="11" t="s">
        <v>93</v>
      </c>
      <c r="W147" s="11">
        <v>0</v>
      </c>
      <c r="X147" s="11" t="s">
        <v>93</v>
      </c>
      <c r="Y147" s="11"/>
      <c r="Z147" s="12"/>
      <c r="AA147" s="11"/>
      <c r="AB147" s="11"/>
      <c r="AC147" s="1" t="s">
        <v>3227</v>
      </c>
      <c r="AD147" s="1" t="s">
        <v>3228</v>
      </c>
    </row>
    <row r="148" spans="1:30" ht="187.2" x14ac:dyDescent="0.3">
      <c r="A148" s="1" t="s">
        <v>292</v>
      </c>
      <c r="B148" s="1" t="s">
        <v>4515</v>
      </c>
      <c r="C148" s="1" t="s">
        <v>961</v>
      </c>
      <c r="D148" s="1" t="s">
        <v>976</v>
      </c>
      <c r="E148" s="1" t="s">
        <v>963</v>
      </c>
      <c r="F148" s="1" t="s">
        <v>978</v>
      </c>
      <c r="G148" s="1" t="s">
        <v>979</v>
      </c>
      <c r="H148" s="1" t="s">
        <v>980</v>
      </c>
      <c r="I148" s="1"/>
      <c r="J148" s="1" t="s">
        <v>980</v>
      </c>
      <c r="K148" s="1"/>
      <c r="L148" s="7"/>
      <c r="M148" s="7" t="s">
        <v>125</v>
      </c>
      <c r="N148" s="7" t="s">
        <v>90</v>
      </c>
      <c r="O148" s="10"/>
      <c r="P148" s="10"/>
      <c r="Q148" s="7"/>
      <c r="R148" s="7"/>
      <c r="S148" s="7" t="s">
        <v>124</v>
      </c>
      <c r="T148" s="10"/>
      <c r="U148" s="11" t="s">
        <v>3229</v>
      </c>
      <c r="V148" s="11" t="s">
        <v>93</v>
      </c>
      <c r="W148" s="11">
        <v>0</v>
      </c>
      <c r="X148" s="11" t="s">
        <v>93</v>
      </c>
      <c r="Y148" s="11"/>
      <c r="Z148" s="12"/>
      <c r="AA148" s="11"/>
      <c r="AB148" s="11"/>
      <c r="AC148" s="1" t="s">
        <v>3230</v>
      </c>
      <c r="AD148" s="1" t="s">
        <v>3231</v>
      </c>
    </row>
    <row r="149" spans="1:30" ht="187.2" x14ac:dyDescent="0.3">
      <c r="A149" s="1" t="s">
        <v>292</v>
      </c>
      <c r="B149" s="1" t="s">
        <v>4515</v>
      </c>
      <c r="C149" s="1" t="s">
        <v>961</v>
      </c>
      <c r="D149" s="1" t="s">
        <v>981</v>
      </c>
      <c r="E149" s="1" t="s">
        <v>963</v>
      </c>
      <c r="F149" s="1" t="s">
        <v>712</v>
      </c>
      <c r="G149" s="1" t="s">
        <v>983</v>
      </c>
      <c r="H149" s="1" t="s">
        <v>984</v>
      </c>
      <c r="I149" s="1"/>
      <c r="J149" s="1" t="s">
        <v>984</v>
      </c>
      <c r="K149" s="1"/>
      <c r="L149" s="7"/>
      <c r="M149" s="7" t="s">
        <v>125</v>
      </c>
      <c r="N149" s="7" t="s">
        <v>90</v>
      </c>
      <c r="O149" s="10"/>
      <c r="P149" s="10"/>
      <c r="Q149" s="7"/>
      <c r="R149" s="7"/>
      <c r="S149" s="7" t="s">
        <v>124</v>
      </c>
      <c r="T149" s="10"/>
      <c r="U149" s="11" t="s">
        <v>3232</v>
      </c>
      <c r="V149" s="11" t="s">
        <v>93</v>
      </c>
      <c r="W149" s="11">
        <v>0</v>
      </c>
      <c r="X149" s="11" t="s">
        <v>93</v>
      </c>
      <c r="Y149" s="11"/>
      <c r="Z149" s="12"/>
      <c r="AA149" s="11"/>
      <c r="AB149" s="11"/>
      <c r="AC149" s="1" t="s">
        <v>3233</v>
      </c>
      <c r="AD149" s="1" t="s">
        <v>3234</v>
      </c>
    </row>
    <row r="150" spans="1:30" ht="187.2" x14ac:dyDescent="0.3">
      <c r="A150" s="1" t="s">
        <v>292</v>
      </c>
      <c r="B150" s="1" t="s">
        <v>4515</v>
      </c>
      <c r="C150" s="1" t="s">
        <v>961</v>
      </c>
      <c r="D150" s="1" t="s">
        <v>985</v>
      </c>
      <c r="E150" s="1" t="s">
        <v>963</v>
      </c>
      <c r="F150" s="1" t="s">
        <v>305</v>
      </c>
      <c r="G150" s="1" t="s">
        <v>987</v>
      </c>
      <c r="H150" s="1" t="s">
        <v>988</v>
      </c>
      <c r="I150" s="1" t="s">
        <v>989</v>
      </c>
      <c r="J150" s="1" t="s">
        <v>988</v>
      </c>
      <c r="K150" s="1" t="s">
        <v>990</v>
      </c>
      <c r="L150" s="7"/>
      <c r="M150" s="7" t="s">
        <v>125</v>
      </c>
      <c r="N150" s="7" t="s">
        <v>90</v>
      </c>
      <c r="O150" s="10"/>
      <c r="P150" s="10"/>
      <c r="Q150" s="7"/>
      <c r="R150" s="7"/>
      <c r="S150" s="7" t="s">
        <v>124</v>
      </c>
      <c r="T150" s="10"/>
      <c r="U150" s="11" t="s">
        <v>3235</v>
      </c>
      <c r="V150" s="11" t="s">
        <v>93</v>
      </c>
      <c r="W150" s="11">
        <v>0</v>
      </c>
      <c r="X150" s="11" t="s">
        <v>93</v>
      </c>
      <c r="Y150" s="11"/>
      <c r="Z150" s="12"/>
      <c r="AA150" s="11"/>
      <c r="AB150" s="11"/>
      <c r="AC150" s="1" t="s">
        <v>3236</v>
      </c>
      <c r="AD150" s="1" t="s">
        <v>3237</v>
      </c>
    </row>
    <row r="151" spans="1:30" ht="187.2" x14ac:dyDescent="0.3">
      <c r="A151" s="1" t="s">
        <v>292</v>
      </c>
      <c r="B151" s="1" t="s">
        <v>4515</v>
      </c>
      <c r="C151" s="1" t="s">
        <v>961</v>
      </c>
      <c r="D151" s="1" t="s">
        <v>991</v>
      </c>
      <c r="E151" s="1" t="s">
        <v>963</v>
      </c>
      <c r="F151" s="1" t="s">
        <v>993</v>
      </c>
      <c r="G151" s="1" t="s">
        <v>994</v>
      </c>
      <c r="H151" s="1"/>
      <c r="I151" s="1"/>
      <c r="J151" s="1"/>
      <c r="K151" s="1"/>
      <c r="L151" s="7"/>
      <c r="M151" s="7" t="s">
        <v>125</v>
      </c>
      <c r="N151" s="7" t="s">
        <v>90</v>
      </c>
      <c r="O151" s="10"/>
      <c r="P151" s="10"/>
      <c r="Q151" s="7"/>
      <c r="R151" s="7"/>
      <c r="S151" s="7" t="s">
        <v>124</v>
      </c>
      <c r="T151" s="10"/>
      <c r="U151" s="11" t="s">
        <v>3238</v>
      </c>
      <c r="V151" s="11" t="s">
        <v>93</v>
      </c>
      <c r="W151" s="11">
        <v>0</v>
      </c>
      <c r="X151" s="11" t="s">
        <v>93</v>
      </c>
      <c r="Y151" s="11"/>
      <c r="Z151" s="12"/>
      <c r="AA151" s="11"/>
      <c r="AB151" s="11"/>
      <c r="AC151" s="1" t="s">
        <v>3239</v>
      </c>
      <c r="AD151" s="1" t="s">
        <v>3240</v>
      </c>
    </row>
    <row r="152" spans="1:30" ht="187.2" x14ac:dyDescent="0.3">
      <c r="A152" s="1" t="s">
        <v>292</v>
      </c>
      <c r="B152" s="1" t="s">
        <v>4515</v>
      </c>
      <c r="C152" s="1" t="s">
        <v>961</v>
      </c>
      <c r="D152" s="1" t="s">
        <v>995</v>
      </c>
      <c r="E152" s="1" t="s">
        <v>963</v>
      </c>
      <c r="F152" s="1" t="s">
        <v>997</v>
      </c>
      <c r="G152" s="1" t="s">
        <v>998</v>
      </c>
      <c r="H152" s="1" t="s">
        <v>999</v>
      </c>
      <c r="I152" s="1"/>
      <c r="J152" s="1" t="s">
        <v>999</v>
      </c>
      <c r="K152" s="1"/>
      <c r="L152" s="7"/>
      <c r="M152" s="7" t="s">
        <v>125</v>
      </c>
      <c r="N152" s="7" t="s">
        <v>90</v>
      </c>
      <c r="O152" s="10"/>
      <c r="P152" s="10"/>
      <c r="Q152" s="7"/>
      <c r="R152" s="7"/>
      <c r="S152" s="7" t="s">
        <v>124</v>
      </c>
      <c r="T152" s="10"/>
      <c r="U152" s="11" t="s">
        <v>3241</v>
      </c>
      <c r="V152" s="11" t="s">
        <v>93</v>
      </c>
      <c r="W152" s="11">
        <v>0</v>
      </c>
      <c r="X152" s="11" t="s">
        <v>93</v>
      </c>
      <c r="Y152" s="11"/>
      <c r="Z152" s="12"/>
      <c r="AA152" s="11"/>
      <c r="AB152" s="11"/>
      <c r="AC152" s="1" t="s">
        <v>3242</v>
      </c>
      <c r="AD152" s="1" t="s">
        <v>3243</v>
      </c>
    </row>
    <row r="153" spans="1:30" ht="187.2" x14ac:dyDescent="0.3">
      <c r="A153" s="1" t="s">
        <v>292</v>
      </c>
      <c r="B153" s="1" t="s">
        <v>4515</v>
      </c>
      <c r="C153" s="1" t="s">
        <v>961</v>
      </c>
      <c r="D153" s="1" t="s">
        <v>1000</v>
      </c>
      <c r="E153" s="1" t="s">
        <v>963</v>
      </c>
      <c r="F153" s="1" t="s">
        <v>334</v>
      </c>
      <c r="G153" s="1" t="s">
        <v>1002</v>
      </c>
      <c r="H153" s="1" t="s">
        <v>1003</v>
      </c>
      <c r="I153" s="1"/>
      <c r="J153" s="1" t="s">
        <v>1003</v>
      </c>
      <c r="K153" s="1"/>
      <c r="L153" s="7"/>
      <c r="M153" s="7" t="s">
        <v>125</v>
      </c>
      <c r="N153" s="7" t="s">
        <v>90</v>
      </c>
      <c r="O153" s="10"/>
      <c r="P153" s="10"/>
      <c r="Q153" s="7"/>
      <c r="R153" s="7"/>
      <c r="S153" s="7" t="s">
        <v>124</v>
      </c>
      <c r="T153" s="10"/>
      <c r="U153" s="11" t="s">
        <v>3244</v>
      </c>
      <c r="V153" s="11" t="s">
        <v>93</v>
      </c>
      <c r="W153" s="11">
        <v>0</v>
      </c>
      <c r="X153" s="11" t="s">
        <v>93</v>
      </c>
      <c r="Y153" s="11"/>
      <c r="Z153" s="12"/>
      <c r="AA153" s="11"/>
      <c r="AB153" s="11"/>
      <c r="AC153" s="1" t="s">
        <v>3245</v>
      </c>
      <c r="AD153" s="1" t="s">
        <v>3246</v>
      </c>
    </row>
    <row r="154" spans="1:30" ht="187.2" x14ac:dyDescent="0.3">
      <c r="A154" s="1" t="s">
        <v>292</v>
      </c>
      <c r="B154" s="1" t="s">
        <v>4515</v>
      </c>
      <c r="C154" s="1" t="s">
        <v>961</v>
      </c>
      <c r="D154" s="1" t="s">
        <v>1004</v>
      </c>
      <c r="E154" s="1" t="s">
        <v>963</v>
      </c>
      <c r="F154" s="1" t="s">
        <v>334</v>
      </c>
      <c r="G154" s="1" t="s">
        <v>1006</v>
      </c>
      <c r="H154" s="1" t="s">
        <v>1007</v>
      </c>
      <c r="I154" s="1"/>
      <c r="J154" s="1" t="s">
        <v>1007</v>
      </c>
      <c r="K154" s="1"/>
      <c r="L154" s="7"/>
      <c r="M154" s="7" t="s">
        <v>125</v>
      </c>
      <c r="N154" s="7" t="s">
        <v>90</v>
      </c>
      <c r="O154" s="10"/>
      <c r="P154" s="10"/>
      <c r="Q154" s="7"/>
      <c r="R154" s="7"/>
      <c r="S154" s="7" t="s">
        <v>124</v>
      </c>
      <c r="T154" s="10"/>
      <c r="U154" s="11" t="s">
        <v>3247</v>
      </c>
      <c r="V154" s="11" t="s">
        <v>93</v>
      </c>
      <c r="W154" s="11">
        <v>0</v>
      </c>
      <c r="X154" s="11" t="s">
        <v>93</v>
      </c>
      <c r="Y154" s="11"/>
      <c r="Z154" s="12"/>
      <c r="AA154" s="11"/>
      <c r="AB154" s="11"/>
      <c r="AC154" s="1" t="s">
        <v>3248</v>
      </c>
      <c r="AD154" s="1" t="s">
        <v>3249</v>
      </c>
    </row>
    <row r="155" spans="1:30" ht="187.2" x14ac:dyDescent="0.3">
      <c r="A155" s="1" t="s">
        <v>292</v>
      </c>
      <c r="B155" s="1" t="s">
        <v>4515</v>
      </c>
      <c r="C155" s="1" t="s">
        <v>1008</v>
      </c>
      <c r="D155" s="1" t="s">
        <v>1009</v>
      </c>
      <c r="E155" s="1" t="s">
        <v>1010</v>
      </c>
      <c r="F155" s="1" t="s">
        <v>567</v>
      </c>
      <c r="G155" s="1" t="s">
        <v>1012</v>
      </c>
      <c r="H155" s="1" t="s">
        <v>1013</v>
      </c>
      <c r="I155" s="1"/>
      <c r="J155" s="1" t="s">
        <v>1013</v>
      </c>
      <c r="K155" s="1"/>
      <c r="L155" s="7"/>
      <c r="M155" s="7" t="s">
        <v>125</v>
      </c>
      <c r="N155" s="7" t="s">
        <v>90</v>
      </c>
      <c r="O155" s="10"/>
      <c r="P155" s="10"/>
      <c r="Q155" s="7"/>
      <c r="R155" s="7"/>
      <c r="S155" s="7" t="s">
        <v>124</v>
      </c>
      <c r="T155" s="10"/>
      <c r="U155" s="11" t="s">
        <v>3250</v>
      </c>
      <c r="V155" s="11" t="s">
        <v>93</v>
      </c>
      <c r="W155" s="11">
        <v>0</v>
      </c>
      <c r="X155" s="11" t="s">
        <v>93</v>
      </c>
      <c r="Y155" s="11"/>
      <c r="Z155" s="12"/>
      <c r="AA155" s="11"/>
      <c r="AB155" s="11"/>
      <c r="AC155" s="1" t="s">
        <v>3251</v>
      </c>
      <c r="AD155" s="1" t="s">
        <v>3252</v>
      </c>
    </row>
    <row r="156" spans="1:30" ht="187.2" x14ac:dyDescent="0.3">
      <c r="A156" s="1" t="s">
        <v>292</v>
      </c>
      <c r="B156" s="1" t="s">
        <v>4515</v>
      </c>
      <c r="C156" s="1" t="s">
        <v>1008</v>
      </c>
      <c r="D156" s="1" t="s">
        <v>1014</v>
      </c>
      <c r="E156" s="1" t="s">
        <v>1010</v>
      </c>
      <c r="F156" s="1" t="s">
        <v>1016</v>
      </c>
      <c r="G156" s="1" t="s">
        <v>1017</v>
      </c>
      <c r="H156" s="1" t="s">
        <v>1018</v>
      </c>
      <c r="I156" s="1"/>
      <c r="J156" s="1" t="s">
        <v>1018</v>
      </c>
      <c r="K156" s="1"/>
      <c r="L156" s="7"/>
      <c r="M156" s="7" t="s">
        <v>125</v>
      </c>
      <c r="N156" s="7" t="s">
        <v>90</v>
      </c>
      <c r="O156" s="10"/>
      <c r="P156" s="10"/>
      <c r="Q156" s="7"/>
      <c r="R156" s="7"/>
      <c r="S156" s="7" t="s">
        <v>124</v>
      </c>
      <c r="T156" s="10"/>
      <c r="U156" s="11" t="s">
        <v>3253</v>
      </c>
      <c r="V156" s="11" t="s">
        <v>93</v>
      </c>
      <c r="W156" s="11">
        <v>0</v>
      </c>
      <c r="X156" s="11" t="s">
        <v>93</v>
      </c>
      <c r="Y156" s="11"/>
      <c r="Z156" s="12"/>
      <c r="AA156" s="11"/>
      <c r="AB156" s="11"/>
      <c r="AC156" s="1" t="s">
        <v>3254</v>
      </c>
      <c r="AD156" s="1" t="s">
        <v>3255</v>
      </c>
    </row>
    <row r="157" spans="1:30" ht="187.2" x14ac:dyDescent="0.3">
      <c r="A157" s="1" t="s">
        <v>292</v>
      </c>
      <c r="B157" s="1" t="s">
        <v>4515</v>
      </c>
      <c r="C157" s="1" t="s">
        <v>1008</v>
      </c>
      <c r="D157" s="1" t="s">
        <v>1019</v>
      </c>
      <c r="E157" s="1" t="s">
        <v>1010</v>
      </c>
      <c r="F157" s="1" t="s">
        <v>1021</v>
      </c>
      <c r="G157" s="1"/>
      <c r="H157" s="1" t="s">
        <v>1022</v>
      </c>
      <c r="I157" s="1"/>
      <c r="J157" s="1" t="s">
        <v>1022</v>
      </c>
      <c r="K157" s="1" t="s">
        <v>1023</v>
      </c>
      <c r="L157" s="7"/>
      <c r="M157" s="7" t="s">
        <v>125</v>
      </c>
      <c r="N157" s="7" t="s">
        <v>90</v>
      </c>
      <c r="O157" s="10"/>
      <c r="P157" s="10"/>
      <c r="Q157" s="7"/>
      <c r="R157" s="7"/>
      <c r="S157" s="7" t="s">
        <v>124</v>
      </c>
      <c r="T157" s="10"/>
      <c r="U157" s="11" t="s">
        <v>3256</v>
      </c>
      <c r="V157" s="11" t="s">
        <v>93</v>
      </c>
      <c r="W157" s="11">
        <v>0</v>
      </c>
      <c r="X157" s="11" t="s">
        <v>93</v>
      </c>
      <c r="Y157" s="11"/>
      <c r="Z157" s="12"/>
      <c r="AA157" s="11"/>
      <c r="AB157" s="11"/>
      <c r="AC157" s="1" t="s">
        <v>3257</v>
      </c>
      <c r="AD157" s="1" t="s">
        <v>3258</v>
      </c>
    </row>
    <row r="158" spans="1:30" ht="187.2" x14ac:dyDescent="0.3">
      <c r="A158" s="1" t="s">
        <v>292</v>
      </c>
      <c r="B158" s="1" t="s">
        <v>4515</v>
      </c>
      <c r="C158" s="1" t="s">
        <v>1008</v>
      </c>
      <c r="D158" s="1" t="s">
        <v>1024</v>
      </c>
      <c r="E158" s="1" t="s">
        <v>1010</v>
      </c>
      <c r="F158" s="1" t="s">
        <v>1026</v>
      </c>
      <c r="G158" s="1" t="s">
        <v>1027</v>
      </c>
      <c r="H158" s="1" t="s">
        <v>1028</v>
      </c>
      <c r="I158" s="1"/>
      <c r="J158" s="1" t="s">
        <v>1028</v>
      </c>
      <c r="K158" s="1"/>
      <c r="L158" s="7"/>
      <c r="M158" s="7" t="s">
        <v>125</v>
      </c>
      <c r="N158" s="7" t="s">
        <v>90</v>
      </c>
      <c r="O158" s="10"/>
      <c r="P158" s="10"/>
      <c r="Q158" s="7"/>
      <c r="R158" s="7"/>
      <c r="S158" s="7" t="s">
        <v>124</v>
      </c>
      <c r="T158" s="10"/>
      <c r="U158" s="11" t="s">
        <v>3259</v>
      </c>
      <c r="V158" s="11" t="s">
        <v>93</v>
      </c>
      <c r="W158" s="11">
        <v>0</v>
      </c>
      <c r="X158" s="11" t="s">
        <v>93</v>
      </c>
      <c r="Y158" s="11"/>
      <c r="Z158" s="12"/>
      <c r="AA158" s="11"/>
      <c r="AB158" s="11"/>
      <c r="AC158" s="1" t="s">
        <v>3260</v>
      </c>
      <c r="AD158" s="1" t="s">
        <v>3261</v>
      </c>
    </row>
    <row r="159" spans="1:30" ht="187.2" x14ac:dyDescent="0.3">
      <c r="A159" s="1" t="s">
        <v>292</v>
      </c>
      <c r="B159" s="1" t="s">
        <v>4515</v>
      </c>
      <c r="C159" s="1" t="s">
        <v>1008</v>
      </c>
      <c r="D159" s="1" t="s">
        <v>1029</v>
      </c>
      <c r="E159" s="1" t="s">
        <v>1010</v>
      </c>
      <c r="F159" s="1" t="s">
        <v>1031</v>
      </c>
      <c r="G159" s="1" t="s">
        <v>312</v>
      </c>
      <c r="H159" s="1" t="s">
        <v>1032</v>
      </c>
      <c r="I159" s="1" t="s">
        <v>1033</v>
      </c>
      <c r="J159" s="1" t="s">
        <v>1032</v>
      </c>
      <c r="K159" s="1"/>
      <c r="L159" s="7"/>
      <c r="M159" s="7" t="s">
        <v>125</v>
      </c>
      <c r="N159" s="7" t="s">
        <v>90</v>
      </c>
      <c r="O159" s="10"/>
      <c r="P159" s="10"/>
      <c r="Q159" s="7"/>
      <c r="R159" s="7"/>
      <c r="S159" s="7" t="s">
        <v>124</v>
      </c>
      <c r="T159" s="10"/>
      <c r="U159" s="11" t="s">
        <v>3262</v>
      </c>
      <c r="V159" s="11" t="s">
        <v>93</v>
      </c>
      <c r="W159" s="11">
        <v>0</v>
      </c>
      <c r="X159" s="11" t="s">
        <v>93</v>
      </c>
      <c r="Y159" s="11"/>
      <c r="Z159" s="12"/>
      <c r="AA159" s="11"/>
      <c r="AB159" s="11"/>
      <c r="AC159" s="1" t="s">
        <v>3263</v>
      </c>
      <c r="AD159" s="1" t="s">
        <v>3264</v>
      </c>
    </row>
    <row r="160" spans="1:30" ht="187.2" x14ac:dyDescent="0.3">
      <c r="A160" s="1" t="s">
        <v>292</v>
      </c>
      <c r="B160" s="1" t="s">
        <v>4515</v>
      </c>
      <c r="C160" s="1" t="s">
        <v>1008</v>
      </c>
      <c r="D160" s="1" t="s">
        <v>1034</v>
      </c>
      <c r="E160" s="1" t="s">
        <v>1010</v>
      </c>
      <c r="F160" s="1" t="s">
        <v>1036</v>
      </c>
      <c r="G160" s="1" t="s">
        <v>1037</v>
      </c>
      <c r="H160" s="1" t="s">
        <v>1038</v>
      </c>
      <c r="I160" s="1"/>
      <c r="J160" s="1" t="s">
        <v>1038</v>
      </c>
      <c r="K160" s="1"/>
      <c r="L160" s="7"/>
      <c r="M160" s="7" t="s">
        <v>125</v>
      </c>
      <c r="N160" s="7" t="s">
        <v>90</v>
      </c>
      <c r="O160" s="10"/>
      <c r="P160" s="10"/>
      <c r="Q160" s="7"/>
      <c r="R160" s="7"/>
      <c r="S160" s="7" t="s">
        <v>124</v>
      </c>
      <c r="T160" s="10"/>
      <c r="U160" s="11" t="s">
        <v>3265</v>
      </c>
      <c r="V160" s="11" t="s">
        <v>93</v>
      </c>
      <c r="W160" s="11">
        <v>0</v>
      </c>
      <c r="X160" s="11" t="s">
        <v>93</v>
      </c>
      <c r="Y160" s="11"/>
      <c r="Z160" s="12"/>
      <c r="AA160" s="11"/>
      <c r="AB160" s="11"/>
      <c r="AC160" s="1" t="s">
        <v>3266</v>
      </c>
      <c r="AD160" s="1" t="s">
        <v>3267</v>
      </c>
    </row>
    <row r="161" spans="1:30" ht="187.2" x14ac:dyDescent="0.3">
      <c r="A161" s="1" t="s">
        <v>292</v>
      </c>
      <c r="B161" s="1" t="s">
        <v>4515</v>
      </c>
      <c r="C161" s="1" t="s">
        <v>1008</v>
      </c>
      <c r="D161" s="1" t="s">
        <v>1039</v>
      </c>
      <c r="E161" s="1" t="s">
        <v>1010</v>
      </c>
      <c r="F161" s="1" t="s">
        <v>206</v>
      </c>
      <c r="G161" s="1" t="s">
        <v>1041</v>
      </c>
      <c r="H161" s="1" t="s">
        <v>1042</v>
      </c>
      <c r="I161" s="1"/>
      <c r="J161" s="1" t="s">
        <v>1042</v>
      </c>
      <c r="K161" s="1"/>
      <c r="L161" s="7"/>
      <c r="M161" s="7" t="s">
        <v>125</v>
      </c>
      <c r="N161" s="7" t="s">
        <v>90</v>
      </c>
      <c r="O161" s="10"/>
      <c r="P161" s="10"/>
      <c r="Q161" s="7"/>
      <c r="R161" s="7"/>
      <c r="S161" s="7" t="s">
        <v>124</v>
      </c>
      <c r="T161" s="10"/>
      <c r="U161" s="11" t="s">
        <v>3268</v>
      </c>
      <c r="V161" s="11" t="s">
        <v>93</v>
      </c>
      <c r="W161" s="11">
        <v>0</v>
      </c>
      <c r="X161" s="11" t="s">
        <v>93</v>
      </c>
      <c r="Y161" s="11"/>
      <c r="Z161" s="12"/>
      <c r="AA161" s="11"/>
      <c r="AB161" s="11"/>
      <c r="AC161" s="1" t="s">
        <v>3269</v>
      </c>
      <c r="AD161" s="1" t="s">
        <v>3270</v>
      </c>
    </row>
    <row r="162" spans="1:30" ht="187.2" x14ac:dyDescent="0.3">
      <c r="A162" s="1" t="s">
        <v>292</v>
      </c>
      <c r="B162" s="1" t="s">
        <v>4515</v>
      </c>
      <c r="C162" s="1" t="s">
        <v>1008</v>
      </c>
      <c r="D162" s="1" t="s">
        <v>1043</v>
      </c>
      <c r="E162" s="1" t="s">
        <v>1010</v>
      </c>
      <c r="F162" s="1" t="s">
        <v>1045</v>
      </c>
      <c r="G162" s="1" t="s">
        <v>1046</v>
      </c>
      <c r="H162" s="1" t="s">
        <v>1047</v>
      </c>
      <c r="I162" s="1" t="s">
        <v>1048</v>
      </c>
      <c r="J162" s="1" t="s">
        <v>1047</v>
      </c>
      <c r="K162" s="1"/>
      <c r="L162" s="7"/>
      <c r="M162" s="7" t="s">
        <v>125</v>
      </c>
      <c r="N162" s="7" t="s">
        <v>90</v>
      </c>
      <c r="O162" s="10"/>
      <c r="P162" s="10"/>
      <c r="Q162" s="7"/>
      <c r="R162" s="7"/>
      <c r="S162" s="7" t="s">
        <v>124</v>
      </c>
      <c r="T162" s="10"/>
      <c r="U162" s="11" t="s">
        <v>3271</v>
      </c>
      <c r="V162" s="11" t="s">
        <v>93</v>
      </c>
      <c r="W162" s="11">
        <v>0</v>
      </c>
      <c r="X162" s="11" t="s">
        <v>93</v>
      </c>
      <c r="Y162" s="11"/>
      <c r="Z162" s="12"/>
      <c r="AA162" s="11"/>
      <c r="AB162" s="11"/>
      <c r="AC162" s="1" t="s">
        <v>3272</v>
      </c>
      <c r="AD162" s="1" t="s">
        <v>3273</v>
      </c>
    </row>
    <row r="163" spans="1:30" ht="187.2" x14ac:dyDescent="0.3">
      <c r="A163" s="1" t="s">
        <v>292</v>
      </c>
      <c r="B163" s="1" t="s">
        <v>4515</v>
      </c>
      <c r="C163" s="1" t="s">
        <v>1008</v>
      </c>
      <c r="D163" s="1" t="s">
        <v>1049</v>
      </c>
      <c r="E163" s="1" t="s">
        <v>1010</v>
      </c>
      <c r="F163" s="1" t="s">
        <v>272</v>
      </c>
      <c r="G163" s="1" t="s">
        <v>902</v>
      </c>
      <c r="H163" s="1" t="s">
        <v>1051</v>
      </c>
      <c r="I163" s="1"/>
      <c r="J163" s="1" t="s">
        <v>1051</v>
      </c>
      <c r="K163" s="1"/>
      <c r="L163" s="7"/>
      <c r="M163" s="7" t="s">
        <v>125</v>
      </c>
      <c r="N163" s="7" t="s">
        <v>90</v>
      </c>
      <c r="O163" s="10"/>
      <c r="P163" s="10"/>
      <c r="Q163" s="7"/>
      <c r="R163" s="7"/>
      <c r="S163" s="7" t="s">
        <v>124</v>
      </c>
      <c r="T163" s="10"/>
      <c r="U163" s="11" t="s">
        <v>3274</v>
      </c>
      <c r="V163" s="11" t="s">
        <v>93</v>
      </c>
      <c r="W163" s="11">
        <v>0</v>
      </c>
      <c r="X163" s="11" t="s">
        <v>93</v>
      </c>
      <c r="Y163" s="11"/>
      <c r="Z163" s="12"/>
      <c r="AA163" s="11"/>
      <c r="AB163" s="11"/>
      <c r="AC163" s="1" t="s">
        <v>3275</v>
      </c>
      <c r="AD163" s="1" t="s">
        <v>3276</v>
      </c>
    </row>
    <row r="164" spans="1:30" ht="187.2" x14ac:dyDescent="0.3">
      <c r="A164" s="1" t="s">
        <v>292</v>
      </c>
      <c r="B164" s="1" t="s">
        <v>4515</v>
      </c>
      <c r="C164" s="1" t="s">
        <v>1008</v>
      </c>
      <c r="D164" s="1" t="s">
        <v>1052</v>
      </c>
      <c r="E164" s="1" t="s">
        <v>1010</v>
      </c>
      <c r="F164" s="1" t="s">
        <v>1054</v>
      </c>
      <c r="G164" s="1" t="s">
        <v>1055</v>
      </c>
      <c r="H164" s="1" t="s">
        <v>1056</v>
      </c>
      <c r="I164" s="1" t="s">
        <v>1057</v>
      </c>
      <c r="J164" s="1" t="s">
        <v>1056</v>
      </c>
      <c r="K164" s="1" t="s">
        <v>1058</v>
      </c>
      <c r="L164" s="7"/>
      <c r="M164" s="7" t="s">
        <v>125</v>
      </c>
      <c r="N164" s="7" t="s">
        <v>90</v>
      </c>
      <c r="O164" s="10"/>
      <c r="P164" s="10"/>
      <c r="Q164" s="7"/>
      <c r="R164" s="7"/>
      <c r="S164" s="7" t="s">
        <v>124</v>
      </c>
      <c r="T164" s="10"/>
      <c r="U164" s="11" t="s">
        <v>3277</v>
      </c>
      <c r="V164" s="11" t="s">
        <v>93</v>
      </c>
      <c r="W164" s="11">
        <v>0</v>
      </c>
      <c r="X164" s="11" t="s">
        <v>93</v>
      </c>
      <c r="Y164" s="11"/>
      <c r="Z164" s="12"/>
      <c r="AA164" s="11"/>
      <c r="AB164" s="11"/>
      <c r="AC164" s="1" t="s">
        <v>3278</v>
      </c>
      <c r="AD164" s="1" t="s">
        <v>3279</v>
      </c>
    </row>
    <row r="165" spans="1:30" ht="187.2" x14ac:dyDescent="0.3">
      <c r="A165" s="1" t="s">
        <v>292</v>
      </c>
      <c r="B165" s="1" t="s">
        <v>4521</v>
      </c>
      <c r="C165" s="1" t="s">
        <v>1059</v>
      </c>
      <c r="D165" s="1" t="s">
        <v>1060</v>
      </c>
      <c r="E165" s="1" t="s">
        <v>1061</v>
      </c>
      <c r="F165" s="1" t="s">
        <v>1063</v>
      </c>
      <c r="G165" s="1" t="s">
        <v>1064</v>
      </c>
      <c r="H165" s="1" t="s">
        <v>1065</v>
      </c>
      <c r="I165" s="1" t="s">
        <v>1066</v>
      </c>
      <c r="J165" s="1" t="s">
        <v>1065</v>
      </c>
      <c r="K165" s="1" t="s">
        <v>1067</v>
      </c>
      <c r="L165" s="7"/>
      <c r="M165" s="7" t="s">
        <v>125</v>
      </c>
      <c r="N165" s="7" t="s">
        <v>90</v>
      </c>
      <c r="O165" s="10"/>
      <c r="P165" s="10"/>
      <c r="Q165" s="7"/>
      <c r="R165" s="7"/>
      <c r="S165" s="7" t="s">
        <v>124</v>
      </c>
      <c r="T165" s="10"/>
      <c r="U165" s="11" t="s">
        <v>3280</v>
      </c>
      <c r="V165" s="11" t="s">
        <v>93</v>
      </c>
      <c r="W165" s="11">
        <v>0</v>
      </c>
      <c r="X165" s="11" t="s">
        <v>93</v>
      </c>
      <c r="Y165" s="11"/>
      <c r="Z165" s="12"/>
      <c r="AA165" s="11"/>
      <c r="AB165" s="11"/>
      <c r="AC165" s="1" t="s">
        <v>3281</v>
      </c>
      <c r="AD165" s="1" t="s">
        <v>3282</v>
      </c>
    </row>
    <row r="166" spans="1:30" ht="187.2" x14ac:dyDescent="0.3">
      <c r="A166" s="1" t="s">
        <v>292</v>
      </c>
      <c r="B166" s="1" t="s">
        <v>4521</v>
      </c>
      <c r="C166" s="1" t="s">
        <v>1059</v>
      </c>
      <c r="D166" s="1" t="s">
        <v>1068</v>
      </c>
      <c r="E166" s="1" t="s">
        <v>1061</v>
      </c>
      <c r="F166" s="1" t="s">
        <v>1070</v>
      </c>
      <c r="G166" s="1" t="s">
        <v>1071</v>
      </c>
      <c r="H166" s="1" t="s">
        <v>1072</v>
      </c>
      <c r="I166" s="1"/>
      <c r="J166" s="1" t="s">
        <v>1072</v>
      </c>
      <c r="K166" s="1"/>
      <c r="L166" s="7"/>
      <c r="M166" s="7" t="s">
        <v>125</v>
      </c>
      <c r="N166" s="7" t="s">
        <v>90</v>
      </c>
      <c r="O166" s="10"/>
      <c r="P166" s="10"/>
      <c r="Q166" s="7"/>
      <c r="R166" s="7"/>
      <c r="S166" s="7" t="s">
        <v>124</v>
      </c>
      <c r="T166" s="10"/>
      <c r="U166" s="11" t="s">
        <v>3283</v>
      </c>
      <c r="V166" s="11" t="s">
        <v>93</v>
      </c>
      <c r="W166" s="11">
        <v>0</v>
      </c>
      <c r="X166" s="11" t="s">
        <v>93</v>
      </c>
      <c r="Y166" s="11"/>
      <c r="Z166" s="12"/>
      <c r="AA166" s="11"/>
      <c r="AB166" s="11"/>
      <c r="AC166" s="1" t="s">
        <v>3284</v>
      </c>
      <c r="AD166" s="1" t="s">
        <v>3285</v>
      </c>
    </row>
    <row r="167" spans="1:30" ht="187.2" x14ac:dyDescent="0.3">
      <c r="A167" s="1" t="s">
        <v>292</v>
      </c>
      <c r="B167" s="1" t="s">
        <v>4522</v>
      </c>
      <c r="C167" s="1" t="s">
        <v>1073</v>
      </c>
      <c r="D167" s="1" t="s">
        <v>1074</v>
      </c>
      <c r="E167" s="1" t="s">
        <v>85</v>
      </c>
      <c r="F167" s="1" t="s">
        <v>1076</v>
      </c>
      <c r="G167" s="1" t="s">
        <v>754</v>
      </c>
      <c r="H167" s="1" t="s">
        <v>1077</v>
      </c>
      <c r="I167" s="1"/>
      <c r="J167" s="1" t="s">
        <v>1077</v>
      </c>
      <c r="K167" s="1"/>
      <c r="L167" s="7"/>
      <c r="M167" s="7" t="s">
        <v>125</v>
      </c>
      <c r="N167" s="7" t="s">
        <v>90</v>
      </c>
      <c r="O167" s="10"/>
      <c r="P167" s="10"/>
      <c r="Q167" s="7"/>
      <c r="R167" s="7"/>
      <c r="S167" s="7" t="s">
        <v>124</v>
      </c>
      <c r="T167" s="10"/>
      <c r="U167" s="11" t="s">
        <v>3286</v>
      </c>
      <c r="V167" s="11" t="s">
        <v>93</v>
      </c>
      <c r="W167" s="11">
        <v>0</v>
      </c>
      <c r="X167" s="11" t="s">
        <v>93</v>
      </c>
      <c r="Y167" s="11"/>
      <c r="Z167" s="12"/>
      <c r="AA167" s="11"/>
      <c r="AB167" s="11"/>
      <c r="AC167" s="1" t="s">
        <v>3287</v>
      </c>
      <c r="AD167" s="1" t="s">
        <v>3288</v>
      </c>
    </row>
    <row r="168" spans="1:30" ht="187.2" x14ac:dyDescent="0.3">
      <c r="A168" s="1" t="s">
        <v>292</v>
      </c>
      <c r="B168" s="1" t="s">
        <v>4522</v>
      </c>
      <c r="C168" s="1" t="s">
        <v>1073</v>
      </c>
      <c r="D168" s="1" t="s">
        <v>1078</v>
      </c>
      <c r="E168" s="1" t="s">
        <v>85</v>
      </c>
      <c r="F168" s="1" t="s">
        <v>965</v>
      </c>
      <c r="G168" s="1" t="s">
        <v>1080</v>
      </c>
      <c r="H168" s="1" t="s">
        <v>1081</v>
      </c>
      <c r="I168" s="1" t="s">
        <v>1082</v>
      </c>
      <c r="J168" s="1" t="s">
        <v>1081</v>
      </c>
      <c r="K168" s="1" t="s">
        <v>1083</v>
      </c>
      <c r="L168" s="7"/>
      <c r="M168" s="7" t="s">
        <v>125</v>
      </c>
      <c r="N168" s="7" t="s">
        <v>90</v>
      </c>
      <c r="O168" s="10"/>
      <c r="P168" s="10"/>
      <c r="Q168" s="7"/>
      <c r="R168" s="7"/>
      <c r="S168" s="7" t="s">
        <v>124</v>
      </c>
      <c r="T168" s="10"/>
      <c r="U168" s="11" t="s">
        <v>3289</v>
      </c>
      <c r="V168" s="11" t="s">
        <v>93</v>
      </c>
      <c r="W168" s="11">
        <v>0</v>
      </c>
      <c r="X168" s="11" t="s">
        <v>93</v>
      </c>
      <c r="Y168" s="11"/>
      <c r="Z168" s="12"/>
      <c r="AA168" s="11"/>
      <c r="AB168" s="11"/>
      <c r="AC168" s="1" t="s">
        <v>3290</v>
      </c>
      <c r="AD168" s="1" t="s">
        <v>3291</v>
      </c>
    </row>
    <row r="169" spans="1:30" ht="187.2" x14ac:dyDescent="0.3">
      <c r="A169" s="1" t="s">
        <v>292</v>
      </c>
      <c r="B169" s="1" t="s">
        <v>4522</v>
      </c>
      <c r="C169" s="1" t="s">
        <v>1073</v>
      </c>
      <c r="D169" s="1" t="s">
        <v>1084</v>
      </c>
      <c r="E169" s="1" t="s">
        <v>85</v>
      </c>
      <c r="F169" s="1" t="s">
        <v>965</v>
      </c>
      <c r="G169" s="1" t="s">
        <v>1086</v>
      </c>
      <c r="H169" s="1" t="s">
        <v>1087</v>
      </c>
      <c r="I169" s="1"/>
      <c r="J169" s="1" t="s">
        <v>1087</v>
      </c>
      <c r="K169" s="1"/>
      <c r="L169" s="7"/>
      <c r="M169" s="7" t="s">
        <v>125</v>
      </c>
      <c r="N169" s="7" t="s">
        <v>90</v>
      </c>
      <c r="O169" s="10"/>
      <c r="P169" s="10"/>
      <c r="Q169" s="7"/>
      <c r="R169" s="7"/>
      <c r="S169" s="7" t="s">
        <v>124</v>
      </c>
      <c r="T169" s="10"/>
      <c r="U169" s="11" t="s">
        <v>3292</v>
      </c>
      <c r="V169" s="11" t="s">
        <v>93</v>
      </c>
      <c r="W169" s="11">
        <v>0</v>
      </c>
      <c r="X169" s="11" t="s">
        <v>93</v>
      </c>
      <c r="Y169" s="11"/>
      <c r="Z169" s="12"/>
      <c r="AA169" s="11"/>
      <c r="AB169" s="11"/>
      <c r="AC169" s="1" t="s">
        <v>3293</v>
      </c>
      <c r="AD169" s="1" t="s">
        <v>3294</v>
      </c>
    </row>
    <row r="170" spans="1:30" ht="187.2" x14ac:dyDescent="0.3">
      <c r="A170" s="1" t="s">
        <v>292</v>
      </c>
      <c r="B170" s="1" t="s">
        <v>4522</v>
      </c>
      <c r="C170" s="1" t="s">
        <v>1073</v>
      </c>
      <c r="D170" s="1" t="s">
        <v>1088</v>
      </c>
      <c r="E170" s="1" t="s">
        <v>85</v>
      </c>
      <c r="F170" s="1" t="s">
        <v>1090</v>
      </c>
      <c r="G170" s="1" t="s">
        <v>1091</v>
      </c>
      <c r="H170" s="1" t="s">
        <v>1092</v>
      </c>
      <c r="I170" s="1"/>
      <c r="J170" s="1" t="s">
        <v>1092</v>
      </c>
      <c r="K170" s="1"/>
      <c r="L170" s="7"/>
      <c r="M170" s="7" t="s">
        <v>125</v>
      </c>
      <c r="N170" s="7" t="s">
        <v>90</v>
      </c>
      <c r="O170" s="10"/>
      <c r="P170" s="10"/>
      <c r="Q170" s="7"/>
      <c r="R170" s="7"/>
      <c r="S170" s="7" t="s">
        <v>124</v>
      </c>
      <c r="T170" s="10"/>
      <c r="U170" s="11" t="s">
        <v>3295</v>
      </c>
      <c r="V170" s="11" t="s">
        <v>93</v>
      </c>
      <c r="W170" s="11">
        <v>0</v>
      </c>
      <c r="X170" s="11" t="s">
        <v>93</v>
      </c>
      <c r="Y170" s="11"/>
      <c r="Z170" s="12"/>
      <c r="AA170" s="11"/>
      <c r="AB170" s="11"/>
      <c r="AC170" s="1" t="s">
        <v>3296</v>
      </c>
      <c r="AD170" s="1" t="s">
        <v>3297</v>
      </c>
    </row>
    <row r="171" spans="1:30" ht="187.2" x14ac:dyDescent="0.3">
      <c r="A171" s="1" t="s">
        <v>292</v>
      </c>
      <c r="B171" s="1" t="s">
        <v>4522</v>
      </c>
      <c r="C171" s="1" t="s">
        <v>1073</v>
      </c>
      <c r="D171" s="1" t="s">
        <v>1093</v>
      </c>
      <c r="E171" s="1" t="s">
        <v>85</v>
      </c>
      <c r="F171" s="1" t="s">
        <v>1095</v>
      </c>
      <c r="G171" s="1" t="s">
        <v>1096</v>
      </c>
      <c r="H171" s="1" t="s">
        <v>1097</v>
      </c>
      <c r="I171" s="1"/>
      <c r="J171" s="1" t="s">
        <v>1097</v>
      </c>
      <c r="K171" s="1"/>
      <c r="L171" s="7"/>
      <c r="M171" s="7" t="s">
        <v>125</v>
      </c>
      <c r="N171" s="7" t="s">
        <v>90</v>
      </c>
      <c r="O171" s="10"/>
      <c r="P171" s="10"/>
      <c r="Q171" s="7"/>
      <c r="R171" s="7"/>
      <c r="S171" s="7" t="s">
        <v>124</v>
      </c>
      <c r="T171" s="10"/>
      <c r="U171" s="11" t="s">
        <v>3298</v>
      </c>
      <c r="V171" s="11" t="s">
        <v>93</v>
      </c>
      <c r="W171" s="11">
        <v>0</v>
      </c>
      <c r="X171" s="11" t="s">
        <v>93</v>
      </c>
      <c r="Y171" s="11"/>
      <c r="Z171" s="12"/>
      <c r="AA171" s="11"/>
      <c r="AB171" s="11"/>
      <c r="AC171" s="1" t="s">
        <v>3299</v>
      </c>
      <c r="AD171" s="1" t="s">
        <v>3300</v>
      </c>
    </row>
    <row r="172" spans="1:30" ht="187.2" x14ac:dyDescent="0.3">
      <c r="A172" s="1" t="s">
        <v>292</v>
      </c>
      <c r="B172" s="1" t="s">
        <v>4522</v>
      </c>
      <c r="C172" s="1" t="s">
        <v>1073</v>
      </c>
      <c r="D172" s="1" t="s">
        <v>1098</v>
      </c>
      <c r="E172" s="1" t="s">
        <v>85</v>
      </c>
      <c r="F172" s="1" t="s">
        <v>1100</v>
      </c>
      <c r="G172" s="1" t="s">
        <v>1096</v>
      </c>
      <c r="H172" s="1" t="s">
        <v>1101</v>
      </c>
      <c r="I172" s="1"/>
      <c r="J172" s="1" t="s">
        <v>1101</v>
      </c>
      <c r="K172" s="1"/>
      <c r="L172" s="7"/>
      <c r="M172" s="7" t="s">
        <v>125</v>
      </c>
      <c r="N172" s="7" t="s">
        <v>90</v>
      </c>
      <c r="O172" s="10"/>
      <c r="P172" s="10"/>
      <c r="Q172" s="7"/>
      <c r="R172" s="7"/>
      <c r="S172" s="7" t="s">
        <v>124</v>
      </c>
      <c r="T172" s="10"/>
      <c r="U172" s="11" t="s">
        <v>3301</v>
      </c>
      <c r="V172" s="11" t="s">
        <v>93</v>
      </c>
      <c r="W172" s="11">
        <v>0</v>
      </c>
      <c r="X172" s="11" t="s">
        <v>93</v>
      </c>
      <c r="Y172" s="11"/>
      <c r="Z172" s="12"/>
      <c r="AA172" s="11"/>
      <c r="AB172" s="11"/>
      <c r="AC172" s="1" t="s">
        <v>3302</v>
      </c>
      <c r="AD172" s="1" t="s">
        <v>3303</v>
      </c>
    </row>
    <row r="173" spans="1:30" ht="187.2" x14ac:dyDescent="0.3">
      <c r="A173" s="1" t="s">
        <v>292</v>
      </c>
      <c r="B173" s="1" t="s">
        <v>4522</v>
      </c>
      <c r="C173" s="1" t="s">
        <v>1073</v>
      </c>
      <c r="D173" s="1" t="s">
        <v>1102</v>
      </c>
      <c r="E173" s="1" t="s">
        <v>85</v>
      </c>
      <c r="F173" s="1" t="s">
        <v>687</v>
      </c>
      <c r="G173" s="1" t="s">
        <v>546</v>
      </c>
      <c r="H173" s="1" t="s">
        <v>1104</v>
      </c>
      <c r="I173" s="1"/>
      <c r="J173" s="1" t="s">
        <v>1104</v>
      </c>
      <c r="K173" s="1"/>
      <c r="L173" s="7"/>
      <c r="M173" s="7" t="s">
        <v>125</v>
      </c>
      <c r="N173" s="7" t="s">
        <v>90</v>
      </c>
      <c r="O173" s="10"/>
      <c r="P173" s="10"/>
      <c r="Q173" s="7"/>
      <c r="R173" s="7"/>
      <c r="S173" s="7" t="s">
        <v>124</v>
      </c>
      <c r="T173" s="10"/>
      <c r="U173" s="11" t="s">
        <v>3304</v>
      </c>
      <c r="V173" s="11" t="s">
        <v>93</v>
      </c>
      <c r="W173" s="11">
        <v>0</v>
      </c>
      <c r="X173" s="11" t="s">
        <v>93</v>
      </c>
      <c r="Y173" s="11"/>
      <c r="Z173" s="12"/>
      <c r="AA173" s="11"/>
      <c r="AB173" s="11"/>
      <c r="AC173" s="1" t="s">
        <v>3305</v>
      </c>
      <c r="AD173" s="1" t="s">
        <v>3306</v>
      </c>
    </row>
    <row r="174" spans="1:30" ht="187.2" x14ac:dyDescent="0.3">
      <c r="A174" s="1" t="s">
        <v>292</v>
      </c>
      <c r="B174" s="1" t="s">
        <v>4522</v>
      </c>
      <c r="C174" s="1" t="s">
        <v>1073</v>
      </c>
      <c r="D174" s="1" t="s">
        <v>1105</v>
      </c>
      <c r="E174" s="1" t="s">
        <v>85</v>
      </c>
      <c r="F174" s="1" t="s">
        <v>1107</v>
      </c>
      <c r="G174" s="1" t="s">
        <v>1108</v>
      </c>
      <c r="H174" s="1" t="s">
        <v>1109</v>
      </c>
      <c r="I174" s="1"/>
      <c r="J174" s="1" t="s">
        <v>1109</v>
      </c>
      <c r="K174" s="1" t="s">
        <v>1110</v>
      </c>
      <c r="L174" s="7"/>
      <c r="M174" s="7" t="s">
        <v>125</v>
      </c>
      <c r="N174" s="7" t="s">
        <v>90</v>
      </c>
      <c r="O174" s="10"/>
      <c r="P174" s="10"/>
      <c r="Q174" s="7"/>
      <c r="R174" s="7"/>
      <c r="S174" s="7" t="s">
        <v>124</v>
      </c>
      <c r="T174" s="10"/>
      <c r="U174" s="11" t="s">
        <v>3307</v>
      </c>
      <c r="V174" s="11" t="s">
        <v>93</v>
      </c>
      <c r="W174" s="11">
        <v>0</v>
      </c>
      <c r="X174" s="11" t="s">
        <v>93</v>
      </c>
      <c r="Y174" s="11"/>
      <c r="Z174" s="12"/>
      <c r="AA174" s="11"/>
      <c r="AB174" s="11"/>
      <c r="AC174" s="1" t="s">
        <v>3308</v>
      </c>
      <c r="AD174" s="1" t="s">
        <v>3309</v>
      </c>
    </row>
    <row r="175" spans="1:30" ht="187.2" x14ac:dyDescent="0.3">
      <c r="A175" s="1" t="s">
        <v>292</v>
      </c>
      <c r="B175" s="1" t="s">
        <v>4522</v>
      </c>
      <c r="C175" s="1" t="s">
        <v>1073</v>
      </c>
      <c r="D175" s="1" t="s">
        <v>1111</v>
      </c>
      <c r="E175" s="1" t="s">
        <v>85</v>
      </c>
      <c r="F175" s="1" t="s">
        <v>687</v>
      </c>
      <c r="G175" s="1" t="s">
        <v>1113</v>
      </c>
      <c r="H175" s="1" t="s">
        <v>1114</v>
      </c>
      <c r="I175" s="1"/>
      <c r="J175" s="1" t="s">
        <v>1114</v>
      </c>
      <c r="K175" s="1"/>
      <c r="L175" s="7"/>
      <c r="M175" s="7" t="s">
        <v>125</v>
      </c>
      <c r="N175" s="7" t="s">
        <v>90</v>
      </c>
      <c r="O175" s="10"/>
      <c r="P175" s="10"/>
      <c r="Q175" s="7"/>
      <c r="R175" s="7"/>
      <c r="S175" s="7" t="s">
        <v>124</v>
      </c>
      <c r="T175" s="10"/>
      <c r="U175" s="11" t="s">
        <v>3310</v>
      </c>
      <c r="V175" s="11" t="s">
        <v>93</v>
      </c>
      <c r="W175" s="11">
        <v>0</v>
      </c>
      <c r="X175" s="11" t="s">
        <v>93</v>
      </c>
      <c r="Y175" s="11"/>
      <c r="Z175" s="12"/>
      <c r="AA175" s="11"/>
      <c r="AB175" s="11"/>
      <c r="AC175" s="1" t="s">
        <v>3311</v>
      </c>
      <c r="AD175" s="1" t="s">
        <v>3312</v>
      </c>
    </row>
    <row r="176" spans="1:30" ht="187.2" x14ac:dyDescent="0.3">
      <c r="A176" s="1" t="s">
        <v>292</v>
      </c>
      <c r="B176" s="1" t="s">
        <v>4522</v>
      </c>
      <c r="C176" s="1" t="s">
        <v>1073</v>
      </c>
      <c r="D176" s="1" t="s">
        <v>1115</v>
      </c>
      <c r="E176" s="1" t="s">
        <v>85</v>
      </c>
      <c r="F176" s="1" t="s">
        <v>687</v>
      </c>
      <c r="G176" s="1" t="s">
        <v>231</v>
      </c>
      <c r="H176" s="1" t="s">
        <v>1117</v>
      </c>
      <c r="I176" s="1" t="s">
        <v>1118</v>
      </c>
      <c r="J176" s="1" t="s">
        <v>1117</v>
      </c>
      <c r="K176" s="1"/>
      <c r="L176" s="7"/>
      <c r="M176" s="7" t="s">
        <v>125</v>
      </c>
      <c r="N176" s="7" t="s">
        <v>90</v>
      </c>
      <c r="O176" s="10"/>
      <c r="P176" s="10"/>
      <c r="Q176" s="7"/>
      <c r="R176" s="7"/>
      <c r="S176" s="7" t="s">
        <v>124</v>
      </c>
      <c r="T176" s="10"/>
      <c r="U176" s="11" t="s">
        <v>3313</v>
      </c>
      <c r="V176" s="11" t="s">
        <v>93</v>
      </c>
      <c r="W176" s="11">
        <v>0</v>
      </c>
      <c r="X176" s="11" t="s">
        <v>93</v>
      </c>
      <c r="Y176" s="11"/>
      <c r="Z176" s="12"/>
      <c r="AA176" s="11"/>
      <c r="AB176" s="11"/>
      <c r="AC176" s="1" t="s">
        <v>3314</v>
      </c>
      <c r="AD176" s="1" t="s">
        <v>3315</v>
      </c>
    </row>
    <row r="177" spans="1:30" ht="187.2" x14ac:dyDescent="0.3">
      <c r="A177" s="1" t="s">
        <v>292</v>
      </c>
      <c r="B177" s="1" t="s">
        <v>4522</v>
      </c>
      <c r="C177" s="1" t="s">
        <v>1073</v>
      </c>
      <c r="D177" s="1" t="s">
        <v>1119</v>
      </c>
      <c r="E177" s="1" t="s">
        <v>85</v>
      </c>
      <c r="F177" s="1" t="s">
        <v>1121</v>
      </c>
      <c r="G177" s="1" t="s">
        <v>1122</v>
      </c>
      <c r="H177" s="1" t="s">
        <v>1123</v>
      </c>
      <c r="I177" s="1" t="s">
        <v>1124</v>
      </c>
      <c r="J177" s="1" t="s">
        <v>1123</v>
      </c>
      <c r="K177" s="1"/>
      <c r="L177" s="7"/>
      <c r="M177" s="7" t="s">
        <v>125</v>
      </c>
      <c r="N177" s="7" t="s">
        <v>90</v>
      </c>
      <c r="O177" s="10"/>
      <c r="P177" s="10"/>
      <c r="Q177" s="7"/>
      <c r="R177" s="7"/>
      <c r="S177" s="7" t="s">
        <v>124</v>
      </c>
      <c r="T177" s="10"/>
      <c r="U177" s="11" t="s">
        <v>3316</v>
      </c>
      <c r="V177" s="11" t="s">
        <v>93</v>
      </c>
      <c r="W177" s="11">
        <v>0</v>
      </c>
      <c r="X177" s="11" t="s">
        <v>93</v>
      </c>
      <c r="Y177" s="11"/>
      <c r="Z177" s="12"/>
      <c r="AA177" s="11"/>
      <c r="AB177" s="11"/>
      <c r="AC177" s="1" t="s">
        <v>3317</v>
      </c>
      <c r="AD177" s="1" t="s">
        <v>3318</v>
      </c>
    </row>
    <row r="178" spans="1:30" ht="187.2" x14ac:dyDescent="0.3">
      <c r="A178" s="1" t="s">
        <v>292</v>
      </c>
      <c r="B178" s="1" t="s">
        <v>4522</v>
      </c>
      <c r="C178" s="1" t="s">
        <v>1073</v>
      </c>
      <c r="D178" s="1" t="s">
        <v>1125</v>
      </c>
      <c r="E178" s="1" t="s">
        <v>85</v>
      </c>
      <c r="F178" s="1" t="s">
        <v>630</v>
      </c>
      <c r="G178" s="1" t="s">
        <v>1127</v>
      </c>
      <c r="H178" s="1"/>
      <c r="I178" s="1"/>
      <c r="J178" s="1"/>
      <c r="K178" s="1"/>
      <c r="L178" s="7"/>
      <c r="M178" s="7" t="s">
        <v>125</v>
      </c>
      <c r="N178" s="7" t="s">
        <v>90</v>
      </c>
      <c r="O178" s="10"/>
      <c r="P178" s="10"/>
      <c r="Q178" s="7"/>
      <c r="R178" s="7"/>
      <c r="S178" s="7" t="s">
        <v>124</v>
      </c>
      <c r="T178" s="10"/>
      <c r="U178" s="11" t="s">
        <v>3319</v>
      </c>
      <c r="V178" s="11" t="s">
        <v>93</v>
      </c>
      <c r="W178" s="11">
        <v>0</v>
      </c>
      <c r="X178" s="11" t="s">
        <v>93</v>
      </c>
      <c r="Y178" s="11"/>
      <c r="Z178" s="12"/>
      <c r="AA178" s="11"/>
      <c r="AB178" s="11"/>
      <c r="AC178" s="1" t="s">
        <v>3320</v>
      </c>
      <c r="AD178" s="1" t="s">
        <v>3321</v>
      </c>
    </row>
    <row r="179" spans="1:30" ht="187.2" x14ac:dyDescent="0.3">
      <c r="A179" s="1" t="s">
        <v>292</v>
      </c>
      <c r="B179" s="1" t="s">
        <v>4522</v>
      </c>
      <c r="C179" s="1" t="s">
        <v>1073</v>
      </c>
      <c r="D179" s="1" t="s">
        <v>1128</v>
      </c>
      <c r="E179" s="1" t="s">
        <v>85</v>
      </c>
      <c r="F179" s="1" t="s">
        <v>1130</v>
      </c>
      <c r="G179" s="1" t="s">
        <v>892</v>
      </c>
      <c r="H179" s="1" t="s">
        <v>1131</v>
      </c>
      <c r="I179" s="1"/>
      <c r="J179" s="1" t="s">
        <v>1131</v>
      </c>
      <c r="K179" s="1"/>
      <c r="L179" s="7"/>
      <c r="M179" s="7" t="s">
        <v>125</v>
      </c>
      <c r="N179" s="7" t="s">
        <v>90</v>
      </c>
      <c r="O179" s="10"/>
      <c r="P179" s="10"/>
      <c r="Q179" s="7"/>
      <c r="R179" s="7"/>
      <c r="S179" s="7" t="s">
        <v>124</v>
      </c>
      <c r="T179" s="10"/>
      <c r="U179" s="11" t="s">
        <v>3322</v>
      </c>
      <c r="V179" s="11" t="s">
        <v>93</v>
      </c>
      <c r="W179" s="11">
        <v>0</v>
      </c>
      <c r="X179" s="11" t="s">
        <v>93</v>
      </c>
      <c r="Y179" s="11"/>
      <c r="Z179" s="12"/>
      <c r="AA179" s="11"/>
      <c r="AB179" s="11"/>
      <c r="AC179" s="1" t="s">
        <v>3323</v>
      </c>
      <c r="AD179" s="1" t="s">
        <v>3324</v>
      </c>
    </row>
    <row r="180" spans="1:30" ht="187.2" x14ac:dyDescent="0.3">
      <c r="A180" s="1" t="s">
        <v>292</v>
      </c>
      <c r="B180" s="1" t="s">
        <v>4522</v>
      </c>
      <c r="C180" s="1" t="s">
        <v>1073</v>
      </c>
      <c r="D180" s="1" t="s">
        <v>1132</v>
      </c>
      <c r="E180" s="1" t="s">
        <v>85</v>
      </c>
      <c r="F180" s="1" t="s">
        <v>1130</v>
      </c>
      <c r="G180" s="1" t="s">
        <v>1134</v>
      </c>
      <c r="H180" s="1" t="s">
        <v>1135</v>
      </c>
      <c r="I180" s="1" t="s">
        <v>1136</v>
      </c>
      <c r="J180" s="1" t="s">
        <v>1135</v>
      </c>
      <c r="K180" s="1"/>
      <c r="L180" s="7"/>
      <c r="M180" s="7" t="s">
        <v>125</v>
      </c>
      <c r="N180" s="7" t="s">
        <v>90</v>
      </c>
      <c r="O180" s="10"/>
      <c r="P180" s="10"/>
      <c r="Q180" s="7"/>
      <c r="R180" s="7"/>
      <c r="S180" s="7" t="s">
        <v>124</v>
      </c>
      <c r="T180" s="10"/>
      <c r="U180" s="11" t="s">
        <v>3325</v>
      </c>
      <c r="V180" s="11" t="s">
        <v>93</v>
      </c>
      <c r="W180" s="11">
        <v>0</v>
      </c>
      <c r="X180" s="11" t="s">
        <v>93</v>
      </c>
      <c r="Y180" s="11"/>
      <c r="Z180" s="12"/>
      <c r="AA180" s="11"/>
      <c r="AB180" s="11"/>
      <c r="AC180" s="1" t="s">
        <v>3326</v>
      </c>
      <c r="AD180" s="1" t="s">
        <v>3327</v>
      </c>
    </row>
    <row r="181" spans="1:30" ht="187.2" x14ac:dyDescent="0.3">
      <c r="A181" s="1" t="s">
        <v>292</v>
      </c>
      <c r="B181" s="1" t="s">
        <v>4522</v>
      </c>
      <c r="C181" s="1" t="s">
        <v>1073</v>
      </c>
      <c r="D181" s="1" t="s">
        <v>1137</v>
      </c>
      <c r="E181" s="1" t="s">
        <v>85</v>
      </c>
      <c r="F181" s="1" t="s">
        <v>1063</v>
      </c>
      <c r="G181" s="1" t="s">
        <v>280</v>
      </c>
      <c r="H181" s="1" t="s">
        <v>1139</v>
      </c>
      <c r="I181" s="1"/>
      <c r="J181" s="1" t="s">
        <v>1139</v>
      </c>
      <c r="K181" s="1" t="s">
        <v>1140</v>
      </c>
      <c r="L181" s="7"/>
      <c r="M181" s="7" t="s">
        <v>125</v>
      </c>
      <c r="N181" s="7" t="s">
        <v>90</v>
      </c>
      <c r="O181" s="10"/>
      <c r="P181" s="10"/>
      <c r="Q181" s="7"/>
      <c r="R181" s="7"/>
      <c r="S181" s="7" t="s">
        <v>124</v>
      </c>
      <c r="T181" s="10"/>
      <c r="U181" s="11" t="s">
        <v>3328</v>
      </c>
      <c r="V181" s="11" t="s">
        <v>93</v>
      </c>
      <c r="W181" s="11">
        <v>0</v>
      </c>
      <c r="X181" s="11" t="s">
        <v>93</v>
      </c>
      <c r="Y181" s="11"/>
      <c r="Z181" s="12"/>
      <c r="AA181" s="11"/>
      <c r="AB181" s="11"/>
      <c r="AC181" s="1" t="s">
        <v>3329</v>
      </c>
      <c r="AD181" s="1" t="s">
        <v>3330</v>
      </c>
    </row>
    <row r="182" spans="1:30" ht="187.2" x14ac:dyDescent="0.3">
      <c r="A182" s="1" t="s">
        <v>292</v>
      </c>
      <c r="B182" s="1" t="s">
        <v>4522</v>
      </c>
      <c r="C182" s="1" t="s">
        <v>1073</v>
      </c>
      <c r="D182" s="1" t="s">
        <v>1141</v>
      </c>
      <c r="E182" s="1" t="s">
        <v>85</v>
      </c>
      <c r="F182" s="1" t="s">
        <v>1143</v>
      </c>
      <c r="G182" s="1" t="s">
        <v>1144</v>
      </c>
      <c r="H182" s="1" t="s">
        <v>1145</v>
      </c>
      <c r="I182" s="1"/>
      <c r="J182" s="1" t="s">
        <v>1145</v>
      </c>
      <c r="K182" s="1"/>
      <c r="L182" s="7"/>
      <c r="M182" s="7" t="s">
        <v>125</v>
      </c>
      <c r="N182" s="7" t="s">
        <v>90</v>
      </c>
      <c r="O182" s="10"/>
      <c r="P182" s="10"/>
      <c r="Q182" s="7"/>
      <c r="R182" s="7"/>
      <c r="S182" s="7" t="s">
        <v>124</v>
      </c>
      <c r="T182" s="10"/>
      <c r="U182" s="11" t="s">
        <v>3331</v>
      </c>
      <c r="V182" s="11" t="s">
        <v>93</v>
      </c>
      <c r="W182" s="11">
        <v>0</v>
      </c>
      <c r="X182" s="11" t="s">
        <v>93</v>
      </c>
      <c r="Y182" s="11"/>
      <c r="Z182" s="12"/>
      <c r="AA182" s="11"/>
      <c r="AB182" s="11"/>
      <c r="AC182" s="1" t="s">
        <v>3332</v>
      </c>
      <c r="AD182" s="1" t="s">
        <v>3333</v>
      </c>
    </row>
    <row r="183" spans="1:30" ht="187.2" x14ac:dyDescent="0.3">
      <c r="A183" s="1" t="s">
        <v>292</v>
      </c>
      <c r="B183" s="1" t="s">
        <v>4522</v>
      </c>
      <c r="C183" s="1" t="s">
        <v>1073</v>
      </c>
      <c r="D183" s="1" t="s">
        <v>1146</v>
      </c>
      <c r="E183" s="1" t="s">
        <v>85</v>
      </c>
      <c r="F183" s="1" t="s">
        <v>1148</v>
      </c>
      <c r="G183" s="1" t="s">
        <v>972</v>
      </c>
      <c r="H183" s="1" t="s">
        <v>1149</v>
      </c>
      <c r="I183" s="1" t="s">
        <v>1150</v>
      </c>
      <c r="J183" s="1" t="s">
        <v>1149</v>
      </c>
      <c r="K183" s="1"/>
      <c r="L183" s="7"/>
      <c r="M183" s="7" t="s">
        <v>125</v>
      </c>
      <c r="N183" s="7" t="s">
        <v>90</v>
      </c>
      <c r="O183" s="10"/>
      <c r="P183" s="10"/>
      <c r="Q183" s="7"/>
      <c r="R183" s="7"/>
      <c r="S183" s="7" t="s">
        <v>124</v>
      </c>
      <c r="T183" s="10"/>
      <c r="U183" s="11" t="s">
        <v>3334</v>
      </c>
      <c r="V183" s="11" t="s">
        <v>93</v>
      </c>
      <c r="W183" s="11">
        <v>0</v>
      </c>
      <c r="X183" s="11" t="s">
        <v>93</v>
      </c>
      <c r="Y183" s="11"/>
      <c r="Z183" s="12"/>
      <c r="AA183" s="11"/>
      <c r="AB183" s="11"/>
      <c r="AC183" s="1" t="s">
        <v>3335</v>
      </c>
      <c r="AD183" s="1" t="s">
        <v>3336</v>
      </c>
    </row>
    <row r="184" spans="1:30" ht="187.2" x14ac:dyDescent="0.3">
      <c r="A184" s="1" t="s">
        <v>292</v>
      </c>
      <c r="B184" s="1" t="s">
        <v>4522</v>
      </c>
      <c r="C184" s="1" t="s">
        <v>1073</v>
      </c>
      <c r="D184" s="1" t="s">
        <v>1151</v>
      </c>
      <c r="E184" s="1" t="s">
        <v>85</v>
      </c>
      <c r="F184" s="1" t="s">
        <v>1153</v>
      </c>
      <c r="G184" s="1" t="s">
        <v>1154</v>
      </c>
      <c r="H184" s="1" t="s">
        <v>1155</v>
      </c>
      <c r="I184" s="1"/>
      <c r="J184" s="1" t="s">
        <v>1155</v>
      </c>
      <c r="K184" s="1"/>
      <c r="L184" s="7"/>
      <c r="M184" s="7" t="s">
        <v>125</v>
      </c>
      <c r="N184" s="7" t="s">
        <v>90</v>
      </c>
      <c r="O184" s="10"/>
      <c r="P184" s="10"/>
      <c r="Q184" s="7"/>
      <c r="R184" s="7"/>
      <c r="S184" s="7" t="s">
        <v>124</v>
      </c>
      <c r="T184" s="10"/>
      <c r="U184" s="11" t="s">
        <v>3337</v>
      </c>
      <c r="V184" s="11" t="s">
        <v>93</v>
      </c>
      <c r="W184" s="11">
        <v>0</v>
      </c>
      <c r="X184" s="11" t="s">
        <v>93</v>
      </c>
      <c r="Y184" s="11"/>
      <c r="Z184" s="12"/>
      <c r="AA184" s="11"/>
      <c r="AB184" s="11"/>
      <c r="AC184" s="1" t="s">
        <v>3338</v>
      </c>
      <c r="AD184" s="1" t="s">
        <v>3339</v>
      </c>
    </row>
    <row r="185" spans="1:30" ht="187.2" x14ac:dyDescent="0.3">
      <c r="A185" s="1" t="s">
        <v>292</v>
      </c>
      <c r="B185" s="1" t="s">
        <v>4522</v>
      </c>
      <c r="C185" s="1" t="s">
        <v>1073</v>
      </c>
      <c r="D185" s="1" t="s">
        <v>1156</v>
      </c>
      <c r="E185" s="1" t="s">
        <v>85</v>
      </c>
      <c r="F185" s="1" t="s">
        <v>1158</v>
      </c>
      <c r="G185" s="1" t="s">
        <v>1159</v>
      </c>
      <c r="H185" s="1" t="s">
        <v>1160</v>
      </c>
      <c r="I185" s="1"/>
      <c r="J185" s="1" t="s">
        <v>1160</v>
      </c>
      <c r="K185" s="1"/>
      <c r="L185" s="7"/>
      <c r="M185" s="7" t="s">
        <v>125</v>
      </c>
      <c r="N185" s="7" t="s">
        <v>90</v>
      </c>
      <c r="O185" s="10"/>
      <c r="P185" s="10"/>
      <c r="Q185" s="7"/>
      <c r="R185" s="7"/>
      <c r="S185" s="7" t="s">
        <v>124</v>
      </c>
      <c r="T185" s="10"/>
      <c r="U185" s="11" t="s">
        <v>3340</v>
      </c>
      <c r="V185" s="11" t="s">
        <v>93</v>
      </c>
      <c r="W185" s="11">
        <v>0</v>
      </c>
      <c r="X185" s="11" t="s">
        <v>93</v>
      </c>
      <c r="Y185" s="11"/>
      <c r="Z185" s="12"/>
      <c r="AA185" s="11"/>
      <c r="AB185" s="11"/>
      <c r="AC185" s="1" t="s">
        <v>3341</v>
      </c>
      <c r="AD185" s="1" t="s">
        <v>3342</v>
      </c>
    </row>
    <row r="186" spans="1:30" ht="187.2" x14ac:dyDescent="0.3">
      <c r="A186" s="1" t="s">
        <v>292</v>
      </c>
      <c r="B186" s="1" t="s">
        <v>4522</v>
      </c>
      <c r="C186" s="1" t="s">
        <v>1073</v>
      </c>
      <c r="D186" s="1" t="s">
        <v>1161</v>
      </c>
      <c r="E186" s="1" t="s">
        <v>85</v>
      </c>
      <c r="F186" s="1" t="s">
        <v>1163</v>
      </c>
      <c r="G186" s="1" t="s">
        <v>1164</v>
      </c>
      <c r="H186" s="1" t="s">
        <v>1165</v>
      </c>
      <c r="I186" s="1"/>
      <c r="J186" s="1" t="s">
        <v>1165</v>
      </c>
      <c r="K186" s="1"/>
      <c r="L186" s="7"/>
      <c r="M186" s="7" t="s">
        <v>125</v>
      </c>
      <c r="N186" s="7" t="s">
        <v>90</v>
      </c>
      <c r="O186" s="10"/>
      <c r="P186" s="10"/>
      <c r="Q186" s="7"/>
      <c r="R186" s="7"/>
      <c r="S186" s="7" t="s">
        <v>124</v>
      </c>
      <c r="T186" s="10"/>
      <c r="U186" s="11" t="s">
        <v>3343</v>
      </c>
      <c r="V186" s="11" t="s">
        <v>93</v>
      </c>
      <c r="W186" s="11">
        <v>0</v>
      </c>
      <c r="X186" s="11" t="s">
        <v>93</v>
      </c>
      <c r="Y186" s="11"/>
      <c r="Z186" s="12"/>
      <c r="AA186" s="11"/>
      <c r="AB186" s="11"/>
      <c r="AC186" s="1" t="s">
        <v>3344</v>
      </c>
      <c r="AD186" s="1" t="s">
        <v>3345</v>
      </c>
    </row>
    <row r="187" spans="1:30" ht="187.2" x14ac:dyDescent="0.3">
      <c r="A187" s="1" t="s">
        <v>292</v>
      </c>
      <c r="B187" s="1" t="s">
        <v>4522</v>
      </c>
      <c r="C187" s="1" t="s">
        <v>1073</v>
      </c>
      <c r="D187" s="1" t="s">
        <v>1166</v>
      </c>
      <c r="E187" s="1" t="s">
        <v>85</v>
      </c>
      <c r="F187" s="1" t="s">
        <v>1168</v>
      </c>
      <c r="G187" s="1" t="s">
        <v>759</v>
      </c>
      <c r="H187" s="1" t="s">
        <v>1169</v>
      </c>
      <c r="I187" s="1" t="s">
        <v>1170</v>
      </c>
      <c r="J187" s="1" t="s">
        <v>1169</v>
      </c>
      <c r="K187" s="1"/>
      <c r="L187" s="7"/>
      <c r="M187" s="7" t="s">
        <v>125</v>
      </c>
      <c r="N187" s="7" t="s">
        <v>90</v>
      </c>
      <c r="O187" s="10"/>
      <c r="P187" s="10"/>
      <c r="Q187" s="7"/>
      <c r="R187" s="7"/>
      <c r="S187" s="7" t="s">
        <v>124</v>
      </c>
      <c r="T187" s="10"/>
      <c r="U187" s="11" t="s">
        <v>3346</v>
      </c>
      <c r="V187" s="11" t="s">
        <v>93</v>
      </c>
      <c r="W187" s="11">
        <v>0</v>
      </c>
      <c r="X187" s="11" t="s">
        <v>93</v>
      </c>
      <c r="Y187" s="11"/>
      <c r="Z187" s="12"/>
      <c r="AA187" s="11"/>
      <c r="AB187" s="11"/>
      <c r="AC187" s="1" t="s">
        <v>3347</v>
      </c>
      <c r="AD187" s="1" t="s">
        <v>3348</v>
      </c>
    </row>
    <row r="188" spans="1:30" ht="187.2" x14ac:dyDescent="0.3">
      <c r="A188" s="1" t="s">
        <v>292</v>
      </c>
      <c r="B188" s="1" t="s">
        <v>4522</v>
      </c>
      <c r="C188" s="1" t="s">
        <v>1073</v>
      </c>
      <c r="D188" s="1" t="s">
        <v>1171</v>
      </c>
      <c r="E188" s="1" t="s">
        <v>85</v>
      </c>
      <c r="F188" s="1" t="s">
        <v>697</v>
      </c>
      <c r="G188" s="1" t="s">
        <v>1173</v>
      </c>
      <c r="H188" s="1" t="s">
        <v>1174</v>
      </c>
      <c r="I188" s="1" t="s">
        <v>1175</v>
      </c>
      <c r="J188" s="1" t="s">
        <v>1174</v>
      </c>
      <c r="K188" s="1"/>
      <c r="L188" s="7"/>
      <c r="M188" s="7" t="s">
        <v>125</v>
      </c>
      <c r="N188" s="7" t="s">
        <v>90</v>
      </c>
      <c r="O188" s="10"/>
      <c r="P188" s="10"/>
      <c r="Q188" s="7"/>
      <c r="R188" s="7"/>
      <c r="S188" s="7" t="s">
        <v>124</v>
      </c>
      <c r="T188" s="10"/>
      <c r="U188" s="11" t="s">
        <v>3349</v>
      </c>
      <c r="V188" s="11" t="s">
        <v>93</v>
      </c>
      <c r="W188" s="11">
        <v>0</v>
      </c>
      <c r="X188" s="11" t="s">
        <v>93</v>
      </c>
      <c r="Y188" s="11"/>
      <c r="Z188" s="12"/>
      <c r="AA188" s="11"/>
      <c r="AB188" s="11"/>
      <c r="AC188" s="1" t="s">
        <v>3350</v>
      </c>
      <c r="AD188" s="1" t="s">
        <v>3351</v>
      </c>
    </row>
    <row r="189" spans="1:30" ht="187.2" x14ac:dyDescent="0.3">
      <c r="A189" s="1" t="s">
        <v>292</v>
      </c>
      <c r="B189" s="1" t="s">
        <v>4522</v>
      </c>
      <c r="C189" s="1" t="s">
        <v>1073</v>
      </c>
      <c r="D189" s="1" t="s">
        <v>1176</v>
      </c>
      <c r="E189" s="1" t="s">
        <v>85</v>
      </c>
      <c r="F189" s="1" t="s">
        <v>697</v>
      </c>
      <c r="G189" s="1" t="s">
        <v>1178</v>
      </c>
      <c r="H189" s="1"/>
      <c r="I189" s="1"/>
      <c r="J189" s="1"/>
      <c r="K189" s="1"/>
      <c r="L189" s="7"/>
      <c r="M189" s="7" t="s">
        <v>125</v>
      </c>
      <c r="N189" s="7" t="s">
        <v>90</v>
      </c>
      <c r="O189" s="10"/>
      <c r="P189" s="10"/>
      <c r="Q189" s="7"/>
      <c r="R189" s="7"/>
      <c r="S189" s="7" t="s">
        <v>124</v>
      </c>
      <c r="T189" s="10"/>
      <c r="U189" s="11" t="s">
        <v>3352</v>
      </c>
      <c r="V189" s="11" t="s">
        <v>93</v>
      </c>
      <c r="W189" s="11">
        <v>0</v>
      </c>
      <c r="X189" s="11" t="s">
        <v>93</v>
      </c>
      <c r="Y189" s="11"/>
      <c r="Z189" s="12"/>
      <c r="AA189" s="11"/>
      <c r="AB189" s="11"/>
      <c r="AC189" s="1" t="s">
        <v>3353</v>
      </c>
      <c r="AD189" s="1" t="s">
        <v>3354</v>
      </c>
    </row>
    <row r="190" spans="1:30" ht="187.2" x14ac:dyDescent="0.3">
      <c r="A190" s="1" t="s">
        <v>292</v>
      </c>
      <c r="B190" s="1" t="s">
        <v>4522</v>
      </c>
      <c r="C190" s="1" t="s">
        <v>1073</v>
      </c>
      <c r="D190" s="1" t="s">
        <v>1179</v>
      </c>
      <c r="E190" s="1" t="s">
        <v>85</v>
      </c>
      <c r="F190" s="1" t="s">
        <v>1181</v>
      </c>
      <c r="G190" s="1" t="s">
        <v>1182</v>
      </c>
      <c r="H190" s="1" t="s">
        <v>1183</v>
      </c>
      <c r="I190" s="1"/>
      <c r="J190" s="1" t="s">
        <v>1183</v>
      </c>
      <c r="K190" s="1"/>
      <c r="L190" s="7"/>
      <c r="M190" s="7" t="s">
        <v>125</v>
      </c>
      <c r="N190" s="7" t="s">
        <v>90</v>
      </c>
      <c r="O190" s="10"/>
      <c r="P190" s="10"/>
      <c r="Q190" s="7"/>
      <c r="R190" s="7"/>
      <c r="S190" s="7" t="s">
        <v>124</v>
      </c>
      <c r="T190" s="10"/>
      <c r="U190" s="11" t="s">
        <v>3355</v>
      </c>
      <c r="V190" s="11" t="s">
        <v>93</v>
      </c>
      <c r="W190" s="11">
        <v>0</v>
      </c>
      <c r="X190" s="11" t="s">
        <v>93</v>
      </c>
      <c r="Y190" s="11"/>
      <c r="Z190" s="12"/>
      <c r="AA190" s="11"/>
      <c r="AB190" s="11"/>
      <c r="AC190" s="1" t="s">
        <v>3356</v>
      </c>
      <c r="AD190" s="1" t="s">
        <v>3357</v>
      </c>
    </row>
    <row r="191" spans="1:30" ht="187.2" x14ac:dyDescent="0.3">
      <c r="A191" s="1" t="s">
        <v>292</v>
      </c>
      <c r="B191" s="1" t="s">
        <v>4522</v>
      </c>
      <c r="C191" s="1" t="s">
        <v>1073</v>
      </c>
      <c r="D191" s="1" t="s">
        <v>1184</v>
      </c>
      <c r="E191" s="1" t="s">
        <v>85</v>
      </c>
      <c r="F191" s="1" t="s">
        <v>1186</v>
      </c>
      <c r="G191" s="1" t="s">
        <v>1187</v>
      </c>
      <c r="H191" s="1" t="s">
        <v>1188</v>
      </c>
      <c r="I191" s="1" t="s">
        <v>1189</v>
      </c>
      <c r="J191" s="1" t="s">
        <v>1188</v>
      </c>
      <c r="K191" s="1"/>
      <c r="L191" s="7"/>
      <c r="M191" s="7" t="s">
        <v>125</v>
      </c>
      <c r="N191" s="7" t="s">
        <v>90</v>
      </c>
      <c r="O191" s="10"/>
      <c r="P191" s="10"/>
      <c r="Q191" s="7"/>
      <c r="R191" s="7"/>
      <c r="S191" s="7" t="s">
        <v>124</v>
      </c>
      <c r="T191" s="10"/>
      <c r="U191" s="11" t="s">
        <v>3358</v>
      </c>
      <c r="V191" s="11" t="s">
        <v>93</v>
      </c>
      <c r="W191" s="11">
        <v>0</v>
      </c>
      <c r="X191" s="11" t="s">
        <v>93</v>
      </c>
      <c r="Y191" s="11"/>
      <c r="Z191" s="12"/>
      <c r="AA191" s="11"/>
      <c r="AB191" s="11"/>
      <c r="AC191" s="1" t="s">
        <v>3359</v>
      </c>
      <c r="AD191" s="1" t="s">
        <v>3360</v>
      </c>
    </row>
    <row r="192" spans="1:30" ht="187.2" x14ac:dyDescent="0.3">
      <c r="A192" s="1" t="s">
        <v>292</v>
      </c>
      <c r="B192" s="1" t="s">
        <v>4522</v>
      </c>
      <c r="C192" s="1" t="s">
        <v>1073</v>
      </c>
      <c r="D192" s="1" t="s">
        <v>1190</v>
      </c>
      <c r="E192" s="1" t="s">
        <v>85</v>
      </c>
      <c r="F192" s="1" t="s">
        <v>1192</v>
      </c>
      <c r="G192" s="1" t="s">
        <v>1193</v>
      </c>
      <c r="H192" s="1" t="s">
        <v>1194</v>
      </c>
      <c r="I192" s="1"/>
      <c r="J192" s="1" t="s">
        <v>1194</v>
      </c>
      <c r="K192" s="1"/>
      <c r="L192" s="7"/>
      <c r="M192" s="7" t="s">
        <v>125</v>
      </c>
      <c r="N192" s="7" t="s">
        <v>90</v>
      </c>
      <c r="O192" s="10"/>
      <c r="P192" s="10"/>
      <c r="Q192" s="7"/>
      <c r="R192" s="7"/>
      <c r="S192" s="7" t="s">
        <v>124</v>
      </c>
      <c r="T192" s="10"/>
      <c r="U192" s="11" t="s">
        <v>3361</v>
      </c>
      <c r="V192" s="11" t="s">
        <v>93</v>
      </c>
      <c r="W192" s="11">
        <v>0</v>
      </c>
      <c r="X192" s="11" t="s">
        <v>93</v>
      </c>
      <c r="Y192" s="11"/>
      <c r="Z192" s="12"/>
      <c r="AA192" s="11"/>
      <c r="AB192" s="11"/>
      <c r="AC192" s="1" t="s">
        <v>3362</v>
      </c>
      <c r="AD192" s="1" t="s">
        <v>3363</v>
      </c>
    </row>
    <row r="193" spans="1:30" ht="187.2" x14ac:dyDescent="0.3">
      <c r="A193" s="1" t="s">
        <v>292</v>
      </c>
      <c r="B193" s="1" t="s">
        <v>4522</v>
      </c>
      <c r="C193" s="1" t="s">
        <v>1073</v>
      </c>
      <c r="D193" s="1" t="s">
        <v>1195</v>
      </c>
      <c r="E193" s="1" t="s">
        <v>85</v>
      </c>
      <c r="F193" s="1" t="s">
        <v>1197</v>
      </c>
      <c r="G193" s="1" t="s">
        <v>998</v>
      </c>
      <c r="H193" s="1" t="s">
        <v>1198</v>
      </c>
      <c r="I193" s="1"/>
      <c r="J193" s="1" t="s">
        <v>1198</v>
      </c>
      <c r="K193" s="1"/>
      <c r="L193" s="7"/>
      <c r="M193" s="7" t="s">
        <v>125</v>
      </c>
      <c r="N193" s="7" t="s">
        <v>90</v>
      </c>
      <c r="O193" s="10"/>
      <c r="P193" s="10"/>
      <c r="Q193" s="7"/>
      <c r="R193" s="7"/>
      <c r="S193" s="7" t="s">
        <v>124</v>
      </c>
      <c r="T193" s="10"/>
      <c r="U193" s="11" t="s">
        <v>3364</v>
      </c>
      <c r="V193" s="11" t="s">
        <v>93</v>
      </c>
      <c r="W193" s="11">
        <v>0</v>
      </c>
      <c r="X193" s="11" t="s">
        <v>93</v>
      </c>
      <c r="Y193" s="11"/>
      <c r="Z193" s="12"/>
      <c r="AA193" s="11"/>
      <c r="AB193" s="11"/>
      <c r="AC193" s="1" t="s">
        <v>3365</v>
      </c>
      <c r="AD193" s="1" t="s">
        <v>3366</v>
      </c>
    </row>
    <row r="194" spans="1:30" ht="187.2" x14ac:dyDescent="0.3">
      <c r="A194" s="1" t="s">
        <v>292</v>
      </c>
      <c r="B194" s="1" t="s">
        <v>4522</v>
      </c>
      <c r="C194" s="1" t="s">
        <v>1073</v>
      </c>
      <c r="D194" s="1" t="s">
        <v>1199</v>
      </c>
      <c r="E194" s="1" t="s">
        <v>85</v>
      </c>
      <c r="F194" s="1" t="s">
        <v>1201</v>
      </c>
      <c r="G194" s="1" t="s">
        <v>1202</v>
      </c>
      <c r="H194" s="1" t="s">
        <v>1203</v>
      </c>
      <c r="I194" s="1"/>
      <c r="J194" s="1" t="s">
        <v>1203</v>
      </c>
      <c r="K194" s="1"/>
      <c r="L194" s="7"/>
      <c r="M194" s="7" t="s">
        <v>125</v>
      </c>
      <c r="N194" s="7" t="s">
        <v>90</v>
      </c>
      <c r="O194" s="10"/>
      <c r="P194" s="10"/>
      <c r="Q194" s="7"/>
      <c r="R194" s="7"/>
      <c r="S194" s="7" t="s">
        <v>124</v>
      </c>
      <c r="T194" s="10"/>
      <c r="U194" s="11" t="s">
        <v>3367</v>
      </c>
      <c r="V194" s="11" t="s">
        <v>93</v>
      </c>
      <c r="W194" s="11">
        <v>0</v>
      </c>
      <c r="X194" s="11" t="s">
        <v>93</v>
      </c>
      <c r="Y194" s="11"/>
      <c r="Z194" s="12"/>
      <c r="AA194" s="11"/>
      <c r="AB194" s="11"/>
      <c r="AC194" s="1" t="s">
        <v>3368</v>
      </c>
      <c r="AD194" s="1" t="s">
        <v>3369</v>
      </c>
    </row>
    <row r="195" spans="1:30" ht="187.2" x14ac:dyDescent="0.3">
      <c r="A195" s="1" t="s">
        <v>292</v>
      </c>
      <c r="B195" s="1" t="s">
        <v>4522</v>
      </c>
      <c r="C195" s="1" t="s">
        <v>1073</v>
      </c>
      <c r="D195" s="1" t="s">
        <v>1204</v>
      </c>
      <c r="E195" s="1" t="s">
        <v>85</v>
      </c>
      <c r="F195" s="1" t="s">
        <v>1206</v>
      </c>
      <c r="G195" s="1" t="s">
        <v>1207</v>
      </c>
      <c r="H195" s="1" t="s">
        <v>1208</v>
      </c>
      <c r="I195" s="1" t="s">
        <v>1209</v>
      </c>
      <c r="J195" s="1" t="s">
        <v>1208</v>
      </c>
      <c r="K195" s="1" t="s">
        <v>1206</v>
      </c>
      <c r="L195" s="7"/>
      <c r="M195" s="7" t="s">
        <v>125</v>
      </c>
      <c r="N195" s="7" t="s">
        <v>90</v>
      </c>
      <c r="O195" s="10"/>
      <c r="P195" s="10"/>
      <c r="Q195" s="7"/>
      <c r="R195" s="7"/>
      <c r="S195" s="7" t="s">
        <v>124</v>
      </c>
      <c r="T195" s="10"/>
      <c r="U195" s="11" t="s">
        <v>3370</v>
      </c>
      <c r="V195" s="11" t="s">
        <v>93</v>
      </c>
      <c r="W195" s="11">
        <v>0</v>
      </c>
      <c r="X195" s="11" t="s">
        <v>93</v>
      </c>
      <c r="Y195" s="11"/>
      <c r="Z195" s="12"/>
      <c r="AA195" s="11"/>
      <c r="AB195" s="11"/>
      <c r="AC195" s="1" t="s">
        <v>3371</v>
      </c>
      <c r="AD195" s="1" t="s">
        <v>3372</v>
      </c>
    </row>
    <row r="196" spans="1:30" ht="187.2" x14ac:dyDescent="0.3">
      <c r="A196" s="1" t="s">
        <v>292</v>
      </c>
      <c r="B196" s="1" t="s">
        <v>4522</v>
      </c>
      <c r="C196" s="1" t="s">
        <v>1073</v>
      </c>
      <c r="D196" s="1" t="s">
        <v>1210</v>
      </c>
      <c r="E196" s="1" t="s">
        <v>85</v>
      </c>
      <c r="F196" s="1" t="s">
        <v>1212</v>
      </c>
      <c r="G196" s="1" t="s">
        <v>1213</v>
      </c>
      <c r="H196" s="1" t="s">
        <v>1214</v>
      </c>
      <c r="I196" s="1"/>
      <c r="J196" s="1" t="s">
        <v>1214</v>
      </c>
      <c r="K196" s="1"/>
      <c r="L196" s="7"/>
      <c r="M196" s="7" t="s">
        <v>125</v>
      </c>
      <c r="N196" s="7" t="s">
        <v>90</v>
      </c>
      <c r="O196" s="10"/>
      <c r="P196" s="10"/>
      <c r="Q196" s="7"/>
      <c r="R196" s="7"/>
      <c r="S196" s="7" t="s">
        <v>124</v>
      </c>
      <c r="T196" s="10"/>
      <c r="U196" s="11" t="s">
        <v>3373</v>
      </c>
      <c r="V196" s="11" t="s">
        <v>93</v>
      </c>
      <c r="W196" s="11">
        <v>0</v>
      </c>
      <c r="X196" s="11" t="s">
        <v>93</v>
      </c>
      <c r="Y196" s="11"/>
      <c r="Z196" s="12"/>
      <c r="AA196" s="11"/>
      <c r="AB196" s="11"/>
      <c r="AC196" s="1" t="s">
        <v>3374</v>
      </c>
      <c r="AD196" s="1" t="s">
        <v>3375</v>
      </c>
    </row>
    <row r="197" spans="1:30" ht="187.2" x14ac:dyDescent="0.3">
      <c r="A197" s="1" t="s">
        <v>292</v>
      </c>
      <c r="B197" s="1" t="s">
        <v>4522</v>
      </c>
      <c r="C197" s="1" t="s">
        <v>1073</v>
      </c>
      <c r="D197" s="1" t="s">
        <v>1215</v>
      </c>
      <c r="E197" s="1" t="s">
        <v>85</v>
      </c>
      <c r="F197" s="1" t="s">
        <v>1217</v>
      </c>
      <c r="G197" s="1" t="s">
        <v>1218</v>
      </c>
      <c r="H197" s="1" t="s">
        <v>1219</v>
      </c>
      <c r="I197" s="1" t="s">
        <v>1220</v>
      </c>
      <c r="J197" s="1" t="s">
        <v>1219</v>
      </c>
      <c r="K197" s="1"/>
      <c r="L197" s="7"/>
      <c r="M197" s="7" t="s">
        <v>125</v>
      </c>
      <c r="N197" s="7" t="s">
        <v>90</v>
      </c>
      <c r="O197" s="10"/>
      <c r="P197" s="10"/>
      <c r="Q197" s="7"/>
      <c r="R197" s="7"/>
      <c r="S197" s="7" t="s">
        <v>124</v>
      </c>
      <c r="T197" s="10"/>
      <c r="U197" s="11" t="s">
        <v>3376</v>
      </c>
      <c r="V197" s="11" t="s">
        <v>93</v>
      </c>
      <c r="W197" s="11">
        <v>0</v>
      </c>
      <c r="X197" s="11" t="s">
        <v>93</v>
      </c>
      <c r="Y197" s="11"/>
      <c r="Z197" s="12"/>
      <c r="AA197" s="11"/>
      <c r="AB197" s="11"/>
      <c r="AC197" s="1" t="s">
        <v>3377</v>
      </c>
      <c r="AD197" s="1" t="s">
        <v>3378</v>
      </c>
    </row>
    <row r="198" spans="1:30" ht="187.2" x14ac:dyDescent="0.3">
      <c r="A198" s="1" t="s">
        <v>292</v>
      </c>
      <c r="B198" s="1" t="s">
        <v>4522</v>
      </c>
      <c r="C198" s="1" t="s">
        <v>1073</v>
      </c>
      <c r="D198" s="1" t="s">
        <v>1221</v>
      </c>
      <c r="E198" s="1" t="s">
        <v>85</v>
      </c>
      <c r="F198" s="1" t="s">
        <v>1217</v>
      </c>
      <c r="G198" s="1" t="s">
        <v>1223</v>
      </c>
      <c r="H198" s="1" t="s">
        <v>1214</v>
      </c>
      <c r="I198" s="1"/>
      <c r="J198" s="1" t="s">
        <v>1214</v>
      </c>
      <c r="K198" s="1"/>
      <c r="L198" s="7"/>
      <c r="M198" s="7" t="s">
        <v>125</v>
      </c>
      <c r="N198" s="7" t="s">
        <v>90</v>
      </c>
      <c r="O198" s="10"/>
      <c r="P198" s="10"/>
      <c r="Q198" s="7"/>
      <c r="R198" s="7"/>
      <c r="S198" s="7" t="s">
        <v>124</v>
      </c>
      <c r="T198" s="10"/>
      <c r="U198" s="11" t="s">
        <v>3379</v>
      </c>
      <c r="V198" s="11" t="s">
        <v>93</v>
      </c>
      <c r="W198" s="11">
        <v>0</v>
      </c>
      <c r="X198" s="11" t="s">
        <v>93</v>
      </c>
      <c r="Y198" s="11"/>
      <c r="Z198" s="12"/>
      <c r="AA198" s="11"/>
      <c r="AB198" s="11"/>
      <c r="AC198" s="1" t="s">
        <v>3380</v>
      </c>
      <c r="AD198" s="1" t="s">
        <v>3381</v>
      </c>
    </row>
    <row r="199" spans="1:30" ht="187.2" x14ac:dyDescent="0.3">
      <c r="A199" s="1" t="s">
        <v>292</v>
      </c>
      <c r="B199" s="1" t="s">
        <v>4522</v>
      </c>
      <c r="C199" s="1" t="s">
        <v>1073</v>
      </c>
      <c r="D199" s="1" t="s">
        <v>1224</v>
      </c>
      <c r="E199" s="1" t="s">
        <v>85</v>
      </c>
      <c r="F199" s="1" t="s">
        <v>697</v>
      </c>
      <c r="G199" s="1" t="s">
        <v>1226</v>
      </c>
      <c r="H199" s="1" t="s">
        <v>1227</v>
      </c>
      <c r="I199" s="1" t="s">
        <v>1228</v>
      </c>
      <c r="J199" s="1" t="s">
        <v>1227</v>
      </c>
      <c r="K199" s="1" t="s">
        <v>1229</v>
      </c>
      <c r="L199" s="7"/>
      <c r="M199" s="7" t="s">
        <v>125</v>
      </c>
      <c r="N199" s="7" t="s">
        <v>90</v>
      </c>
      <c r="O199" s="10"/>
      <c r="P199" s="10"/>
      <c r="Q199" s="7"/>
      <c r="R199" s="7"/>
      <c r="S199" s="7" t="s">
        <v>124</v>
      </c>
      <c r="T199" s="10"/>
      <c r="U199" s="11" t="s">
        <v>3382</v>
      </c>
      <c r="V199" s="11" t="s">
        <v>93</v>
      </c>
      <c r="W199" s="11">
        <v>0</v>
      </c>
      <c r="X199" s="11" t="s">
        <v>93</v>
      </c>
      <c r="Y199" s="11"/>
      <c r="Z199" s="12"/>
      <c r="AA199" s="11"/>
      <c r="AB199" s="11"/>
      <c r="AC199" s="1" t="s">
        <v>3383</v>
      </c>
      <c r="AD199" s="1" t="s">
        <v>3384</v>
      </c>
    </row>
    <row r="200" spans="1:30" ht="187.2" x14ac:dyDescent="0.3">
      <c r="A200" s="1" t="s">
        <v>292</v>
      </c>
      <c r="B200" s="1" t="s">
        <v>4522</v>
      </c>
      <c r="C200" s="1" t="s">
        <v>1073</v>
      </c>
      <c r="D200" s="1" t="s">
        <v>1230</v>
      </c>
      <c r="E200" s="1" t="s">
        <v>85</v>
      </c>
      <c r="F200" s="1" t="s">
        <v>1232</v>
      </c>
      <c r="G200" s="1" t="s">
        <v>1233</v>
      </c>
      <c r="H200" s="1" t="s">
        <v>1234</v>
      </c>
      <c r="I200" s="1"/>
      <c r="J200" s="1" t="s">
        <v>1234</v>
      </c>
      <c r="K200" s="1"/>
      <c r="L200" s="7"/>
      <c r="M200" s="7" t="s">
        <v>125</v>
      </c>
      <c r="N200" s="7" t="s">
        <v>90</v>
      </c>
      <c r="O200" s="10"/>
      <c r="P200" s="10"/>
      <c r="Q200" s="7"/>
      <c r="R200" s="7"/>
      <c r="S200" s="7" t="s">
        <v>124</v>
      </c>
      <c r="T200" s="10"/>
      <c r="U200" s="11" t="s">
        <v>3385</v>
      </c>
      <c r="V200" s="11" t="s">
        <v>93</v>
      </c>
      <c r="W200" s="11">
        <v>0</v>
      </c>
      <c r="X200" s="11" t="s">
        <v>93</v>
      </c>
      <c r="Y200" s="11"/>
      <c r="Z200" s="12"/>
      <c r="AA200" s="11"/>
      <c r="AB200" s="11"/>
      <c r="AC200" s="1" t="s">
        <v>3386</v>
      </c>
      <c r="AD200" s="1" t="s">
        <v>3387</v>
      </c>
    </row>
    <row r="201" spans="1:30" ht="187.2" x14ac:dyDescent="0.3">
      <c r="A201" s="1" t="s">
        <v>292</v>
      </c>
      <c r="B201" s="1" t="s">
        <v>4522</v>
      </c>
      <c r="C201" s="1" t="s">
        <v>1073</v>
      </c>
      <c r="D201" s="1" t="s">
        <v>1235</v>
      </c>
      <c r="E201" s="1" t="s">
        <v>85</v>
      </c>
      <c r="F201" s="1" t="s">
        <v>299</v>
      </c>
      <c r="G201" s="1" t="s">
        <v>1237</v>
      </c>
      <c r="H201" s="1" t="s">
        <v>1238</v>
      </c>
      <c r="I201" s="1" t="s">
        <v>1239</v>
      </c>
      <c r="J201" s="1" t="s">
        <v>1238</v>
      </c>
      <c r="K201" s="1"/>
      <c r="L201" s="7"/>
      <c r="M201" s="7" t="s">
        <v>125</v>
      </c>
      <c r="N201" s="7" t="s">
        <v>90</v>
      </c>
      <c r="O201" s="10"/>
      <c r="P201" s="10"/>
      <c r="Q201" s="7"/>
      <c r="R201" s="7"/>
      <c r="S201" s="7" t="s">
        <v>124</v>
      </c>
      <c r="T201" s="10"/>
      <c r="U201" s="11" t="s">
        <v>3388</v>
      </c>
      <c r="V201" s="11" t="s">
        <v>93</v>
      </c>
      <c r="W201" s="11">
        <v>0</v>
      </c>
      <c r="X201" s="11" t="s">
        <v>93</v>
      </c>
      <c r="Y201" s="11"/>
      <c r="Z201" s="12"/>
      <c r="AA201" s="11"/>
      <c r="AB201" s="11"/>
      <c r="AC201" s="1" t="s">
        <v>3389</v>
      </c>
      <c r="AD201" s="1" t="s">
        <v>3390</v>
      </c>
    </row>
    <row r="202" spans="1:30" ht="187.2" x14ac:dyDescent="0.3">
      <c r="A202" s="1" t="s">
        <v>292</v>
      </c>
      <c r="B202" s="1" t="s">
        <v>4522</v>
      </c>
      <c r="C202" s="1" t="s">
        <v>1073</v>
      </c>
      <c r="D202" s="1" t="s">
        <v>1240</v>
      </c>
      <c r="E202" s="1" t="s">
        <v>85</v>
      </c>
      <c r="F202" s="1" t="s">
        <v>1090</v>
      </c>
      <c r="G202" s="1" t="s">
        <v>1242</v>
      </c>
      <c r="H202" s="1" t="s">
        <v>1243</v>
      </c>
      <c r="I202" s="1"/>
      <c r="J202" s="1" t="s">
        <v>1243</v>
      </c>
      <c r="K202" s="1"/>
      <c r="L202" s="7"/>
      <c r="M202" s="7" t="s">
        <v>125</v>
      </c>
      <c r="N202" s="7" t="s">
        <v>90</v>
      </c>
      <c r="O202" s="10"/>
      <c r="P202" s="10"/>
      <c r="Q202" s="7"/>
      <c r="R202" s="7"/>
      <c r="S202" s="7" t="s">
        <v>124</v>
      </c>
      <c r="T202" s="10"/>
      <c r="U202" s="11" t="s">
        <v>3391</v>
      </c>
      <c r="V202" s="11" t="s">
        <v>93</v>
      </c>
      <c r="W202" s="11">
        <v>0</v>
      </c>
      <c r="X202" s="11" t="s">
        <v>93</v>
      </c>
      <c r="Y202" s="11"/>
      <c r="Z202" s="12"/>
      <c r="AA202" s="11"/>
      <c r="AB202" s="11"/>
      <c r="AC202" s="1" t="s">
        <v>3392</v>
      </c>
      <c r="AD202" s="1" t="s">
        <v>3393</v>
      </c>
    </row>
    <row r="203" spans="1:30" ht="187.2" x14ac:dyDescent="0.3">
      <c r="A203" s="1" t="s">
        <v>292</v>
      </c>
      <c r="B203" s="1" t="s">
        <v>4522</v>
      </c>
      <c r="C203" s="1" t="s">
        <v>1073</v>
      </c>
      <c r="D203" s="1" t="s">
        <v>1244</v>
      </c>
      <c r="E203" s="1" t="s">
        <v>85</v>
      </c>
      <c r="F203" s="1" t="s">
        <v>1246</v>
      </c>
      <c r="G203" s="1" t="s">
        <v>1247</v>
      </c>
      <c r="H203" s="1" t="s">
        <v>1248</v>
      </c>
      <c r="I203" s="1"/>
      <c r="J203" s="1" t="s">
        <v>1248</v>
      </c>
      <c r="K203" s="1"/>
      <c r="L203" s="7"/>
      <c r="M203" s="7" t="s">
        <v>125</v>
      </c>
      <c r="N203" s="7" t="s">
        <v>90</v>
      </c>
      <c r="O203" s="10"/>
      <c r="P203" s="10"/>
      <c r="Q203" s="7"/>
      <c r="R203" s="7"/>
      <c r="S203" s="7" t="s">
        <v>124</v>
      </c>
      <c r="T203" s="10"/>
      <c r="U203" s="11" t="s">
        <v>3394</v>
      </c>
      <c r="V203" s="11" t="s">
        <v>93</v>
      </c>
      <c r="W203" s="11">
        <v>0</v>
      </c>
      <c r="X203" s="11" t="s">
        <v>93</v>
      </c>
      <c r="Y203" s="11"/>
      <c r="Z203" s="12"/>
      <c r="AA203" s="11"/>
      <c r="AB203" s="11"/>
      <c r="AC203" s="1" t="s">
        <v>3395</v>
      </c>
      <c r="AD203" s="1" t="s">
        <v>3396</v>
      </c>
    </row>
    <row r="204" spans="1:30" ht="187.2" x14ac:dyDescent="0.3">
      <c r="A204" s="1" t="s">
        <v>292</v>
      </c>
      <c r="B204" s="1" t="s">
        <v>4522</v>
      </c>
      <c r="C204" s="1" t="s">
        <v>1073</v>
      </c>
      <c r="D204" s="1" t="s">
        <v>1249</v>
      </c>
      <c r="E204" s="1" t="s">
        <v>85</v>
      </c>
      <c r="F204" s="1" t="s">
        <v>1251</v>
      </c>
      <c r="G204" s="1" t="s">
        <v>1252</v>
      </c>
      <c r="H204" s="1" t="s">
        <v>1253</v>
      </c>
      <c r="I204" s="1"/>
      <c r="J204" s="1" t="s">
        <v>1253</v>
      </c>
      <c r="K204" s="1"/>
      <c r="L204" s="7"/>
      <c r="M204" s="7" t="s">
        <v>125</v>
      </c>
      <c r="N204" s="7" t="s">
        <v>90</v>
      </c>
      <c r="O204" s="10"/>
      <c r="P204" s="10"/>
      <c r="Q204" s="7"/>
      <c r="R204" s="7"/>
      <c r="S204" s="7" t="s">
        <v>124</v>
      </c>
      <c r="T204" s="10"/>
      <c r="U204" s="11" t="s">
        <v>3397</v>
      </c>
      <c r="V204" s="11" t="s">
        <v>93</v>
      </c>
      <c r="W204" s="11">
        <v>0</v>
      </c>
      <c r="X204" s="11" t="s">
        <v>93</v>
      </c>
      <c r="Y204" s="11"/>
      <c r="Z204" s="12"/>
      <c r="AA204" s="11"/>
      <c r="AB204" s="11"/>
      <c r="AC204" s="1" t="s">
        <v>3398</v>
      </c>
      <c r="AD204" s="1" t="s">
        <v>3399</v>
      </c>
    </row>
    <row r="205" spans="1:30" ht="187.2" x14ac:dyDescent="0.3">
      <c r="A205" s="1" t="s">
        <v>292</v>
      </c>
      <c r="B205" s="1" t="s">
        <v>4522</v>
      </c>
      <c r="C205" s="1" t="s">
        <v>1073</v>
      </c>
      <c r="D205" s="1" t="s">
        <v>1254</v>
      </c>
      <c r="E205" s="1" t="s">
        <v>85</v>
      </c>
      <c r="F205" s="1" t="s">
        <v>1256</v>
      </c>
      <c r="G205" s="1" t="s">
        <v>1257</v>
      </c>
      <c r="H205" s="1" t="s">
        <v>1258</v>
      </c>
      <c r="I205" s="1"/>
      <c r="J205" s="1" t="s">
        <v>1258</v>
      </c>
      <c r="K205" s="1"/>
      <c r="L205" s="7"/>
      <c r="M205" s="7" t="s">
        <v>125</v>
      </c>
      <c r="N205" s="7" t="s">
        <v>90</v>
      </c>
      <c r="O205" s="10"/>
      <c r="P205" s="10"/>
      <c r="Q205" s="7"/>
      <c r="R205" s="7"/>
      <c r="S205" s="7" t="s">
        <v>124</v>
      </c>
      <c r="T205" s="10"/>
      <c r="U205" s="11" t="s">
        <v>3400</v>
      </c>
      <c r="V205" s="11" t="s">
        <v>93</v>
      </c>
      <c r="W205" s="11">
        <v>0</v>
      </c>
      <c r="X205" s="11" t="s">
        <v>93</v>
      </c>
      <c r="Y205" s="11"/>
      <c r="Z205" s="12"/>
      <c r="AA205" s="11"/>
      <c r="AB205" s="11"/>
      <c r="AC205" s="1" t="s">
        <v>3401</v>
      </c>
      <c r="AD205" s="1" t="s">
        <v>3402</v>
      </c>
    </row>
    <row r="206" spans="1:30" ht="187.2" x14ac:dyDescent="0.3">
      <c r="A206" s="1" t="s">
        <v>292</v>
      </c>
      <c r="B206" s="1" t="s">
        <v>4522</v>
      </c>
      <c r="C206" s="1" t="s">
        <v>1073</v>
      </c>
      <c r="D206" s="1" t="s">
        <v>1259</v>
      </c>
      <c r="E206" s="1" t="s">
        <v>85</v>
      </c>
      <c r="F206" s="1"/>
      <c r="G206" s="1"/>
      <c r="H206" s="1"/>
      <c r="I206" s="1"/>
      <c r="J206" s="1"/>
      <c r="K206" s="1"/>
      <c r="L206" s="7"/>
      <c r="M206" s="7" t="s">
        <v>125</v>
      </c>
      <c r="N206" s="7" t="s">
        <v>90</v>
      </c>
      <c r="O206" s="10"/>
      <c r="P206" s="10"/>
      <c r="Q206" s="7"/>
      <c r="R206" s="7"/>
      <c r="S206" s="7" t="s">
        <v>124</v>
      </c>
      <c r="T206" s="10"/>
      <c r="U206" s="11" t="s">
        <v>3403</v>
      </c>
      <c r="V206" s="11" t="s">
        <v>93</v>
      </c>
      <c r="W206" s="11">
        <v>0</v>
      </c>
      <c r="X206" s="11" t="s">
        <v>93</v>
      </c>
      <c r="Y206" s="11"/>
      <c r="Z206" s="12"/>
      <c r="AA206" s="11"/>
      <c r="AB206" s="11"/>
      <c r="AC206" s="1" t="s">
        <v>3404</v>
      </c>
      <c r="AD206" s="1" t="s">
        <v>3405</v>
      </c>
    </row>
    <row r="207" spans="1:30" ht="187.2" x14ac:dyDescent="0.3">
      <c r="A207" s="1" t="s">
        <v>292</v>
      </c>
      <c r="B207" s="1" t="s">
        <v>4522</v>
      </c>
      <c r="C207" s="1" t="s">
        <v>1073</v>
      </c>
      <c r="D207" s="1" t="s">
        <v>1261</v>
      </c>
      <c r="E207" s="1" t="s">
        <v>85</v>
      </c>
      <c r="F207" s="1" t="s">
        <v>1263</v>
      </c>
      <c r="G207" s="1" t="s">
        <v>1264</v>
      </c>
      <c r="H207" s="1" t="s">
        <v>1265</v>
      </c>
      <c r="I207" s="1"/>
      <c r="J207" s="1" t="s">
        <v>1265</v>
      </c>
      <c r="K207" s="1"/>
      <c r="L207" s="7"/>
      <c r="M207" s="7" t="s">
        <v>125</v>
      </c>
      <c r="N207" s="7" t="s">
        <v>90</v>
      </c>
      <c r="O207" s="10"/>
      <c r="P207" s="10"/>
      <c r="Q207" s="7"/>
      <c r="R207" s="7"/>
      <c r="S207" s="7" t="s">
        <v>124</v>
      </c>
      <c r="T207" s="10"/>
      <c r="U207" s="11" t="s">
        <v>3406</v>
      </c>
      <c r="V207" s="11" t="s">
        <v>93</v>
      </c>
      <c r="W207" s="11">
        <v>0</v>
      </c>
      <c r="X207" s="11" t="s">
        <v>93</v>
      </c>
      <c r="Y207" s="11"/>
      <c r="Z207" s="12"/>
      <c r="AA207" s="11"/>
      <c r="AB207" s="11"/>
      <c r="AC207" s="1" t="s">
        <v>3407</v>
      </c>
      <c r="AD207" s="1" t="s">
        <v>3408</v>
      </c>
    </row>
    <row r="208" spans="1:30" ht="187.2" x14ac:dyDescent="0.3">
      <c r="A208" s="1" t="s">
        <v>292</v>
      </c>
      <c r="B208" s="1" t="s">
        <v>4522</v>
      </c>
      <c r="C208" s="1" t="s">
        <v>1073</v>
      </c>
      <c r="D208" s="1" t="s">
        <v>1266</v>
      </c>
      <c r="E208" s="1" t="s">
        <v>85</v>
      </c>
      <c r="F208" s="1" t="s">
        <v>1268</v>
      </c>
      <c r="G208" s="1" t="s">
        <v>1269</v>
      </c>
      <c r="H208" s="1" t="s">
        <v>1270</v>
      </c>
      <c r="I208" s="1"/>
      <c r="J208" s="1" t="s">
        <v>1270</v>
      </c>
      <c r="K208" s="1"/>
      <c r="L208" s="7"/>
      <c r="M208" s="7" t="s">
        <v>125</v>
      </c>
      <c r="N208" s="7" t="s">
        <v>90</v>
      </c>
      <c r="O208" s="10"/>
      <c r="P208" s="10"/>
      <c r="Q208" s="7"/>
      <c r="R208" s="7"/>
      <c r="S208" s="7" t="s">
        <v>124</v>
      </c>
      <c r="T208" s="10"/>
      <c r="U208" s="11" t="s">
        <v>3409</v>
      </c>
      <c r="V208" s="11" t="s">
        <v>93</v>
      </c>
      <c r="W208" s="11">
        <v>0</v>
      </c>
      <c r="X208" s="11" t="s">
        <v>93</v>
      </c>
      <c r="Y208" s="11"/>
      <c r="Z208" s="12"/>
      <c r="AA208" s="11"/>
      <c r="AB208" s="11"/>
      <c r="AC208" s="1" t="s">
        <v>3410</v>
      </c>
      <c r="AD208" s="1" t="s">
        <v>3411</v>
      </c>
    </row>
    <row r="209" spans="1:30" ht="187.2" x14ac:dyDescent="0.3">
      <c r="A209" s="1" t="s">
        <v>292</v>
      </c>
      <c r="B209" s="1" t="s">
        <v>4522</v>
      </c>
      <c r="C209" s="1" t="s">
        <v>1073</v>
      </c>
      <c r="D209" s="1" t="s">
        <v>1271</v>
      </c>
      <c r="E209" s="1" t="s">
        <v>85</v>
      </c>
      <c r="F209" s="1" t="s">
        <v>1273</v>
      </c>
      <c r="G209" s="1" t="s">
        <v>1274</v>
      </c>
      <c r="H209" s="1" t="s">
        <v>1275</v>
      </c>
      <c r="I209" s="1" t="s">
        <v>1276</v>
      </c>
      <c r="J209" s="1" t="s">
        <v>1275</v>
      </c>
      <c r="K209" s="1"/>
      <c r="L209" s="7"/>
      <c r="M209" s="7" t="s">
        <v>125</v>
      </c>
      <c r="N209" s="7" t="s">
        <v>90</v>
      </c>
      <c r="O209" s="10"/>
      <c r="P209" s="10"/>
      <c r="Q209" s="7"/>
      <c r="R209" s="7"/>
      <c r="S209" s="7" t="s">
        <v>124</v>
      </c>
      <c r="T209" s="10"/>
      <c r="U209" s="11" t="s">
        <v>3412</v>
      </c>
      <c r="V209" s="11" t="s">
        <v>93</v>
      </c>
      <c r="W209" s="11">
        <v>0</v>
      </c>
      <c r="X209" s="11" t="s">
        <v>93</v>
      </c>
      <c r="Y209" s="11"/>
      <c r="Z209" s="12"/>
      <c r="AA209" s="11"/>
      <c r="AB209" s="11"/>
      <c r="AC209" s="1" t="s">
        <v>3413</v>
      </c>
      <c r="AD209" s="1" t="s">
        <v>3414</v>
      </c>
    </row>
    <row r="210" spans="1:30" ht="187.2" x14ac:dyDescent="0.3">
      <c r="A210" s="1" t="s">
        <v>292</v>
      </c>
      <c r="B210" s="1" t="s">
        <v>4522</v>
      </c>
      <c r="C210" s="1" t="s">
        <v>1073</v>
      </c>
      <c r="D210" s="1" t="s">
        <v>1277</v>
      </c>
      <c r="E210" s="1" t="s">
        <v>85</v>
      </c>
      <c r="F210" s="1" t="s">
        <v>1279</v>
      </c>
      <c r="G210" s="1" t="s">
        <v>1280</v>
      </c>
      <c r="H210" s="1" t="s">
        <v>1281</v>
      </c>
      <c r="I210" s="1" t="s">
        <v>1282</v>
      </c>
      <c r="J210" s="1" t="s">
        <v>1281</v>
      </c>
      <c r="K210" s="1"/>
      <c r="L210" s="7"/>
      <c r="M210" s="7" t="s">
        <v>125</v>
      </c>
      <c r="N210" s="7" t="s">
        <v>90</v>
      </c>
      <c r="O210" s="10"/>
      <c r="P210" s="10"/>
      <c r="Q210" s="7"/>
      <c r="R210" s="7"/>
      <c r="S210" s="7" t="s">
        <v>124</v>
      </c>
      <c r="T210" s="10"/>
      <c r="U210" s="11" t="s">
        <v>3415</v>
      </c>
      <c r="V210" s="11" t="s">
        <v>93</v>
      </c>
      <c r="W210" s="11">
        <v>0</v>
      </c>
      <c r="X210" s="11" t="s">
        <v>93</v>
      </c>
      <c r="Y210" s="11"/>
      <c r="Z210" s="12"/>
      <c r="AA210" s="11"/>
      <c r="AB210" s="11"/>
      <c r="AC210" s="1" t="s">
        <v>3416</v>
      </c>
      <c r="AD210" s="1" t="s">
        <v>3417</v>
      </c>
    </row>
    <row r="211" spans="1:30" ht="187.2" x14ac:dyDescent="0.3">
      <c r="A211" s="1" t="s">
        <v>292</v>
      </c>
      <c r="B211" s="1" t="s">
        <v>4522</v>
      </c>
      <c r="C211" s="1" t="s">
        <v>1073</v>
      </c>
      <c r="D211" s="1" t="s">
        <v>1283</v>
      </c>
      <c r="E211" s="1" t="s">
        <v>85</v>
      </c>
      <c r="F211" s="1" t="s">
        <v>1285</v>
      </c>
      <c r="G211" s="1" t="s">
        <v>1286</v>
      </c>
      <c r="H211" s="1" t="s">
        <v>1287</v>
      </c>
      <c r="I211" s="1"/>
      <c r="J211" s="1" t="s">
        <v>1287</v>
      </c>
      <c r="K211" s="1"/>
      <c r="L211" s="7"/>
      <c r="M211" s="7" t="s">
        <v>125</v>
      </c>
      <c r="N211" s="7" t="s">
        <v>90</v>
      </c>
      <c r="O211" s="10"/>
      <c r="P211" s="10"/>
      <c r="Q211" s="7"/>
      <c r="R211" s="7"/>
      <c r="S211" s="7" t="s">
        <v>124</v>
      </c>
      <c r="T211" s="10"/>
      <c r="U211" s="11" t="s">
        <v>3418</v>
      </c>
      <c r="V211" s="11" t="s">
        <v>93</v>
      </c>
      <c r="W211" s="11">
        <v>0</v>
      </c>
      <c r="X211" s="11" t="s">
        <v>93</v>
      </c>
      <c r="Y211" s="11"/>
      <c r="Z211" s="12"/>
      <c r="AA211" s="11"/>
      <c r="AB211" s="11"/>
      <c r="AC211" s="1" t="s">
        <v>3419</v>
      </c>
      <c r="AD211" s="1" t="s">
        <v>3420</v>
      </c>
    </row>
    <row r="212" spans="1:30" ht="187.2" x14ac:dyDescent="0.3">
      <c r="A212" s="1" t="s">
        <v>202</v>
      </c>
      <c r="B212" s="1" t="s">
        <v>4510</v>
      </c>
      <c r="C212" s="1" t="s">
        <v>1288</v>
      </c>
      <c r="D212" s="1" t="s">
        <v>1289</v>
      </c>
      <c r="E212" s="1" t="s">
        <v>1290</v>
      </c>
      <c r="F212" s="1" t="s">
        <v>1292</v>
      </c>
      <c r="G212" s="1" t="s">
        <v>892</v>
      </c>
      <c r="H212" s="1" t="s">
        <v>1293</v>
      </c>
      <c r="I212" s="1"/>
      <c r="J212" s="1" t="s">
        <v>1293</v>
      </c>
      <c r="K212" s="1"/>
      <c r="L212" s="7"/>
      <c r="M212" s="7" t="s">
        <v>125</v>
      </c>
      <c r="N212" s="7" t="s">
        <v>90</v>
      </c>
      <c r="O212" s="10"/>
      <c r="P212" s="10"/>
      <c r="Q212" s="7"/>
      <c r="R212" s="7"/>
      <c r="S212" s="7" t="s">
        <v>124</v>
      </c>
      <c r="T212" s="10"/>
      <c r="U212" s="11" t="s">
        <v>3421</v>
      </c>
      <c r="V212" s="11" t="s">
        <v>93</v>
      </c>
      <c r="W212" s="11">
        <v>0</v>
      </c>
      <c r="X212" s="11" t="s">
        <v>93</v>
      </c>
      <c r="Y212" s="11"/>
      <c r="Z212" s="12"/>
      <c r="AA212" s="11"/>
      <c r="AB212" s="11"/>
      <c r="AC212" s="1" t="s">
        <v>3422</v>
      </c>
      <c r="AD212" s="1" t="s">
        <v>3423</v>
      </c>
    </row>
    <row r="213" spans="1:30" ht="187.2" x14ac:dyDescent="0.3">
      <c r="A213" s="1" t="s">
        <v>202</v>
      </c>
      <c r="B213" s="1" t="s">
        <v>4510</v>
      </c>
      <c r="C213" s="1" t="s">
        <v>1288</v>
      </c>
      <c r="D213" s="1" t="s">
        <v>1294</v>
      </c>
      <c r="E213" s="1" t="s">
        <v>1290</v>
      </c>
      <c r="F213" s="1" t="s">
        <v>1296</v>
      </c>
      <c r="G213" s="1" t="s">
        <v>1297</v>
      </c>
      <c r="H213" s="1" t="s">
        <v>1298</v>
      </c>
      <c r="I213" s="1"/>
      <c r="J213" s="1" t="s">
        <v>1298</v>
      </c>
      <c r="K213" s="1" t="s">
        <v>1299</v>
      </c>
      <c r="L213" s="7"/>
      <c r="M213" s="7" t="s">
        <v>125</v>
      </c>
      <c r="N213" s="7" t="s">
        <v>90</v>
      </c>
      <c r="O213" s="10"/>
      <c r="P213" s="10"/>
      <c r="Q213" s="7"/>
      <c r="R213" s="7"/>
      <c r="S213" s="7" t="s">
        <v>124</v>
      </c>
      <c r="T213" s="10"/>
      <c r="U213" s="11" t="s">
        <v>3424</v>
      </c>
      <c r="V213" s="11" t="s">
        <v>93</v>
      </c>
      <c r="W213" s="11">
        <v>0</v>
      </c>
      <c r="X213" s="11" t="s">
        <v>93</v>
      </c>
      <c r="Y213" s="11"/>
      <c r="Z213" s="12"/>
      <c r="AA213" s="11"/>
      <c r="AB213" s="11"/>
      <c r="AC213" s="1" t="s">
        <v>3425</v>
      </c>
      <c r="AD213" s="1" t="s">
        <v>3426</v>
      </c>
    </row>
    <row r="214" spans="1:30" ht="187.2" x14ac:dyDescent="0.3">
      <c r="A214" s="1" t="s">
        <v>202</v>
      </c>
      <c r="B214" s="1" t="s">
        <v>4510</v>
      </c>
      <c r="C214" s="1" t="s">
        <v>1288</v>
      </c>
      <c r="D214" s="1" t="s">
        <v>1300</v>
      </c>
      <c r="E214" s="1" t="s">
        <v>1290</v>
      </c>
      <c r="F214" s="1" t="s">
        <v>1302</v>
      </c>
      <c r="G214" s="1" t="s">
        <v>1303</v>
      </c>
      <c r="H214" s="1" t="s">
        <v>1304</v>
      </c>
      <c r="I214" s="1"/>
      <c r="J214" s="1" t="s">
        <v>1304</v>
      </c>
      <c r="K214" s="1"/>
      <c r="L214" s="7"/>
      <c r="M214" s="7" t="s">
        <v>125</v>
      </c>
      <c r="N214" s="7" t="s">
        <v>90</v>
      </c>
      <c r="O214" s="10"/>
      <c r="P214" s="10"/>
      <c r="Q214" s="7"/>
      <c r="R214" s="7"/>
      <c r="S214" s="7" t="s">
        <v>124</v>
      </c>
      <c r="T214" s="10"/>
      <c r="U214" s="11" t="s">
        <v>3427</v>
      </c>
      <c r="V214" s="11" t="s">
        <v>93</v>
      </c>
      <c r="W214" s="11">
        <v>0</v>
      </c>
      <c r="X214" s="11" t="s">
        <v>93</v>
      </c>
      <c r="Y214" s="11"/>
      <c r="Z214" s="12"/>
      <c r="AA214" s="11"/>
      <c r="AB214" s="11"/>
      <c r="AC214" s="1" t="s">
        <v>3428</v>
      </c>
      <c r="AD214" s="1" t="s">
        <v>3429</v>
      </c>
    </row>
    <row r="215" spans="1:30" ht="187.2" x14ac:dyDescent="0.3">
      <c r="A215" s="1" t="s">
        <v>202</v>
      </c>
      <c r="B215" s="1" t="s">
        <v>4510</v>
      </c>
      <c r="C215" s="1" t="s">
        <v>1288</v>
      </c>
      <c r="D215" s="1" t="s">
        <v>1305</v>
      </c>
      <c r="E215" s="1" t="s">
        <v>1290</v>
      </c>
      <c r="F215" s="1" t="s">
        <v>1307</v>
      </c>
      <c r="G215" s="1" t="s">
        <v>424</v>
      </c>
      <c r="H215" s="1" t="s">
        <v>1308</v>
      </c>
      <c r="I215" s="1"/>
      <c r="J215" s="1" t="s">
        <v>1308</v>
      </c>
      <c r="K215" s="1"/>
      <c r="L215" s="7"/>
      <c r="M215" s="7" t="s">
        <v>125</v>
      </c>
      <c r="N215" s="7" t="s">
        <v>90</v>
      </c>
      <c r="O215" s="10"/>
      <c r="P215" s="10"/>
      <c r="Q215" s="7"/>
      <c r="R215" s="7"/>
      <c r="S215" s="7" t="s">
        <v>124</v>
      </c>
      <c r="T215" s="10"/>
      <c r="U215" s="11" t="s">
        <v>3430</v>
      </c>
      <c r="V215" s="11" t="s">
        <v>93</v>
      </c>
      <c r="W215" s="11">
        <v>0</v>
      </c>
      <c r="X215" s="11" t="s">
        <v>93</v>
      </c>
      <c r="Y215" s="11"/>
      <c r="Z215" s="12"/>
      <c r="AA215" s="11"/>
      <c r="AB215" s="11"/>
      <c r="AC215" s="1" t="s">
        <v>3431</v>
      </c>
      <c r="AD215" s="1" t="s">
        <v>3432</v>
      </c>
    </row>
    <row r="216" spans="1:30" ht="187.2" x14ac:dyDescent="0.3">
      <c r="A216" s="1" t="s">
        <v>202</v>
      </c>
      <c r="B216" s="1" t="s">
        <v>4510</v>
      </c>
      <c r="C216" s="1" t="s">
        <v>1288</v>
      </c>
      <c r="D216" s="1" t="s">
        <v>1309</v>
      </c>
      <c r="E216" s="1" t="s">
        <v>1290</v>
      </c>
      <c r="F216" s="1" t="s">
        <v>1307</v>
      </c>
      <c r="G216" s="1" t="s">
        <v>1311</v>
      </c>
      <c r="H216" s="1" t="s">
        <v>1149</v>
      </c>
      <c r="I216" s="1"/>
      <c r="J216" s="1" t="s">
        <v>1149</v>
      </c>
      <c r="K216" s="1"/>
      <c r="L216" s="7"/>
      <c r="M216" s="7" t="s">
        <v>125</v>
      </c>
      <c r="N216" s="7" t="s">
        <v>90</v>
      </c>
      <c r="O216" s="10"/>
      <c r="P216" s="10"/>
      <c r="Q216" s="7"/>
      <c r="R216" s="7"/>
      <c r="S216" s="7" t="s">
        <v>124</v>
      </c>
      <c r="T216" s="10"/>
      <c r="U216" s="11" t="s">
        <v>3433</v>
      </c>
      <c r="V216" s="11" t="s">
        <v>93</v>
      </c>
      <c r="W216" s="11">
        <v>0</v>
      </c>
      <c r="X216" s="11" t="s">
        <v>93</v>
      </c>
      <c r="Y216" s="11"/>
      <c r="Z216" s="12"/>
      <c r="AA216" s="11"/>
      <c r="AB216" s="11"/>
      <c r="AC216" s="1" t="s">
        <v>3434</v>
      </c>
      <c r="AD216" s="1" t="s">
        <v>3435</v>
      </c>
    </row>
    <row r="217" spans="1:30" ht="187.2" x14ac:dyDescent="0.3">
      <c r="A217" s="1" t="s">
        <v>202</v>
      </c>
      <c r="B217" s="1" t="s">
        <v>4510</v>
      </c>
      <c r="C217" s="1" t="s">
        <v>1288</v>
      </c>
      <c r="D217" s="1" t="s">
        <v>1312</v>
      </c>
      <c r="E217" s="1" t="s">
        <v>1290</v>
      </c>
      <c r="F217" s="1" t="s">
        <v>1314</v>
      </c>
      <c r="G217" s="1" t="s">
        <v>1315</v>
      </c>
      <c r="H217" s="1" t="s">
        <v>1316</v>
      </c>
      <c r="I217" s="1"/>
      <c r="J217" s="1" t="s">
        <v>1316</v>
      </c>
      <c r="K217" s="1"/>
      <c r="L217" s="7"/>
      <c r="M217" s="7" t="s">
        <v>125</v>
      </c>
      <c r="N217" s="7" t="s">
        <v>90</v>
      </c>
      <c r="O217" s="10"/>
      <c r="P217" s="10"/>
      <c r="Q217" s="7"/>
      <c r="R217" s="7"/>
      <c r="S217" s="7" t="s">
        <v>124</v>
      </c>
      <c r="T217" s="10"/>
      <c r="U217" s="11" t="s">
        <v>3436</v>
      </c>
      <c r="V217" s="11" t="s">
        <v>93</v>
      </c>
      <c r="W217" s="11">
        <v>0</v>
      </c>
      <c r="X217" s="11" t="s">
        <v>93</v>
      </c>
      <c r="Y217" s="11"/>
      <c r="Z217" s="12"/>
      <c r="AA217" s="11"/>
      <c r="AB217" s="11"/>
      <c r="AC217" s="1" t="s">
        <v>3437</v>
      </c>
      <c r="AD217" s="1" t="s">
        <v>3438</v>
      </c>
    </row>
    <row r="218" spans="1:30" ht="187.2" x14ac:dyDescent="0.3">
      <c r="A218" s="1" t="s">
        <v>202</v>
      </c>
      <c r="B218" s="1" t="s">
        <v>4510</v>
      </c>
      <c r="C218" s="1" t="s">
        <v>1288</v>
      </c>
      <c r="D218" s="1" t="s">
        <v>1317</v>
      </c>
      <c r="E218" s="1" t="s">
        <v>1290</v>
      </c>
      <c r="F218" s="1" t="s">
        <v>1319</v>
      </c>
      <c r="G218" s="1" t="s">
        <v>1320</v>
      </c>
      <c r="H218" s="1" t="s">
        <v>1321</v>
      </c>
      <c r="I218" s="1"/>
      <c r="J218" s="1" t="s">
        <v>1321</v>
      </c>
      <c r="K218" s="1"/>
      <c r="L218" s="7"/>
      <c r="M218" s="7" t="s">
        <v>125</v>
      </c>
      <c r="N218" s="7" t="s">
        <v>90</v>
      </c>
      <c r="O218" s="10"/>
      <c r="P218" s="10"/>
      <c r="Q218" s="7"/>
      <c r="R218" s="7"/>
      <c r="S218" s="7" t="s">
        <v>124</v>
      </c>
      <c r="T218" s="10"/>
      <c r="U218" s="11" t="s">
        <v>3439</v>
      </c>
      <c r="V218" s="11" t="s">
        <v>93</v>
      </c>
      <c r="W218" s="11">
        <v>0</v>
      </c>
      <c r="X218" s="11" t="s">
        <v>93</v>
      </c>
      <c r="Y218" s="11"/>
      <c r="Z218" s="12"/>
      <c r="AA218" s="11"/>
      <c r="AB218" s="11"/>
      <c r="AC218" s="1" t="s">
        <v>3440</v>
      </c>
      <c r="AD218" s="1" t="s">
        <v>3441</v>
      </c>
    </row>
    <row r="219" spans="1:30" ht="187.2" x14ac:dyDescent="0.3">
      <c r="A219" s="1" t="s">
        <v>202</v>
      </c>
      <c r="B219" s="1" t="s">
        <v>4510</v>
      </c>
      <c r="C219" s="1" t="s">
        <v>1288</v>
      </c>
      <c r="D219" s="1" t="s">
        <v>1322</v>
      </c>
      <c r="E219" s="1" t="s">
        <v>1290</v>
      </c>
      <c r="F219" s="1" t="s">
        <v>1324</v>
      </c>
      <c r="G219" s="1"/>
      <c r="H219" s="1" t="s">
        <v>1325</v>
      </c>
      <c r="I219" s="1" t="s">
        <v>1326</v>
      </c>
      <c r="J219" s="1" t="s">
        <v>1325</v>
      </c>
      <c r="K219" s="1"/>
      <c r="L219" s="7"/>
      <c r="M219" s="7" t="s">
        <v>125</v>
      </c>
      <c r="N219" s="7" t="s">
        <v>90</v>
      </c>
      <c r="O219" s="10"/>
      <c r="P219" s="10"/>
      <c r="Q219" s="7"/>
      <c r="R219" s="7"/>
      <c r="S219" s="7" t="s">
        <v>124</v>
      </c>
      <c r="T219" s="10"/>
      <c r="U219" s="11" t="s">
        <v>3442</v>
      </c>
      <c r="V219" s="11" t="s">
        <v>93</v>
      </c>
      <c r="W219" s="11">
        <v>0</v>
      </c>
      <c r="X219" s="11" t="s">
        <v>93</v>
      </c>
      <c r="Y219" s="11"/>
      <c r="Z219" s="12"/>
      <c r="AA219" s="11"/>
      <c r="AB219" s="11"/>
      <c r="AC219" s="1" t="s">
        <v>3443</v>
      </c>
      <c r="AD219" s="1" t="s">
        <v>3444</v>
      </c>
    </row>
    <row r="220" spans="1:30" ht="187.2" x14ac:dyDescent="0.3">
      <c r="A220" s="1" t="s">
        <v>202</v>
      </c>
      <c r="B220" s="1" t="s">
        <v>4510</v>
      </c>
      <c r="C220" s="1" t="s">
        <v>1288</v>
      </c>
      <c r="D220" s="1" t="s">
        <v>1327</v>
      </c>
      <c r="E220" s="1" t="s">
        <v>1290</v>
      </c>
      <c r="F220" s="1" t="s">
        <v>1329</v>
      </c>
      <c r="G220" s="1" t="s">
        <v>1330</v>
      </c>
      <c r="H220" s="1" t="s">
        <v>1331</v>
      </c>
      <c r="I220" s="1"/>
      <c r="J220" s="1" t="s">
        <v>1331</v>
      </c>
      <c r="K220" s="1"/>
      <c r="L220" s="7"/>
      <c r="M220" s="7" t="s">
        <v>125</v>
      </c>
      <c r="N220" s="7" t="s">
        <v>90</v>
      </c>
      <c r="O220" s="10"/>
      <c r="P220" s="10"/>
      <c r="Q220" s="7"/>
      <c r="R220" s="7"/>
      <c r="S220" s="7" t="s">
        <v>124</v>
      </c>
      <c r="T220" s="10"/>
      <c r="U220" s="11" t="s">
        <v>3445</v>
      </c>
      <c r="V220" s="11" t="s">
        <v>93</v>
      </c>
      <c r="W220" s="11">
        <v>0</v>
      </c>
      <c r="X220" s="11" t="s">
        <v>93</v>
      </c>
      <c r="Y220" s="11"/>
      <c r="Z220" s="12"/>
      <c r="AA220" s="11"/>
      <c r="AB220" s="11"/>
      <c r="AC220" s="1" t="s">
        <v>3446</v>
      </c>
      <c r="AD220" s="1" t="s">
        <v>3447</v>
      </c>
    </row>
    <row r="221" spans="1:30" ht="187.2" x14ac:dyDescent="0.3">
      <c r="A221" s="1" t="s">
        <v>202</v>
      </c>
      <c r="B221" s="1" t="s">
        <v>4510</v>
      </c>
      <c r="C221" s="1" t="s">
        <v>1288</v>
      </c>
      <c r="D221" s="1" t="s">
        <v>1332</v>
      </c>
      <c r="E221" s="1" t="s">
        <v>1290</v>
      </c>
      <c r="F221" s="1" t="s">
        <v>1334</v>
      </c>
      <c r="G221" s="1" t="s">
        <v>1037</v>
      </c>
      <c r="H221" s="1" t="s">
        <v>1335</v>
      </c>
      <c r="I221" s="1"/>
      <c r="J221" s="1" t="s">
        <v>1335</v>
      </c>
      <c r="K221" s="1"/>
      <c r="L221" s="7"/>
      <c r="M221" s="7" t="s">
        <v>125</v>
      </c>
      <c r="N221" s="7" t="s">
        <v>90</v>
      </c>
      <c r="O221" s="10"/>
      <c r="P221" s="10"/>
      <c r="Q221" s="7"/>
      <c r="R221" s="7"/>
      <c r="S221" s="7" t="s">
        <v>124</v>
      </c>
      <c r="T221" s="10"/>
      <c r="U221" s="11" t="s">
        <v>3448</v>
      </c>
      <c r="V221" s="11" t="s">
        <v>93</v>
      </c>
      <c r="W221" s="11">
        <v>0</v>
      </c>
      <c r="X221" s="11" t="s">
        <v>93</v>
      </c>
      <c r="Y221" s="11"/>
      <c r="Z221" s="12"/>
      <c r="AA221" s="11"/>
      <c r="AB221" s="11"/>
      <c r="AC221" s="1" t="s">
        <v>3449</v>
      </c>
      <c r="AD221" s="1" t="s">
        <v>3450</v>
      </c>
    </row>
    <row r="222" spans="1:30" ht="187.2" x14ac:dyDescent="0.3">
      <c r="A222" s="1" t="s">
        <v>202</v>
      </c>
      <c r="B222" s="1" t="s">
        <v>4510</v>
      </c>
      <c r="C222" s="1" t="s">
        <v>1288</v>
      </c>
      <c r="D222" s="1" t="s">
        <v>1336</v>
      </c>
      <c r="E222" s="1" t="s">
        <v>1290</v>
      </c>
      <c r="F222" s="1" t="s">
        <v>687</v>
      </c>
      <c r="G222" s="1" t="s">
        <v>1338</v>
      </c>
      <c r="H222" s="1" t="s">
        <v>1339</v>
      </c>
      <c r="I222" s="1"/>
      <c r="J222" s="1" t="s">
        <v>1339</v>
      </c>
      <c r="K222" s="1" t="s">
        <v>1340</v>
      </c>
      <c r="L222" s="7"/>
      <c r="M222" s="7" t="s">
        <v>125</v>
      </c>
      <c r="N222" s="7" t="s">
        <v>90</v>
      </c>
      <c r="O222" s="10"/>
      <c r="P222" s="10"/>
      <c r="Q222" s="7"/>
      <c r="R222" s="7"/>
      <c r="S222" s="7" t="s">
        <v>124</v>
      </c>
      <c r="T222" s="10"/>
      <c r="U222" s="11" t="s">
        <v>3451</v>
      </c>
      <c r="V222" s="11" t="s">
        <v>93</v>
      </c>
      <c r="W222" s="11">
        <v>0</v>
      </c>
      <c r="X222" s="11" t="s">
        <v>93</v>
      </c>
      <c r="Y222" s="11"/>
      <c r="Z222" s="12"/>
      <c r="AA222" s="11"/>
      <c r="AB222" s="11"/>
      <c r="AC222" s="1" t="s">
        <v>3452</v>
      </c>
      <c r="AD222" s="1" t="s">
        <v>3453</v>
      </c>
    </row>
    <row r="223" spans="1:30" ht="187.2" x14ac:dyDescent="0.3">
      <c r="A223" s="1" t="s">
        <v>202</v>
      </c>
      <c r="B223" s="1" t="s">
        <v>4510</v>
      </c>
      <c r="C223" s="1" t="s">
        <v>1288</v>
      </c>
      <c r="D223" s="1" t="s">
        <v>1341</v>
      </c>
      <c r="E223" s="1" t="s">
        <v>1290</v>
      </c>
      <c r="F223" s="1" t="s">
        <v>697</v>
      </c>
      <c r="G223" s="1" t="s">
        <v>1343</v>
      </c>
      <c r="H223" s="1" t="s">
        <v>1344</v>
      </c>
      <c r="I223" s="1"/>
      <c r="J223" s="1" t="s">
        <v>1344</v>
      </c>
      <c r="K223" s="1"/>
      <c r="L223" s="7"/>
      <c r="M223" s="7" t="s">
        <v>125</v>
      </c>
      <c r="N223" s="7" t="s">
        <v>90</v>
      </c>
      <c r="O223" s="10"/>
      <c r="P223" s="10"/>
      <c r="Q223" s="7"/>
      <c r="R223" s="7"/>
      <c r="S223" s="7" t="s">
        <v>124</v>
      </c>
      <c r="T223" s="10"/>
      <c r="U223" s="11" t="s">
        <v>3454</v>
      </c>
      <c r="V223" s="11" t="s">
        <v>93</v>
      </c>
      <c r="W223" s="11">
        <v>0</v>
      </c>
      <c r="X223" s="11" t="s">
        <v>93</v>
      </c>
      <c r="Y223" s="11"/>
      <c r="Z223" s="12"/>
      <c r="AA223" s="11"/>
      <c r="AB223" s="11"/>
      <c r="AC223" s="1" t="s">
        <v>3455</v>
      </c>
      <c r="AD223" s="1" t="s">
        <v>3456</v>
      </c>
    </row>
    <row r="224" spans="1:30" ht="187.2" x14ac:dyDescent="0.3">
      <c r="A224" s="1" t="s">
        <v>202</v>
      </c>
      <c r="B224" s="1" t="s">
        <v>4510</v>
      </c>
      <c r="C224" s="1" t="s">
        <v>1288</v>
      </c>
      <c r="D224" s="1" t="s">
        <v>1345</v>
      </c>
      <c r="E224" s="1" t="s">
        <v>1290</v>
      </c>
      <c r="F224" s="1" t="s">
        <v>1347</v>
      </c>
      <c r="G224" s="1" t="s">
        <v>1348</v>
      </c>
      <c r="H224" s="1" t="s">
        <v>1349</v>
      </c>
      <c r="I224" s="1"/>
      <c r="J224" s="1" t="s">
        <v>1349</v>
      </c>
      <c r="K224" s="1"/>
      <c r="L224" s="7"/>
      <c r="M224" s="7" t="s">
        <v>125</v>
      </c>
      <c r="N224" s="7" t="s">
        <v>90</v>
      </c>
      <c r="O224" s="10"/>
      <c r="P224" s="10"/>
      <c r="Q224" s="7"/>
      <c r="R224" s="7"/>
      <c r="S224" s="7" t="s">
        <v>124</v>
      </c>
      <c r="T224" s="10"/>
      <c r="U224" s="11" t="s">
        <v>3457</v>
      </c>
      <c r="V224" s="11" t="s">
        <v>93</v>
      </c>
      <c r="W224" s="11">
        <v>0</v>
      </c>
      <c r="X224" s="11" t="s">
        <v>93</v>
      </c>
      <c r="Y224" s="11"/>
      <c r="Z224" s="12"/>
      <c r="AA224" s="11"/>
      <c r="AB224" s="11"/>
      <c r="AC224" s="1" t="s">
        <v>3458</v>
      </c>
      <c r="AD224" s="1" t="s">
        <v>3459</v>
      </c>
    </row>
    <row r="225" spans="1:30" ht="187.2" x14ac:dyDescent="0.3">
      <c r="A225" s="1" t="s">
        <v>202</v>
      </c>
      <c r="B225" s="1" t="s">
        <v>4510</v>
      </c>
      <c r="C225" s="1" t="s">
        <v>1288</v>
      </c>
      <c r="D225" s="1" t="s">
        <v>1350</v>
      </c>
      <c r="E225" s="1" t="s">
        <v>1290</v>
      </c>
      <c r="F225" s="1" t="s">
        <v>1347</v>
      </c>
      <c r="G225" s="1" t="s">
        <v>1352</v>
      </c>
      <c r="H225" s="1" t="s">
        <v>1353</v>
      </c>
      <c r="I225" s="1"/>
      <c r="J225" s="1" t="s">
        <v>1353</v>
      </c>
      <c r="K225" s="1"/>
      <c r="L225" s="7"/>
      <c r="M225" s="7" t="s">
        <v>125</v>
      </c>
      <c r="N225" s="7" t="s">
        <v>90</v>
      </c>
      <c r="O225" s="10"/>
      <c r="P225" s="10"/>
      <c r="Q225" s="7"/>
      <c r="R225" s="7"/>
      <c r="S225" s="7" t="s">
        <v>124</v>
      </c>
      <c r="T225" s="10"/>
      <c r="U225" s="11" t="s">
        <v>3460</v>
      </c>
      <c r="V225" s="11" t="s">
        <v>93</v>
      </c>
      <c r="W225" s="11">
        <v>0</v>
      </c>
      <c r="X225" s="11" t="s">
        <v>93</v>
      </c>
      <c r="Y225" s="11"/>
      <c r="Z225" s="12"/>
      <c r="AA225" s="11"/>
      <c r="AB225" s="11"/>
      <c r="AC225" s="1" t="s">
        <v>3461</v>
      </c>
      <c r="AD225" s="1" t="s">
        <v>3462</v>
      </c>
    </row>
    <row r="226" spans="1:30" ht="187.2" x14ac:dyDescent="0.3">
      <c r="A226" s="1" t="s">
        <v>202</v>
      </c>
      <c r="B226" s="1" t="s">
        <v>4510</v>
      </c>
      <c r="C226" s="1" t="s">
        <v>1288</v>
      </c>
      <c r="D226" s="1" t="s">
        <v>1354</v>
      </c>
      <c r="E226" s="1" t="s">
        <v>1290</v>
      </c>
      <c r="F226" s="1" t="s">
        <v>1356</v>
      </c>
      <c r="G226" s="1" t="s">
        <v>1357</v>
      </c>
      <c r="H226" s="1"/>
      <c r="I226" s="1"/>
      <c r="J226" s="1"/>
      <c r="K226" s="1"/>
      <c r="L226" s="7"/>
      <c r="M226" s="7" t="s">
        <v>125</v>
      </c>
      <c r="N226" s="7" t="s">
        <v>90</v>
      </c>
      <c r="O226" s="10"/>
      <c r="P226" s="10"/>
      <c r="Q226" s="7"/>
      <c r="R226" s="7"/>
      <c r="S226" s="7" t="s">
        <v>124</v>
      </c>
      <c r="T226" s="10"/>
      <c r="U226" s="11" t="s">
        <v>3463</v>
      </c>
      <c r="V226" s="11" t="s">
        <v>93</v>
      </c>
      <c r="W226" s="11">
        <v>0</v>
      </c>
      <c r="X226" s="11" t="s">
        <v>93</v>
      </c>
      <c r="Y226" s="11"/>
      <c r="Z226" s="12"/>
      <c r="AA226" s="11"/>
      <c r="AB226" s="11"/>
      <c r="AC226" s="1" t="s">
        <v>3464</v>
      </c>
      <c r="AD226" s="1" t="s">
        <v>3465</v>
      </c>
    </row>
    <row r="227" spans="1:30" ht="187.2" x14ac:dyDescent="0.3">
      <c r="A227" s="1" t="s">
        <v>202</v>
      </c>
      <c r="B227" s="1" t="s">
        <v>4510</v>
      </c>
      <c r="C227" s="1" t="s">
        <v>1288</v>
      </c>
      <c r="D227" s="1" t="s">
        <v>1358</v>
      </c>
      <c r="E227" s="1" t="s">
        <v>1290</v>
      </c>
      <c r="F227" s="1" t="s">
        <v>1360</v>
      </c>
      <c r="G227" s="1" t="s">
        <v>1361</v>
      </c>
      <c r="H227" s="1" t="s">
        <v>1362</v>
      </c>
      <c r="I227" s="1" t="s">
        <v>1363</v>
      </c>
      <c r="J227" s="1" t="s">
        <v>1362</v>
      </c>
      <c r="K227" s="1" t="s">
        <v>1364</v>
      </c>
      <c r="L227" s="7"/>
      <c r="M227" s="7" t="s">
        <v>125</v>
      </c>
      <c r="N227" s="7" t="s">
        <v>90</v>
      </c>
      <c r="O227" s="10"/>
      <c r="P227" s="10"/>
      <c r="Q227" s="7"/>
      <c r="R227" s="7"/>
      <c r="S227" s="7" t="s">
        <v>124</v>
      </c>
      <c r="T227" s="10"/>
      <c r="U227" s="11" t="s">
        <v>3466</v>
      </c>
      <c r="V227" s="11" t="s">
        <v>93</v>
      </c>
      <c r="W227" s="11">
        <v>0</v>
      </c>
      <c r="X227" s="11" t="s">
        <v>93</v>
      </c>
      <c r="Y227" s="11"/>
      <c r="Z227" s="12"/>
      <c r="AA227" s="11"/>
      <c r="AB227" s="11"/>
      <c r="AC227" s="1" t="s">
        <v>3467</v>
      </c>
      <c r="AD227" s="1" t="s">
        <v>3468</v>
      </c>
    </row>
    <row r="228" spans="1:30" ht="187.2" x14ac:dyDescent="0.3">
      <c r="A228" s="1" t="s">
        <v>202</v>
      </c>
      <c r="B228" s="1" t="s">
        <v>4510</v>
      </c>
      <c r="C228" s="1" t="s">
        <v>1288</v>
      </c>
      <c r="D228" s="1" t="s">
        <v>1365</v>
      </c>
      <c r="E228" s="1" t="s">
        <v>1290</v>
      </c>
      <c r="F228" s="1" t="s">
        <v>1367</v>
      </c>
      <c r="G228" s="1" t="s">
        <v>738</v>
      </c>
      <c r="H228" s="1" t="s">
        <v>1368</v>
      </c>
      <c r="I228" s="1"/>
      <c r="J228" s="1" t="s">
        <v>1368</v>
      </c>
      <c r="K228" s="1"/>
      <c r="L228" s="7"/>
      <c r="M228" s="7" t="s">
        <v>125</v>
      </c>
      <c r="N228" s="7" t="s">
        <v>90</v>
      </c>
      <c r="O228" s="10"/>
      <c r="P228" s="10"/>
      <c r="Q228" s="7"/>
      <c r="R228" s="7"/>
      <c r="S228" s="7" t="s">
        <v>124</v>
      </c>
      <c r="T228" s="10"/>
      <c r="U228" s="11" t="s">
        <v>3469</v>
      </c>
      <c r="V228" s="11" t="s">
        <v>93</v>
      </c>
      <c r="W228" s="11">
        <v>0</v>
      </c>
      <c r="X228" s="11" t="s">
        <v>93</v>
      </c>
      <c r="Y228" s="11"/>
      <c r="Z228" s="12"/>
      <c r="AA228" s="11"/>
      <c r="AB228" s="11"/>
      <c r="AC228" s="1" t="s">
        <v>3470</v>
      </c>
      <c r="AD228" s="1" t="s">
        <v>3471</v>
      </c>
    </row>
    <row r="229" spans="1:30" ht="187.2" x14ac:dyDescent="0.3">
      <c r="A229" s="1" t="s">
        <v>202</v>
      </c>
      <c r="B229" s="1" t="s">
        <v>4510</v>
      </c>
      <c r="C229" s="1" t="s">
        <v>1288</v>
      </c>
      <c r="D229" s="1" t="s">
        <v>1369</v>
      </c>
      <c r="E229" s="1" t="s">
        <v>1290</v>
      </c>
      <c r="F229" s="1" t="s">
        <v>625</v>
      </c>
      <c r="G229" s="1" t="s">
        <v>1371</v>
      </c>
      <c r="H229" s="1"/>
      <c r="I229" s="1"/>
      <c r="J229" s="1"/>
      <c r="K229" s="1"/>
      <c r="L229" s="7"/>
      <c r="M229" s="7" t="s">
        <v>125</v>
      </c>
      <c r="N229" s="7" t="s">
        <v>90</v>
      </c>
      <c r="O229" s="10"/>
      <c r="P229" s="10"/>
      <c r="Q229" s="7"/>
      <c r="R229" s="7"/>
      <c r="S229" s="7" t="s">
        <v>124</v>
      </c>
      <c r="T229" s="10"/>
      <c r="U229" s="11" t="s">
        <v>3472</v>
      </c>
      <c r="V229" s="11" t="s">
        <v>93</v>
      </c>
      <c r="W229" s="11">
        <v>0</v>
      </c>
      <c r="X229" s="11" t="s">
        <v>93</v>
      </c>
      <c r="Y229" s="11"/>
      <c r="Z229" s="12"/>
      <c r="AA229" s="11"/>
      <c r="AB229" s="11"/>
      <c r="AC229" s="1" t="s">
        <v>3473</v>
      </c>
      <c r="AD229" s="1" t="s">
        <v>3474</v>
      </c>
    </row>
    <row r="230" spans="1:30" ht="187.2" x14ac:dyDescent="0.3">
      <c r="A230" s="1" t="s">
        <v>202</v>
      </c>
      <c r="B230" s="1" t="s">
        <v>4510</v>
      </c>
      <c r="C230" s="1" t="s">
        <v>1288</v>
      </c>
      <c r="D230" s="1" t="s">
        <v>1372</v>
      </c>
      <c r="E230" s="1" t="s">
        <v>1290</v>
      </c>
      <c r="F230" s="1" t="s">
        <v>1374</v>
      </c>
      <c r="G230" s="1" t="s">
        <v>1375</v>
      </c>
      <c r="H230" s="1" t="s">
        <v>1376</v>
      </c>
      <c r="I230" s="1"/>
      <c r="J230" s="1" t="s">
        <v>1376</v>
      </c>
      <c r="K230" s="1"/>
      <c r="L230" s="7"/>
      <c r="M230" s="7" t="s">
        <v>125</v>
      </c>
      <c r="N230" s="7" t="s">
        <v>90</v>
      </c>
      <c r="O230" s="10"/>
      <c r="P230" s="10"/>
      <c r="Q230" s="7"/>
      <c r="R230" s="7"/>
      <c r="S230" s="7" t="s">
        <v>124</v>
      </c>
      <c r="T230" s="10"/>
      <c r="U230" s="11" t="s">
        <v>3475</v>
      </c>
      <c r="V230" s="11" t="s">
        <v>93</v>
      </c>
      <c r="W230" s="11">
        <v>0</v>
      </c>
      <c r="X230" s="11" t="s">
        <v>93</v>
      </c>
      <c r="Y230" s="11"/>
      <c r="Z230" s="12"/>
      <c r="AA230" s="11"/>
      <c r="AB230" s="11"/>
      <c r="AC230" s="1" t="s">
        <v>3476</v>
      </c>
      <c r="AD230" s="1" t="s">
        <v>3477</v>
      </c>
    </row>
    <row r="231" spans="1:30" ht="187.2" x14ac:dyDescent="0.3">
      <c r="A231" s="1" t="s">
        <v>202</v>
      </c>
      <c r="B231" s="1" t="s">
        <v>4510</v>
      </c>
      <c r="C231" s="1" t="s">
        <v>1288</v>
      </c>
      <c r="D231" s="1" t="s">
        <v>1377</v>
      </c>
      <c r="E231" s="1" t="s">
        <v>1290</v>
      </c>
      <c r="F231" s="1" t="s">
        <v>428</v>
      </c>
      <c r="G231" s="1" t="s">
        <v>1379</v>
      </c>
      <c r="H231" s="1" t="s">
        <v>1380</v>
      </c>
      <c r="I231" s="1"/>
      <c r="J231" s="1" t="s">
        <v>1380</v>
      </c>
      <c r="K231" s="1"/>
      <c r="L231" s="7"/>
      <c r="M231" s="7" t="s">
        <v>125</v>
      </c>
      <c r="N231" s="7" t="s">
        <v>90</v>
      </c>
      <c r="O231" s="10"/>
      <c r="P231" s="10"/>
      <c r="Q231" s="7"/>
      <c r="R231" s="7"/>
      <c r="S231" s="7" t="s">
        <v>124</v>
      </c>
      <c r="T231" s="10"/>
      <c r="U231" s="11" t="s">
        <v>3478</v>
      </c>
      <c r="V231" s="11" t="s">
        <v>93</v>
      </c>
      <c r="W231" s="11">
        <v>0</v>
      </c>
      <c r="X231" s="11" t="s">
        <v>93</v>
      </c>
      <c r="Y231" s="11"/>
      <c r="Z231" s="12"/>
      <c r="AA231" s="11"/>
      <c r="AB231" s="11"/>
      <c r="AC231" s="1" t="s">
        <v>3479</v>
      </c>
      <c r="AD231" s="1" t="s">
        <v>3480</v>
      </c>
    </row>
    <row r="232" spans="1:30" ht="187.2" x14ac:dyDescent="0.3">
      <c r="A232" s="1" t="s">
        <v>202</v>
      </c>
      <c r="B232" s="1" t="s">
        <v>4510</v>
      </c>
      <c r="C232" s="1" t="s">
        <v>1288</v>
      </c>
      <c r="D232" s="1" t="s">
        <v>1381</v>
      </c>
      <c r="E232" s="1" t="s">
        <v>1290</v>
      </c>
      <c r="F232" s="1" t="s">
        <v>1383</v>
      </c>
      <c r="G232" s="1" t="s">
        <v>1384</v>
      </c>
      <c r="H232" s="1" t="s">
        <v>1385</v>
      </c>
      <c r="I232" s="1"/>
      <c r="J232" s="1" t="s">
        <v>1385</v>
      </c>
      <c r="K232" s="1"/>
      <c r="L232" s="7"/>
      <c r="M232" s="7" t="s">
        <v>125</v>
      </c>
      <c r="N232" s="7" t="s">
        <v>90</v>
      </c>
      <c r="O232" s="10"/>
      <c r="P232" s="10"/>
      <c r="Q232" s="7"/>
      <c r="R232" s="7"/>
      <c r="S232" s="7" t="s">
        <v>124</v>
      </c>
      <c r="T232" s="10"/>
      <c r="U232" s="11" t="s">
        <v>3481</v>
      </c>
      <c r="V232" s="11" t="s">
        <v>93</v>
      </c>
      <c r="W232" s="11">
        <v>0</v>
      </c>
      <c r="X232" s="11" t="s">
        <v>93</v>
      </c>
      <c r="Y232" s="11"/>
      <c r="Z232" s="12"/>
      <c r="AA232" s="11"/>
      <c r="AB232" s="11"/>
      <c r="AC232" s="1" t="s">
        <v>3482</v>
      </c>
      <c r="AD232" s="1" t="s">
        <v>3483</v>
      </c>
    </row>
    <row r="233" spans="1:30" ht="187.2" x14ac:dyDescent="0.3">
      <c r="A233" s="1" t="s">
        <v>202</v>
      </c>
      <c r="B233" s="1" t="s">
        <v>4510</v>
      </c>
      <c r="C233" s="1" t="s">
        <v>1288</v>
      </c>
      <c r="D233" s="1" t="s">
        <v>1386</v>
      </c>
      <c r="E233" s="1" t="s">
        <v>1290</v>
      </c>
      <c r="F233" s="1" t="s">
        <v>1383</v>
      </c>
      <c r="G233" s="1" t="s">
        <v>1388</v>
      </c>
      <c r="H233" s="1" t="s">
        <v>1389</v>
      </c>
      <c r="I233" s="1"/>
      <c r="J233" s="1" t="s">
        <v>1389</v>
      </c>
      <c r="K233" s="1"/>
      <c r="L233" s="7"/>
      <c r="M233" s="7" t="s">
        <v>125</v>
      </c>
      <c r="N233" s="7" t="s">
        <v>90</v>
      </c>
      <c r="O233" s="10"/>
      <c r="P233" s="10"/>
      <c r="Q233" s="7"/>
      <c r="R233" s="7"/>
      <c r="S233" s="7" t="s">
        <v>124</v>
      </c>
      <c r="T233" s="10"/>
      <c r="U233" s="11" t="s">
        <v>3484</v>
      </c>
      <c r="V233" s="11" t="s">
        <v>93</v>
      </c>
      <c r="W233" s="11">
        <v>0</v>
      </c>
      <c r="X233" s="11" t="s">
        <v>93</v>
      </c>
      <c r="Y233" s="11"/>
      <c r="Z233" s="12"/>
      <c r="AA233" s="11"/>
      <c r="AB233" s="11"/>
      <c r="AC233" s="1" t="s">
        <v>3485</v>
      </c>
      <c r="AD233" s="1" t="s">
        <v>3486</v>
      </c>
    </row>
    <row r="234" spans="1:30" ht="187.2" x14ac:dyDescent="0.3">
      <c r="A234" s="1" t="s">
        <v>202</v>
      </c>
      <c r="B234" s="1" t="s">
        <v>4510</v>
      </c>
      <c r="C234" s="1" t="s">
        <v>1288</v>
      </c>
      <c r="D234" s="1" t="s">
        <v>1390</v>
      </c>
      <c r="E234" s="1" t="s">
        <v>1290</v>
      </c>
      <c r="F234" s="1" t="s">
        <v>299</v>
      </c>
      <c r="G234" s="1" t="s">
        <v>1392</v>
      </c>
      <c r="H234" s="1" t="s">
        <v>1393</v>
      </c>
      <c r="I234" s="1"/>
      <c r="J234" s="1" t="s">
        <v>1393</v>
      </c>
      <c r="K234" s="1"/>
      <c r="L234" s="7"/>
      <c r="M234" s="7" t="s">
        <v>125</v>
      </c>
      <c r="N234" s="7" t="s">
        <v>90</v>
      </c>
      <c r="O234" s="10"/>
      <c r="P234" s="10"/>
      <c r="Q234" s="7"/>
      <c r="R234" s="7"/>
      <c r="S234" s="7" t="s">
        <v>124</v>
      </c>
      <c r="T234" s="10"/>
      <c r="U234" s="11" t="s">
        <v>3487</v>
      </c>
      <c r="V234" s="11" t="s">
        <v>93</v>
      </c>
      <c r="W234" s="11">
        <v>0</v>
      </c>
      <c r="X234" s="11" t="s">
        <v>93</v>
      </c>
      <c r="Y234" s="11"/>
      <c r="Z234" s="12"/>
      <c r="AA234" s="11"/>
      <c r="AB234" s="11"/>
      <c r="AC234" s="1" t="s">
        <v>3488</v>
      </c>
      <c r="AD234" s="1" t="s">
        <v>3489</v>
      </c>
    </row>
    <row r="235" spans="1:30" ht="187.2" x14ac:dyDescent="0.3">
      <c r="A235" s="1" t="s">
        <v>202</v>
      </c>
      <c r="B235" s="1" t="s">
        <v>4510</v>
      </c>
      <c r="C235" s="1" t="s">
        <v>1288</v>
      </c>
      <c r="D235" s="1" t="s">
        <v>1394</v>
      </c>
      <c r="E235" s="1" t="s">
        <v>1290</v>
      </c>
      <c r="F235" s="1" t="s">
        <v>1396</v>
      </c>
      <c r="G235" s="1" t="s">
        <v>259</v>
      </c>
      <c r="H235" s="1" t="s">
        <v>1397</v>
      </c>
      <c r="I235" s="1"/>
      <c r="J235" s="1" t="s">
        <v>1397</v>
      </c>
      <c r="K235" s="1"/>
      <c r="L235" s="7"/>
      <c r="M235" s="7" t="s">
        <v>125</v>
      </c>
      <c r="N235" s="7" t="s">
        <v>90</v>
      </c>
      <c r="O235" s="10"/>
      <c r="P235" s="10"/>
      <c r="Q235" s="7"/>
      <c r="R235" s="7"/>
      <c r="S235" s="7" t="s">
        <v>124</v>
      </c>
      <c r="T235" s="10"/>
      <c r="U235" s="11" t="s">
        <v>3490</v>
      </c>
      <c r="V235" s="11" t="s">
        <v>93</v>
      </c>
      <c r="W235" s="11">
        <v>0</v>
      </c>
      <c r="X235" s="11" t="s">
        <v>93</v>
      </c>
      <c r="Y235" s="11"/>
      <c r="Z235" s="12"/>
      <c r="AA235" s="11"/>
      <c r="AB235" s="11"/>
      <c r="AC235" s="1" t="s">
        <v>3491</v>
      </c>
      <c r="AD235" s="1" t="s">
        <v>3492</v>
      </c>
    </row>
    <row r="236" spans="1:30" ht="187.2" x14ac:dyDescent="0.3">
      <c r="A236" s="1" t="s">
        <v>202</v>
      </c>
      <c r="B236" s="1" t="s">
        <v>4510</v>
      </c>
      <c r="C236" s="1" t="s">
        <v>1288</v>
      </c>
      <c r="D236" s="1" t="s">
        <v>1398</v>
      </c>
      <c r="E236" s="1" t="s">
        <v>1290</v>
      </c>
      <c r="F236" s="1" t="s">
        <v>1400</v>
      </c>
      <c r="G236" s="1" t="s">
        <v>1401</v>
      </c>
      <c r="H236" s="1" t="s">
        <v>1402</v>
      </c>
      <c r="I236" s="1" t="s">
        <v>1403</v>
      </c>
      <c r="J236" s="1" t="s">
        <v>1402</v>
      </c>
      <c r="K236" s="1"/>
      <c r="L236" s="7"/>
      <c r="M236" s="7" t="s">
        <v>125</v>
      </c>
      <c r="N236" s="7" t="s">
        <v>90</v>
      </c>
      <c r="O236" s="10"/>
      <c r="P236" s="10"/>
      <c r="Q236" s="7"/>
      <c r="R236" s="7"/>
      <c r="S236" s="7" t="s">
        <v>124</v>
      </c>
      <c r="T236" s="10"/>
      <c r="U236" s="11" t="s">
        <v>3493</v>
      </c>
      <c r="V236" s="11" t="s">
        <v>93</v>
      </c>
      <c r="W236" s="11">
        <v>0</v>
      </c>
      <c r="X236" s="11" t="s">
        <v>93</v>
      </c>
      <c r="Y236" s="11"/>
      <c r="Z236" s="12"/>
      <c r="AA236" s="11"/>
      <c r="AB236" s="11"/>
      <c r="AC236" s="1" t="s">
        <v>3494</v>
      </c>
      <c r="AD236" s="1" t="s">
        <v>3495</v>
      </c>
    </row>
    <row r="237" spans="1:30" ht="187.2" x14ac:dyDescent="0.3">
      <c r="A237" s="1" t="s">
        <v>202</v>
      </c>
      <c r="B237" s="1" t="s">
        <v>4510</v>
      </c>
      <c r="C237" s="1" t="s">
        <v>1288</v>
      </c>
      <c r="D237" s="1" t="s">
        <v>1404</v>
      </c>
      <c r="E237" s="1" t="s">
        <v>1290</v>
      </c>
      <c r="F237" s="1" t="s">
        <v>1406</v>
      </c>
      <c r="G237" s="1" t="s">
        <v>1407</v>
      </c>
      <c r="H237" s="1" t="s">
        <v>1408</v>
      </c>
      <c r="I237" s="1" t="s">
        <v>1409</v>
      </c>
      <c r="J237" s="1" t="s">
        <v>1408</v>
      </c>
      <c r="K237" s="1"/>
      <c r="L237" s="7"/>
      <c r="M237" s="7" t="s">
        <v>125</v>
      </c>
      <c r="N237" s="7" t="s">
        <v>90</v>
      </c>
      <c r="O237" s="10"/>
      <c r="P237" s="10"/>
      <c r="Q237" s="7"/>
      <c r="R237" s="7"/>
      <c r="S237" s="7" t="s">
        <v>124</v>
      </c>
      <c r="T237" s="10"/>
      <c r="U237" s="11" t="s">
        <v>3496</v>
      </c>
      <c r="V237" s="11" t="s">
        <v>93</v>
      </c>
      <c r="W237" s="11">
        <v>0</v>
      </c>
      <c r="X237" s="11" t="s">
        <v>93</v>
      </c>
      <c r="Y237" s="11"/>
      <c r="Z237" s="12"/>
      <c r="AA237" s="11"/>
      <c r="AB237" s="11"/>
      <c r="AC237" s="1" t="s">
        <v>3497</v>
      </c>
      <c r="AD237" s="1" t="s">
        <v>3498</v>
      </c>
    </row>
    <row r="238" spans="1:30" ht="187.2" x14ac:dyDescent="0.3">
      <c r="A238" s="1" t="s">
        <v>202</v>
      </c>
      <c r="B238" s="1" t="s">
        <v>4510</v>
      </c>
      <c r="C238" s="1" t="s">
        <v>1288</v>
      </c>
      <c r="D238" s="1" t="s">
        <v>1410</v>
      </c>
      <c r="E238" s="1" t="s">
        <v>1290</v>
      </c>
      <c r="F238" s="1" t="s">
        <v>1412</v>
      </c>
      <c r="G238" s="1" t="s">
        <v>1413</v>
      </c>
      <c r="H238" s="1" t="s">
        <v>1414</v>
      </c>
      <c r="I238" s="1"/>
      <c r="J238" s="1" t="s">
        <v>1414</v>
      </c>
      <c r="K238" s="1"/>
      <c r="L238" s="7"/>
      <c r="M238" s="7" t="s">
        <v>125</v>
      </c>
      <c r="N238" s="7" t="s">
        <v>90</v>
      </c>
      <c r="O238" s="10"/>
      <c r="P238" s="10"/>
      <c r="Q238" s="7"/>
      <c r="R238" s="7"/>
      <c r="S238" s="7" t="s">
        <v>124</v>
      </c>
      <c r="T238" s="10"/>
      <c r="U238" s="11" t="s">
        <v>3499</v>
      </c>
      <c r="V238" s="11" t="s">
        <v>93</v>
      </c>
      <c r="W238" s="11">
        <v>0</v>
      </c>
      <c r="X238" s="11" t="s">
        <v>93</v>
      </c>
      <c r="Y238" s="11"/>
      <c r="Z238" s="12"/>
      <c r="AA238" s="11"/>
      <c r="AB238" s="11"/>
      <c r="AC238" s="1" t="s">
        <v>3500</v>
      </c>
      <c r="AD238" s="1" t="s">
        <v>3501</v>
      </c>
    </row>
    <row r="239" spans="1:30" ht="187.2" x14ac:dyDescent="0.3">
      <c r="A239" s="1" t="s">
        <v>202</v>
      </c>
      <c r="B239" s="1" t="s">
        <v>4510</v>
      </c>
      <c r="C239" s="1" t="s">
        <v>1288</v>
      </c>
      <c r="D239" s="1" t="s">
        <v>1415</v>
      </c>
      <c r="E239" s="1" t="s">
        <v>1290</v>
      </c>
      <c r="F239" s="1" t="s">
        <v>1417</v>
      </c>
      <c r="G239" s="1" t="s">
        <v>1384</v>
      </c>
      <c r="H239" s="1" t="s">
        <v>1418</v>
      </c>
      <c r="I239" s="1"/>
      <c r="J239" s="1" t="s">
        <v>1418</v>
      </c>
      <c r="K239" s="1"/>
      <c r="L239" s="7"/>
      <c r="M239" s="7" t="s">
        <v>125</v>
      </c>
      <c r="N239" s="7" t="s">
        <v>90</v>
      </c>
      <c r="O239" s="10"/>
      <c r="P239" s="10"/>
      <c r="Q239" s="7"/>
      <c r="R239" s="7"/>
      <c r="S239" s="7" t="s">
        <v>124</v>
      </c>
      <c r="T239" s="10"/>
      <c r="U239" s="11" t="s">
        <v>3502</v>
      </c>
      <c r="V239" s="11" t="s">
        <v>93</v>
      </c>
      <c r="W239" s="11">
        <v>0</v>
      </c>
      <c r="X239" s="11" t="s">
        <v>93</v>
      </c>
      <c r="Y239" s="11"/>
      <c r="Z239" s="12"/>
      <c r="AA239" s="11"/>
      <c r="AB239" s="11"/>
      <c r="AC239" s="1" t="s">
        <v>3503</v>
      </c>
      <c r="AD239" s="1" t="s">
        <v>3504</v>
      </c>
    </row>
    <row r="240" spans="1:30" ht="187.2" x14ac:dyDescent="0.3">
      <c r="A240" s="1" t="s">
        <v>202</v>
      </c>
      <c r="B240" s="1" t="s">
        <v>4510</v>
      </c>
      <c r="C240" s="1" t="s">
        <v>1288</v>
      </c>
      <c r="D240" s="1" t="s">
        <v>1419</v>
      </c>
      <c r="E240" s="1" t="s">
        <v>1290</v>
      </c>
      <c r="F240" s="1" t="s">
        <v>1421</v>
      </c>
      <c r="G240" s="1" t="s">
        <v>881</v>
      </c>
      <c r="H240" s="1" t="s">
        <v>1422</v>
      </c>
      <c r="I240" s="1"/>
      <c r="J240" s="1" t="s">
        <v>1422</v>
      </c>
      <c r="K240" s="1"/>
      <c r="L240" s="7"/>
      <c r="M240" s="7" t="s">
        <v>125</v>
      </c>
      <c r="N240" s="7" t="s">
        <v>90</v>
      </c>
      <c r="O240" s="10"/>
      <c r="P240" s="10"/>
      <c r="Q240" s="7"/>
      <c r="R240" s="7"/>
      <c r="S240" s="7" t="s">
        <v>124</v>
      </c>
      <c r="T240" s="10"/>
      <c r="U240" s="11" t="s">
        <v>3505</v>
      </c>
      <c r="V240" s="11" t="s">
        <v>93</v>
      </c>
      <c r="W240" s="11">
        <v>0</v>
      </c>
      <c r="X240" s="11" t="s">
        <v>93</v>
      </c>
      <c r="Y240" s="11"/>
      <c r="Z240" s="12"/>
      <c r="AA240" s="11"/>
      <c r="AB240" s="11"/>
      <c r="AC240" s="1" t="s">
        <v>3506</v>
      </c>
      <c r="AD240" s="1" t="s">
        <v>3507</v>
      </c>
    </row>
    <row r="241" spans="1:30" ht="187.2" x14ac:dyDescent="0.3">
      <c r="A241" s="1" t="s">
        <v>202</v>
      </c>
      <c r="B241" s="1" t="s">
        <v>4510</v>
      </c>
      <c r="C241" s="1" t="s">
        <v>1288</v>
      </c>
      <c r="D241" s="1" t="s">
        <v>1423</v>
      </c>
      <c r="E241" s="1" t="s">
        <v>1290</v>
      </c>
      <c r="F241" s="1" t="s">
        <v>1421</v>
      </c>
      <c r="G241" s="1" t="s">
        <v>1425</v>
      </c>
      <c r="H241" s="1" t="s">
        <v>1426</v>
      </c>
      <c r="I241" s="1"/>
      <c r="J241" s="1" t="s">
        <v>1426</v>
      </c>
      <c r="K241" s="1"/>
      <c r="L241" s="7"/>
      <c r="M241" s="7" t="s">
        <v>125</v>
      </c>
      <c r="N241" s="7" t="s">
        <v>90</v>
      </c>
      <c r="O241" s="10"/>
      <c r="P241" s="10"/>
      <c r="Q241" s="7"/>
      <c r="R241" s="7"/>
      <c r="S241" s="7" t="s">
        <v>124</v>
      </c>
      <c r="T241" s="10"/>
      <c r="U241" s="11" t="s">
        <v>3508</v>
      </c>
      <c r="V241" s="11" t="s">
        <v>93</v>
      </c>
      <c r="W241" s="11">
        <v>0</v>
      </c>
      <c r="X241" s="11" t="s">
        <v>93</v>
      </c>
      <c r="Y241" s="11"/>
      <c r="Z241" s="12"/>
      <c r="AA241" s="11"/>
      <c r="AB241" s="11"/>
      <c r="AC241" s="1" t="s">
        <v>3509</v>
      </c>
      <c r="AD241" s="1" t="s">
        <v>3510</v>
      </c>
    </row>
    <row r="242" spans="1:30" ht="187.2" x14ac:dyDescent="0.3">
      <c r="A242" s="1" t="s">
        <v>202</v>
      </c>
      <c r="B242" s="1" t="s">
        <v>4510</v>
      </c>
      <c r="C242" s="1" t="s">
        <v>1288</v>
      </c>
      <c r="D242" s="1" t="s">
        <v>1427</v>
      </c>
      <c r="E242" s="1" t="s">
        <v>1290</v>
      </c>
      <c r="F242" s="1" t="s">
        <v>311</v>
      </c>
      <c r="G242" s="1" t="s">
        <v>611</v>
      </c>
      <c r="H242" s="1" t="s">
        <v>1429</v>
      </c>
      <c r="I242" s="1"/>
      <c r="J242" s="1" t="s">
        <v>1429</v>
      </c>
      <c r="K242" s="1"/>
      <c r="L242" s="7"/>
      <c r="M242" s="7" t="s">
        <v>125</v>
      </c>
      <c r="N242" s="7" t="s">
        <v>90</v>
      </c>
      <c r="O242" s="10"/>
      <c r="P242" s="10"/>
      <c r="Q242" s="7"/>
      <c r="R242" s="7"/>
      <c r="S242" s="7" t="s">
        <v>124</v>
      </c>
      <c r="T242" s="10"/>
      <c r="U242" s="11" t="s">
        <v>3511</v>
      </c>
      <c r="V242" s="11" t="s">
        <v>93</v>
      </c>
      <c r="W242" s="11">
        <v>0</v>
      </c>
      <c r="X242" s="11" t="s">
        <v>93</v>
      </c>
      <c r="Y242" s="11"/>
      <c r="Z242" s="12"/>
      <c r="AA242" s="11"/>
      <c r="AB242" s="11"/>
      <c r="AC242" s="1" t="s">
        <v>3512</v>
      </c>
      <c r="AD242" s="1" t="s">
        <v>3513</v>
      </c>
    </row>
    <row r="243" spans="1:30" ht="187.2" x14ac:dyDescent="0.3">
      <c r="A243" s="1" t="s">
        <v>202</v>
      </c>
      <c r="B243" s="1" t="s">
        <v>4510</v>
      </c>
      <c r="C243" s="1" t="s">
        <v>1288</v>
      </c>
      <c r="D243" s="1" t="s">
        <v>1430</v>
      </c>
      <c r="E243" s="1" t="s">
        <v>1290</v>
      </c>
      <c r="F243" s="1" t="s">
        <v>1432</v>
      </c>
      <c r="G243" s="1" t="s">
        <v>1433</v>
      </c>
      <c r="H243" s="1" t="s">
        <v>1434</v>
      </c>
      <c r="I243" s="1" t="s">
        <v>1435</v>
      </c>
      <c r="J243" s="1" t="s">
        <v>1434</v>
      </c>
      <c r="K243" s="1"/>
      <c r="L243" s="7"/>
      <c r="M243" s="7" t="s">
        <v>125</v>
      </c>
      <c r="N243" s="7" t="s">
        <v>90</v>
      </c>
      <c r="O243" s="10"/>
      <c r="P243" s="10"/>
      <c r="Q243" s="7"/>
      <c r="R243" s="7"/>
      <c r="S243" s="7" t="s">
        <v>124</v>
      </c>
      <c r="T243" s="10"/>
      <c r="U243" s="11" t="s">
        <v>3514</v>
      </c>
      <c r="V243" s="11" t="s">
        <v>93</v>
      </c>
      <c r="W243" s="11">
        <v>0</v>
      </c>
      <c r="X243" s="11" t="s">
        <v>93</v>
      </c>
      <c r="Y243" s="11"/>
      <c r="Z243" s="12"/>
      <c r="AA243" s="11"/>
      <c r="AB243" s="11"/>
      <c r="AC243" s="1" t="s">
        <v>3515</v>
      </c>
      <c r="AD243" s="1" t="s">
        <v>3516</v>
      </c>
    </row>
    <row r="244" spans="1:30" ht="187.2" x14ac:dyDescent="0.3">
      <c r="A244" s="1" t="s">
        <v>202</v>
      </c>
      <c r="B244" s="1" t="s">
        <v>4510</v>
      </c>
      <c r="C244" s="1" t="s">
        <v>1288</v>
      </c>
      <c r="D244" s="1" t="s">
        <v>1436</v>
      </c>
      <c r="E244" s="1" t="s">
        <v>1290</v>
      </c>
      <c r="F244" s="1" t="s">
        <v>1438</v>
      </c>
      <c r="G244" s="1" t="s">
        <v>1439</v>
      </c>
      <c r="H244" s="1" t="s">
        <v>1440</v>
      </c>
      <c r="I244" s="1"/>
      <c r="J244" s="1" t="s">
        <v>1440</v>
      </c>
      <c r="K244" s="1"/>
      <c r="L244" s="7"/>
      <c r="M244" s="7" t="s">
        <v>125</v>
      </c>
      <c r="N244" s="7" t="s">
        <v>90</v>
      </c>
      <c r="O244" s="10"/>
      <c r="P244" s="10"/>
      <c r="Q244" s="7"/>
      <c r="R244" s="7"/>
      <c r="S244" s="7" t="s">
        <v>124</v>
      </c>
      <c r="T244" s="10"/>
      <c r="U244" s="11" t="s">
        <v>3517</v>
      </c>
      <c r="V244" s="11" t="s">
        <v>93</v>
      </c>
      <c r="W244" s="11">
        <v>0</v>
      </c>
      <c r="X244" s="11" t="s">
        <v>93</v>
      </c>
      <c r="Y244" s="11"/>
      <c r="Z244" s="12"/>
      <c r="AA244" s="11"/>
      <c r="AB244" s="11"/>
      <c r="AC244" s="1" t="s">
        <v>3518</v>
      </c>
      <c r="AD244" s="1" t="s">
        <v>3519</v>
      </c>
    </row>
    <row r="245" spans="1:30" ht="187.2" x14ac:dyDescent="0.3">
      <c r="A245" s="1" t="s">
        <v>202</v>
      </c>
      <c r="B245" s="1" t="s">
        <v>4510</v>
      </c>
      <c r="C245" s="1" t="s">
        <v>1288</v>
      </c>
      <c r="D245" s="1" t="s">
        <v>1441</v>
      </c>
      <c r="E245" s="1" t="s">
        <v>1290</v>
      </c>
      <c r="F245" s="1" t="s">
        <v>1356</v>
      </c>
      <c r="G245" s="1" t="s">
        <v>1443</v>
      </c>
      <c r="H245" s="1" t="s">
        <v>1444</v>
      </c>
      <c r="I245" s="1"/>
      <c r="J245" s="1" t="s">
        <v>1444</v>
      </c>
      <c r="K245" s="1"/>
      <c r="L245" s="7"/>
      <c r="M245" s="7" t="s">
        <v>125</v>
      </c>
      <c r="N245" s="7" t="s">
        <v>90</v>
      </c>
      <c r="O245" s="10"/>
      <c r="P245" s="10"/>
      <c r="Q245" s="7"/>
      <c r="R245" s="7"/>
      <c r="S245" s="7" t="s">
        <v>124</v>
      </c>
      <c r="T245" s="10"/>
      <c r="U245" s="11" t="s">
        <v>3520</v>
      </c>
      <c r="V245" s="11" t="s">
        <v>93</v>
      </c>
      <c r="W245" s="11">
        <v>0</v>
      </c>
      <c r="X245" s="11" t="s">
        <v>93</v>
      </c>
      <c r="Y245" s="11"/>
      <c r="Z245" s="12"/>
      <c r="AA245" s="11"/>
      <c r="AB245" s="11"/>
      <c r="AC245" s="1" t="s">
        <v>3521</v>
      </c>
      <c r="AD245" s="1" t="s">
        <v>3522</v>
      </c>
    </row>
    <row r="246" spans="1:30" ht="187.2" x14ac:dyDescent="0.3">
      <c r="A246" s="1" t="s">
        <v>202</v>
      </c>
      <c r="B246" s="1" t="s">
        <v>4510</v>
      </c>
      <c r="C246" s="1" t="s">
        <v>1288</v>
      </c>
      <c r="D246" s="1" t="s">
        <v>1445</v>
      </c>
      <c r="E246" s="1" t="s">
        <v>1290</v>
      </c>
      <c r="F246" s="1" t="s">
        <v>1447</v>
      </c>
      <c r="G246" s="1" t="s">
        <v>1448</v>
      </c>
      <c r="H246" s="1" t="s">
        <v>1449</v>
      </c>
      <c r="I246" s="1"/>
      <c r="J246" s="1" t="s">
        <v>1449</v>
      </c>
      <c r="K246" s="1"/>
      <c r="L246" s="7"/>
      <c r="M246" s="7" t="s">
        <v>125</v>
      </c>
      <c r="N246" s="7" t="s">
        <v>90</v>
      </c>
      <c r="O246" s="10"/>
      <c r="P246" s="10"/>
      <c r="Q246" s="7"/>
      <c r="R246" s="7"/>
      <c r="S246" s="7" t="s">
        <v>124</v>
      </c>
      <c r="T246" s="10"/>
      <c r="U246" s="11" t="s">
        <v>3523</v>
      </c>
      <c r="V246" s="11" t="s">
        <v>93</v>
      </c>
      <c r="W246" s="11">
        <v>0</v>
      </c>
      <c r="X246" s="11" t="s">
        <v>93</v>
      </c>
      <c r="Y246" s="11"/>
      <c r="Z246" s="12"/>
      <c r="AA246" s="11"/>
      <c r="AB246" s="11"/>
      <c r="AC246" s="1" t="s">
        <v>3524</v>
      </c>
      <c r="AD246" s="1" t="s">
        <v>3525</v>
      </c>
    </row>
    <row r="247" spans="1:30" ht="187.2" x14ac:dyDescent="0.3">
      <c r="A247" s="1" t="s">
        <v>202</v>
      </c>
      <c r="B247" s="1" t="s">
        <v>4510</v>
      </c>
      <c r="C247" s="1" t="s">
        <v>1288</v>
      </c>
      <c r="D247" s="1" t="s">
        <v>1450</v>
      </c>
      <c r="E247" s="1" t="s">
        <v>1290</v>
      </c>
      <c r="F247" s="1" t="s">
        <v>1452</v>
      </c>
      <c r="G247" s="1" t="s">
        <v>808</v>
      </c>
      <c r="H247" s="1" t="s">
        <v>1453</v>
      </c>
      <c r="I247" s="1"/>
      <c r="J247" s="1" t="s">
        <v>1453</v>
      </c>
      <c r="K247" s="1"/>
      <c r="L247" s="7"/>
      <c r="M247" s="7" t="s">
        <v>125</v>
      </c>
      <c r="N247" s="7" t="s">
        <v>90</v>
      </c>
      <c r="O247" s="10"/>
      <c r="P247" s="10"/>
      <c r="Q247" s="7"/>
      <c r="R247" s="7"/>
      <c r="S247" s="7" t="s">
        <v>124</v>
      </c>
      <c r="T247" s="10"/>
      <c r="U247" s="11" t="s">
        <v>3526</v>
      </c>
      <c r="V247" s="11" t="s">
        <v>93</v>
      </c>
      <c r="W247" s="11">
        <v>0</v>
      </c>
      <c r="X247" s="11" t="s">
        <v>93</v>
      </c>
      <c r="Y247" s="11"/>
      <c r="Z247" s="12"/>
      <c r="AA247" s="11"/>
      <c r="AB247" s="11"/>
      <c r="AC247" s="1" t="s">
        <v>3527</v>
      </c>
      <c r="AD247" s="1" t="s">
        <v>3528</v>
      </c>
    </row>
    <row r="248" spans="1:30" ht="187.2" x14ac:dyDescent="0.3">
      <c r="A248" s="1" t="s">
        <v>202</v>
      </c>
      <c r="B248" s="1" t="s">
        <v>4510</v>
      </c>
      <c r="C248" s="1" t="s">
        <v>1288</v>
      </c>
      <c r="D248" s="1" t="s">
        <v>1454</v>
      </c>
      <c r="E248" s="1" t="s">
        <v>1290</v>
      </c>
      <c r="F248" s="1" t="s">
        <v>1456</v>
      </c>
      <c r="G248" s="1" t="s">
        <v>1457</v>
      </c>
      <c r="H248" s="1" t="s">
        <v>1458</v>
      </c>
      <c r="I248" s="1"/>
      <c r="J248" s="1" t="s">
        <v>1458</v>
      </c>
      <c r="K248" s="1"/>
      <c r="L248" s="7"/>
      <c r="M248" s="7" t="s">
        <v>125</v>
      </c>
      <c r="N248" s="7" t="s">
        <v>90</v>
      </c>
      <c r="O248" s="10"/>
      <c r="P248" s="10"/>
      <c r="Q248" s="7"/>
      <c r="R248" s="7"/>
      <c r="S248" s="7" t="s">
        <v>124</v>
      </c>
      <c r="T248" s="10"/>
      <c r="U248" s="11" t="s">
        <v>3529</v>
      </c>
      <c r="V248" s="11" t="s">
        <v>93</v>
      </c>
      <c r="W248" s="11">
        <v>0</v>
      </c>
      <c r="X248" s="11" t="s">
        <v>93</v>
      </c>
      <c r="Y248" s="11"/>
      <c r="Z248" s="12"/>
      <c r="AA248" s="11"/>
      <c r="AB248" s="11"/>
      <c r="AC248" s="1" t="s">
        <v>3530</v>
      </c>
      <c r="AD248" s="1" t="s">
        <v>3531</v>
      </c>
    </row>
    <row r="249" spans="1:30" ht="187.2" x14ac:dyDescent="0.3">
      <c r="A249" s="1" t="s">
        <v>202</v>
      </c>
      <c r="B249" s="1" t="s">
        <v>4510</v>
      </c>
      <c r="C249" s="1" t="s">
        <v>1288</v>
      </c>
      <c r="D249" s="1" t="s">
        <v>1459</v>
      </c>
      <c r="E249" s="1" t="s">
        <v>1290</v>
      </c>
      <c r="F249" s="1" t="s">
        <v>1461</v>
      </c>
      <c r="G249" s="1" t="s">
        <v>1462</v>
      </c>
      <c r="H249" s="1" t="s">
        <v>1463</v>
      </c>
      <c r="I249" s="1"/>
      <c r="J249" s="1" t="s">
        <v>1463</v>
      </c>
      <c r="K249" s="1"/>
      <c r="L249" s="7"/>
      <c r="M249" s="7" t="s">
        <v>125</v>
      </c>
      <c r="N249" s="7" t="s">
        <v>90</v>
      </c>
      <c r="O249" s="10"/>
      <c r="P249" s="10"/>
      <c r="Q249" s="7"/>
      <c r="R249" s="7"/>
      <c r="S249" s="7" t="s">
        <v>124</v>
      </c>
      <c r="T249" s="10"/>
      <c r="U249" s="11" t="s">
        <v>3532</v>
      </c>
      <c r="V249" s="11" t="s">
        <v>93</v>
      </c>
      <c r="W249" s="11">
        <v>0</v>
      </c>
      <c r="X249" s="11" t="s">
        <v>93</v>
      </c>
      <c r="Y249" s="11"/>
      <c r="Z249" s="12"/>
      <c r="AA249" s="11"/>
      <c r="AB249" s="11"/>
      <c r="AC249" s="1" t="s">
        <v>3533</v>
      </c>
      <c r="AD249" s="1" t="s">
        <v>3534</v>
      </c>
    </row>
    <row r="250" spans="1:30" ht="187.2" x14ac:dyDescent="0.3">
      <c r="A250" s="1" t="s">
        <v>202</v>
      </c>
      <c r="B250" s="1" t="s">
        <v>4510</v>
      </c>
      <c r="C250" s="1" t="s">
        <v>1288</v>
      </c>
      <c r="D250" s="1" t="s">
        <v>1464</v>
      </c>
      <c r="E250" s="1" t="s">
        <v>1290</v>
      </c>
      <c r="F250" s="1" t="s">
        <v>272</v>
      </c>
      <c r="G250" s="1" t="s">
        <v>1466</v>
      </c>
      <c r="H250" s="1" t="s">
        <v>1467</v>
      </c>
      <c r="I250" s="1" t="s">
        <v>1468</v>
      </c>
      <c r="J250" s="1" t="s">
        <v>1467</v>
      </c>
      <c r="K250" s="1"/>
      <c r="L250" s="7"/>
      <c r="M250" s="7" t="s">
        <v>125</v>
      </c>
      <c r="N250" s="7" t="s">
        <v>90</v>
      </c>
      <c r="O250" s="10"/>
      <c r="P250" s="10"/>
      <c r="Q250" s="7"/>
      <c r="R250" s="7"/>
      <c r="S250" s="7" t="s">
        <v>124</v>
      </c>
      <c r="T250" s="10"/>
      <c r="U250" s="11" t="s">
        <v>3535</v>
      </c>
      <c r="V250" s="11" t="s">
        <v>93</v>
      </c>
      <c r="W250" s="11">
        <v>0</v>
      </c>
      <c r="X250" s="11" t="s">
        <v>93</v>
      </c>
      <c r="Y250" s="11"/>
      <c r="Z250" s="12"/>
      <c r="AA250" s="11"/>
      <c r="AB250" s="11"/>
      <c r="AC250" s="1" t="s">
        <v>3536</v>
      </c>
      <c r="AD250" s="1" t="s">
        <v>3537</v>
      </c>
    </row>
    <row r="251" spans="1:30" ht="187.2" x14ac:dyDescent="0.3">
      <c r="A251" s="1" t="s">
        <v>202</v>
      </c>
      <c r="B251" s="1" t="s">
        <v>4510</v>
      </c>
      <c r="C251" s="1" t="s">
        <v>1288</v>
      </c>
      <c r="D251" s="1" t="s">
        <v>1469</v>
      </c>
      <c r="E251" s="1" t="s">
        <v>1290</v>
      </c>
      <c r="F251" s="1" t="s">
        <v>1432</v>
      </c>
      <c r="G251" s="1" t="s">
        <v>1471</v>
      </c>
      <c r="H251" s="1" t="s">
        <v>1434</v>
      </c>
      <c r="I251" s="1"/>
      <c r="J251" s="1" t="s">
        <v>1434</v>
      </c>
      <c r="K251" s="1"/>
      <c r="L251" s="7"/>
      <c r="M251" s="7" t="s">
        <v>125</v>
      </c>
      <c r="N251" s="7" t="s">
        <v>90</v>
      </c>
      <c r="O251" s="10"/>
      <c r="P251" s="10"/>
      <c r="Q251" s="7"/>
      <c r="R251" s="7"/>
      <c r="S251" s="7" t="s">
        <v>124</v>
      </c>
      <c r="T251" s="10"/>
      <c r="U251" s="11" t="s">
        <v>3538</v>
      </c>
      <c r="V251" s="11" t="s">
        <v>93</v>
      </c>
      <c r="W251" s="11">
        <v>0</v>
      </c>
      <c r="X251" s="11" t="s">
        <v>93</v>
      </c>
      <c r="Y251" s="11"/>
      <c r="Z251" s="12"/>
      <c r="AA251" s="11"/>
      <c r="AB251" s="11"/>
      <c r="AC251" s="1" t="s">
        <v>3539</v>
      </c>
      <c r="AD251" s="1" t="s">
        <v>3540</v>
      </c>
    </row>
    <row r="252" spans="1:30" ht="187.2" x14ac:dyDescent="0.3">
      <c r="A252" s="1" t="s">
        <v>202</v>
      </c>
      <c r="B252" s="1" t="s">
        <v>4510</v>
      </c>
      <c r="C252" s="1" t="s">
        <v>1472</v>
      </c>
      <c r="D252" s="1" t="s">
        <v>1473</v>
      </c>
      <c r="E252" s="1" t="s">
        <v>1474</v>
      </c>
      <c r="F252" s="1" t="s">
        <v>1476</v>
      </c>
      <c r="G252" s="1" t="s">
        <v>1477</v>
      </c>
      <c r="H252" s="1" t="s">
        <v>1478</v>
      </c>
      <c r="I252" s="1" t="s">
        <v>1479</v>
      </c>
      <c r="J252" s="1" t="s">
        <v>1478</v>
      </c>
      <c r="K252" s="1" t="s">
        <v>1480</v>
      </c>
      <c r="L252" s="7"/>
      <c r="M252" s="7" t="s">
        <v>125</v>
      </c>
      <c r="N252" s="7" t="s">
        <v>90</v>
      </c>
      <c r="O252" s="10"/>
      <c r="P252" s="10"/>
      <c r="Q252" s="7"/>
      <c r="R252" s="7"/>
      <c r="S252" s="7" t="s">
        <v>124</v>
      </c>
      <c r="T252" s="10"/>
      <c r="U252" s="11" t="s">
        <v>3541</v>
      </c>
      <c r="V252" s="11" t="s">
        <v>93</v>
      </c>
      <c r="W252" s="11">
        <v>0</v>
      </c>
      <c r="X252" s="11" t="s">
        <v>93</v>
      </c>
      <c r="Y252" s="11"/>
      <c r="Z252" s="12"/>
      <c r="AA252" s="11"/>
      <c r="AB252" s="11"/>
      <c r="AC252" s="1" t="s">
        <v>3542</v>
      </c>
      <c r="AD252" s="1" t="s">
        <v>3543</v>
      </c>
    </row>
    <row r="253" spans="1:30" ht="187.2" x14ac:dyDescent="0.3">
      <c r="A253" s="1" t="s">
        <v>202</v>
      </c>
      <c r="B253" s="1" t="s">
        <v>4510</v>
      </c>
      <c r="C253" s="1" t="s">
        <v>1472</v>
      </c>
      <c r="D253" s="1" t="s">
        <v>1481</v>
      </c>
      <c r="E253" s="1" t="s">
        <v>1474</v>
      </c>
      <c r="F253" s="1" t="s">
        <v>1483</v>
      </c>
      <c r="G253" s="1" t="s">
        <v>1484</v>
      </c>
      <c r="H253" s="1" t="s">
        <v>1485</v>
      </c>
      <c r="I253" s="1"/>
      <c r="J253" s="1" t="s">
        <v>1485</v>
      </c>
      <c r="K253" s="1"/>
      <c r="L253" s="7"/>
      <c r="M253" s="7" t="s">
        <v>125</v>
      </c>
      <c r="N253" s="7" t="s">
        <v>90</v>
      </c>
      <c r="O253" s="10"/>
      <c r="P253" s="10"/>
      <c r="Q253" s="7"/>
      <c r="R253" s="7"/>
      <c r="S253" s="7" t="s">
        <v>124</v>
      </c>
      <c r="T253" s="10"/>
      <c r="U253" s="11" t="s">
        <v>3544</v>
      </c>
      <c r="V253" s="11" t="s">
        <v>93</v>
      </c>
      <c r="W253" s="11">
        <v>0</v>
      </c>
      <c r="X253" s="11" t="s">
        <v>93</v>
      </c>
      <c r="Y253" s="11"/>
      <c r="Z253" s="12"/>
      <c r="AA253" s="11"/>
      <c r="AB253" s="11"/>
      <c r="AC253" s="1" t="s">
        <v>3545</v>
      </c>
      <c r="AD253" s="1" t="s">
        <v>3546</v>
      </c>
    </row>
    <row r="254" spans="1:30" ht="187.2" x14ac:dyDescent="0.3">
      <c r="A254" s="1" t="s">
        <v>202</v>
      </c>
      <c r="B254" s="1" t="s">
        <v>4510</v>
      </c>
      <c r="C254" s="1" t="s">
        <v>1472</v>
      </c>
      <c r="D254" s="1" t="s">
        <v>1486</v>
      </c>
      <c r="E254" s="1" t="s">
        <v>1474</v>
      </c>
      <c r="F254" s="1" t="s">
        <v>965</v>
      </c>
      <c r="G254" s="1" t="s">
        <v>1488</v>
      </c>
      <c r="H254" s="1" t="s">
        <v>1489</v>
      </c>
      <c r="I254" s="1"/>
      <c r="J254" s="1" t="s">
        <v>1489</v>
      </c>
      <c r="K254" s="1"/>
      <c r="L254" s="7"/>
      <c r="M254" s="7" t="s">
        <v>125</v>
      </c>
      <c r="N254" s="7" t="s">
        <v>90</v>
      </c>
      <c r="O254" s="10"/>
      <c r="P254" s="10"/>
      <c r="Q254" s="7"/>
      <c r="R254" s="7"/>
      <c r="S254" s="7" t="s">
        <v>124</v>
      </c>
      <c r="T254" s="10"/>
      <c r="U254" s="11" t="s">
        <v>3547</v>
      </c>
      <c r="V254" s="11" t="s">
        <v>93</v>
      </c>
      <c r="W254" s="11">
        <v>0</v>
      </c>
      <c r="X254" s="11" t="s">
        <v>93</v>
      </c>
      <c r="Y254" s="11"/>
      <c r="Z254" s="12"/>
      <c r="AA254" s="11"/>
      <c r="AB254" s="11"/>
      <c r="AC254" s="1" t="s">
        <v>3548</v>
      </c>
      <c r="AD254" s="1" t="s">
        <v>3549</v>
      </c>
    </row>
    <row r="255" spans="1:30" ht="187.2" x14ac:dyDescent="0.3">
      <c r="A255" s="1" t="s">
        <v>202</v>
      </c>
      <c r="B255" s="1" t="s">
        <v>4510</v>
      </c>
      <c r="C255" s="1" t="s">
        <v>1472</v>
      </c>
      <c r="D255" s="1" t="s">
        <v>1490</v>
      </c>
      <c r="E255" s="1" t="s">
        <v>1474</v>
      </c>
      <c r="F255" s="1" t="s">
        <v>1314</v>
      </c>
      <c r="G255" s="1" t="s">
        <v>1492</v>
      </c>
      <c r="H255" s="1" t="s">
        <v>1493</v>
      </c>
      <c r="I255" s="1"/>
      <c r="J255" s="1" t="s">
        <v>1493</v>
      </c>
      <c r="K255" s="1"/>
      <c r="L255" s="7"/>
      <c r="M255" s="7" t="s">
        <v>125</v>
      </c>
      <c r="N255" s="7" t="s">
        <v>90</v>
      </c>
      <c r="O255" s="10"/>
      <c r="P255" s="10"/>
      <c r="Q255" s="7"/>
      <c r="R255" s="7"/>
      <c r="S255" s="7" t="s">
        <v>124</v>
      </c>
      <c r="T255" s="10"/>
      <c r="U255" s="11" t="s">
        <v>3550</v>
      </c>
      <c r="V255" s="11" t="s">
        <v>93</v>
      </c>
      <c r="W255" s="11">
        <v>0</v>
      </c>
      <c r="X255" s="11" t="s">
        <v>93</v>
      </c>
      <c r="Y255" s="11"/>
      <c r="Z255" s="12"/>
      <c r="AA255" s="11"/>
      <c r="AB255" s="11"/>
      <c r="AC255" s="1" t="s">
        <v>3551</v>
      </c>
      <c r="AD255" s="1" t="s">
        <v>3552</v>
      </c>
    </row>
    <row r="256" spans="1:30" ht="187.2" x14ac:dyDescent="0.3">
      <c r="A256" s="1" t="s">
        <v>202</v>
      </c>
      <c r="B256" s="1" t="s">
        <v>4510</v>
      </c>
      <c r="C256" s="1" t="s">
        <v>1472</v>
      </c>
      <c r="D256" s="1" t="s">
        <v>1494</v>
      </c>
      <c r="E256" s="1" t="s">
        <v>1474</v>
      </c>
      <c r="F256" s="1" t="s">
        <v>567</v>
      </c>
      <c r="G256" s="1" t="s">
        <v>896</v>
      </c>
      <c r="H256" s="1" t="s">
        <v>1496</v>
      </c>
      <c r="I256" s="1"/>
      <c r="J256" s="1" t="s">
        <v>1496</v>
      </c>
      <c r="K256" s="1"/>
      <c r="L256" s="7"/>
      <c r="M256" s="7" t="s">
        <v>125</v>
      </c>
      <c r="N256" s="7" t="s">
        <v>90</v>
      </c>
      <c r="O256" s="10"/>
      <c r="P256" s="10"/>
      <c r="Q256" s="7"/>
      <c r="R256" s="7"/>
      <c r="S256" s="7" t="s">
        <v>124</v>
      </c>
      <c r="T256" s="10"/>
      <c r="U256" s="11" t="s">
        <v>3553</v>
      </c>
      <c r="V256" s="11" t="s">
        <v>93</v>
      </c>
      <c r="W256" s="11">
        <v>0</v>
      </c>
      <c r="X256" s="11" t="s">
        <v>93</v>
      </c>
      <c r="Y256" s="11"/>
      <c r="Z256" s="12"/>
      <c r="AA256" s="11"/>
      <c r="AB256" s="11"/>
      <c r="AC256" s="1" t="s">
        <v>3554</v>
      </c>
      <c r="AD256" s="1" t="s">
        <v>3555</v>
      </c>
    </row>
    <row r="257" spans="1:30" ht="187.2" x14ac:dyDescent="0.3">
      <c r="A257" s="1" t="s">
        <v>202</v>
      </c>
      <c r="B257" s="1" t="s">
        <v>4510</v>
      </c>
      <c r="C257" s="1" t="s">
        <v>1472</v>
      </c>
      <c r="D257" s="1" t="s">
        <v>1497</v>
      </c>
      <c r="E257" s="1" t="s">
        <v>1474</v>
      </c>
      <c r="F257" s="1" t="s">
        <v>1499</v>
      </c>
      <c r="G257" s="1" t="s">
        <v>1500</v>
      </c>
      <c r="H257" s="1" t="s">
        <v>1501</v>
      </c>
      <c r="I257" s="1"/>
      <c r="J257" s="1" t="s">
        <v>1501</v>
      </c>
      <c r="K257" s="1"/>
      <c r="L257" s="7"/>
      <c r="M257" s="7" t="s">
        <v>125</v>
      </c>
      <c r="N257" s="7" t="s">
        <v>90</v>
      </c>
      <c r="O257" s="10"/>
      <c r="P257" s="10"/>
      <c r="Q257" s="7"/>
      <c r="R257" s="7"/>
      <c r="S257" s="7" t="s">
        <v>124</v>
      </c>
      <c r="T257" s="10"/>
      <c r="U257" s="11" t="s">
        <v>3556</v>
      </c>
      <c r="V257" s="11" t="s">
        <v>93</v>
      </c>
      <c r="W257" s="11">
        <v>0</v>
      </c>
      <c r="X257" s="11" t="s">
        <v>93</v>
      </c>
      <c r="Y257" s="11"/>
      <c r="Z257" s="12"/>
      <c r="AA257" s="11"/>
      <c r="AB257" s="11"/>
      <c r="AC257" s="1" t="s">
        <v>3557</v>
      </c>
      <c r="AD257" s="1" t="s">
        <v>3558</v>
      </c>
    </row>
    <row r="258" spans="1:30" ht="187.2" x14ac:dyDescent="0.3">
      <c r="A258" s="1" t="s">
        <v>202</v>
      </c>
      <c r="B258" s="1" t="s">
        <v>4510</v>
      </c>
      <c r="C258" s="1" t="s">
        <v>1472</v>
      </c>
      <c r="D258" s="1" t="s">
        <v>1502</v>
      </c>
      <c r="E258" s="1" t="s">
        <v>1474</v>
      </c>
      <c r="F258" s="1" t="s">
        <v>1504</v>
      </c>
      <c r="G258" s="1" t="s">
        <v>1505</v>
      </c>
      <c r="H258" s="1" t="s">
        <v>1506</v>
      </c>
      <c r="I258" s="1"/>
      <c r="J258" s="1" t="s">
        <v>1506</v>
      </c>
      <c r="K258" s="1"/>
      <c r="L258" s="7"/>
      <c r="M258" s="7" t="s">
        <v>125</v>
      </c>
      <c r="N258" s="7" t="s">
        <v>90</v>
      </c>
      <c r="O258" s="10"/>
      <c r="P258" s="10"/>
      <c r="Q258" s="7"/>
      <c r="R258" s="7"/>
      <c r="S258" s="7" t="s">
        <v>124</v>
      </c>
      <c r="T258" s="10"/>
      <c r="U258" s="11" t="s">
        <v>3559</v>
      </c>
      <c r="V258" s="11" t="s">
        <v>93</v>
      </c>
      <c r="W258" s="11">
        <v>0</v>
      </c>
      <c r="X258" s="11" t="s">
        <v>93</v>
      </c>
      <c r="Y258" s="11"/>
      <c r="Z258" s="12"/>
      <c r="AA258" s="11"/>
      <c r="AB258" s="11"/>
      <c r="AC258" s="1" t="s">
        <v>3560</v>
      </c>
      <c r="AD258" s="1" t="s">
        <v>3561</v>
      </c>
    </row>
    <row r="259" spans="1:30" ht="187.2" x14ac:dyDescent="0.3">
      <c r="A259" s="1" t="s">
        <v>202</v>
      </c>
      <c r="B259" s="1" t="s">
        <v>4510</v>
      </c>
      <c r="C259" s="1" t="s">
        <v>1472</v>
      </c>
      <c r="D259" s="1" t="s">
        <v>1507</v>
      </c>
      <c r="E259" s="1" t="s">
        <v>1474</v>
      </c>
      <c r="F259" s="1" t="s">
        <v>1509</v>
      </c>
      <c r="G259" s="1" t="s">
        <v>1510</v>
      </c>
      <c r="H259" s="1" t="s">
        <v>1511</v>
      </c>
      <c r="I259" s="1"/>
      <c r="J259" s="1" t="s">
        <v>1511</v>
      </c>
      <c r="K259" s="1"/>
      <c r="L259" s="7"/>
      <c r="M259" s="7" t="s">
        <v>125</v>
      </c>
      <c r="N259" s="7" t="s">
        <v>90</v>
      </c>
      <c r="O259" s="10"/>
      <c r="P259" s="10"/>
      <c r="Q259" s="7"/>
      <c r="R259" s="7"/>
      <c r="S259" s="7" t="s">
        <v>124</v>
      </c>
      <c r="T259" s="10"/>
      <c r="U259" s="11" t="s">
        <v>3562</v>
      </c>
      <c r="V259" s="11" t="s">
        <v>93</v>
      </c>
      <c r="W259" s="11">
        <v>0</v>
      </c>
      <c r="X259" s="11" t="s">
        <v>93</v>
      </c>
      <c r="Y259" s="11"/>
      <c r="Z259" s="12"/>
      <c r="AA259" s="11"/>
      <c r="AB259" s="11"/>
      <c r="AC259" s="1" t="s">
        <v>3563</v>
      </c>
      <c r="AD259" s="1" t="s">
        <v>3564</v>
      </c>
    </row>
    <row r="260" spans="1:30" ht="187.2" x14ac:dyDescent="0.3">
      <c r="A260" s="1" t="s">
        <v>202</v>
      </c>
      <c r="B260" s="1" t="s">
        <v>4510</v>
      </c>
      <c r="C260" s="1" t="s">
        <v>1472</v>
      </c>
      <c r="D260" s="1" t="s">
        <v>1512</v>
      </c>
      <c r="E260" s="1" t="s">
        <v>1474</v>
      </c>
      <c r="F260" s="1" t="s">
        <v>1514</v>
      </c>
      <c r="G260" s="1" t="s">
        <v>1515</v>
      </c>
      <c r="H260" s="1" t="s">
        <v>1516</v>
      </c>
      <c r="I260" s="1"/>
      <c r="J260" s="1" t="s">
        <v>1516</v>
      </c>
      <c r="K260" s="1"/>
      <c r="L260" s="7"/>
      <c r="M260" s="7" t="s">
        <v>125</v>
      </c>
      <c r="N260" s="7" t="s">
        <v>90</v>
      </c>
      <c r="O260" s="10"/>
      <c r="P260" s="10"/>
      <c r="Q260" s="7"/>
      <c r="R260" s="7"/>
      <c r="S260" s="7" t="s">
        <v>124</v>
      </c>
      <c r="T260" s="10"/>
      <c r="U260" s="11" t="s">
        <v>3565</v>
      </c>
      <c r="V260" s="11" t="s">
        <v>93</v>
      </c>
      <c r="W260" s="11">
        <v>0</v>
      </c>
      <c r="X260" s="11" t="s">
        <v>93</v>
      </c>
      <c r="Y260" s="11"/>
      <c r="Z260" s="12"/>
      <c r="AA260" s="11"/>
      <c r="AB260" s="11"/>
      <c r="AC260" s="1" t="s">
        <v>3566</v>
      </c>
      <c r="AD260" s="1" t="s">
        <v>3567</v>
      </c>
    </row>
    <row r="261" spans="1:30" ht="187.2" x14ac:dyDescent="0.3">
      <c r="A261" s="1" t="s">
        <v>202</v>
      </c>
      <c r="B261" s="1" t="s">
        <v>4510</v>
      </c>
      <c r="C261" s="1" t="s">
        <v>1472</v>
      </c>
      <c r="D261" s="1" t="s">
        <v>1517</v>
      </c>
      <c r="E261" s="1" t="s">
        <v>1474</v>
      </c>
      <c r="F261" s="1" t="s">
        <v>458</v>
      </c>
      <c r="G261" s="1" t="s">
        <v>1519</v>
      </c>
      <c r="H261" s="1" t="s">
        <v>1520</v>
      </c>
      <c r="I261" s="1"/>
      <c r="J261" s="1" t="s">
        <v>1520</v>
      </c>
      <c r="K261" s="1"/>
      <c r="L261" s="7"/>
      <c r="M261" s="7" t="s">
        <v>125</v>
      </c>
      <c r="N261" s="7" t="s">
        <v>90</v>
      </c>
      <c r="O261" s="10"/>
      <c r="P261" s="10"/>
      <c r="Q261" s="7"/>
      <c r="R261" s="7"/>
      <c r="S261" s="7" t="s">
        <v>124</v>
      </c>
      <c r="T261" s="10"/>
      <c r="U261" s="11" t="s">
        <v>3568</v>
      </c>
      <c r="V261" s="11" t="s">
        <v>93</v>
      </c>
      <c r="W261" s="11">
        <v>0</v>
      </c>
      <c r="X261" s="11" t="s">
        <v>93</v>
      </c>
      <c r="Y261" s="11"/>
      <c r="Z261" s="12"/>
      <c r="AA261" s="11"/>
      <c r="AB261" s="11"/>
      <c r="AC261" s="1" t="s">
        <v>3569</v>
      </c>
      <c r="AD261" s="1" t="s">
        <v>3570</v>
      </c>
    </row>
    <row r="262" spans="1:30" ht="187.2" x14ac:dyDescent="0.3">
      <c r="A262" s="1" t="s">
        <v>202</v>
      </c>
      <c r="B262" s="1" t="s">
        <v>4510</v>
      </c>
      <c r="C262" s="1" t="s">
        <v>1472</v>
      </c>
      <c r="D262" s="1" t="s">
        <v>1521</v>
      </c>
      <c r="E262" s="1" t="s">
        <v>1474</v>
      </c>
      <c r="F262" s="1" t="s">
        <v>1523</v>
      </c>
      <c r="G262" s="1" t="s">
        <v>1524</v>
      </c>
      <c r="H262" s="1" t="s">
        <v>1525</v>
      </c>
      <c r="I262" s="1"/>
      <c r="J262" s="1" t="s">
        <v>1525</v>
      </c>
      <c r="K262" s="1" t="s">
        <v>1526</v>
      </c>
      <c r="L262" s="7"/>
      <c r="M262" s="7" t="s">
        <v>125</v>
      </c>
      <c r="N262" s="7" t="s">
        <v>90</v>
      </c>
      <c r="O262" s="10"/>
      <c r="P262" s="10"/>
      <c r="Q262" s="7"/>
      <c r="R262" s="7"/>
      <c r="S262" s="7" t="s">
        <v>124</v>
      </c>
      <c r="T262" s="10"/>
      <c r="U262" s="11" t="s">
        <v>3571</v>
      </c>
      <c r="V262" s="11" t="s">
        <v>93</v>
      </c>
      <c r="W262" s="11">
        <v>0</v>
      </c>
      <c r="X262" s="11" t="s">
        <v>93</v>
      </c>
      <c r="Y262" s="11"/>
      <c r="Z262" s="12"/>
      <c r="AA262" s="11"/>
      <c r="AB262" s="11"/>
      <c r="AC262" s="1" t="s">
        <v>3572</v>
      </c>
      <c r="AD262" s="1" t="s">
        <v>3573</v>
      </c>
    </row>
    <row r="263" spans="1:30" ht="187.2" x14ac:dyDescent="0.3">
      <c r="A263" s="1" t="s">
        <v>202</v>
      </c>
      <c r="B263" s="1" t="s">
        <v>4510</v>
      </c>
      <c r="C263" s="1" t="s">
        <v>1472</v>
      </c>
      <c r="D263" s="1" t="s">
        <v>1527</v>
      </c>
      <c r="E263" s="1" t="s">
        <v>1474</v>
      </c>
      <c r="F263" s="1" t="s">
        <v>1523</v>
      </c>
      <c r="G263" s="1" t="s">
        <v>1529</v>
      </c>
      <c r="H263" s="1"/>
      <c r="I263" s="1"/>
      <c r="J263" s="1"/>
      <c r="K263" s="1"/>
      <c r="L263" s="7"/>
      <c r="M263" s="7" t="s">
        <v>125</v>
      </c>
      <c r="N263" s="7" t="s">
        <v>90</v>
      </c>
      <c r="O263" s="10"/>
      <c r="P263" s="10"/>
      <c r="Q263" s="7"/>
      <c r="R263" s="7"/>
      <c r="S263" s="7" t="s">
        <v>124</v>
      </c>
      <c r="T263" s="10"/>
      <c r="U263" s="11" t="s">
        <v>3574</v>
      </c>
      <c r="V263" s="11" t="s">
        <v>93</v>
      </c>
      <c r="W263" s="11">
        <v>0</v>
      </c>
      <c r="X263" s="11" t="s">
        <v>93</v>
      </c>
      <c r="Y263" s="11"/>
      <c r="Z263" s="12"/>
      <c r="AA263" s="11"/>
      <c r="AB263" s="11"/>
      <c r="AC263" s="1" t="s">
        <v>3575</v>
      </c>
      <c r="AD263" s="1" t="s">
        <v>3576</v>
      </c>
    </row>
    <row r="264" spans="1:30" ht="187.2" x14ac:dyDescent="0.3">
      <c r="A264" s="1" t="s">
        <v>202</v>
      </c>
      <c r="B264" s="1" t="s">
        <v>4510</v>
      </c>
      <c r="C264" s="1" t="s">
        <v>1472</v>
      </c>
      <c r="D264" s="1" t="s">
        <v>1530</v>
      </c>
      <c r="E264" s="1" t="s">
        <v>1474</v>
      </c>
      <c r="F264" s="1" t="s">
        <v>1532</v>
      </c>
      <c r="G264" s="1" t="s">
        <v>1533</v>
      </c>
      <c r="H264" s="1" t="s">
        <v>1534</v>
      </c>
      <c r="I264" s="1"/>
      <c r="J264" s="1" t="s">
        <v>1534</v>
      </c>
      <c r="K264" s="1"/>
      <c r="L264" s="7"/>
      <c r="M264" s="7" t="s">
        <v>125</v>
      </c>
      <c r="N264" s="7" t="s">
        <v>90</v>
      </c>
      <c r="O264" s="10"/>
      <c r="P264" s="10"/>
      <c r="Q264" s="7"/>
      <c r="R264" s="7"/>
      <c r="S264" s="7" t="s">
        <v>124</v>
      </c>
      <c r="T264" s="10"/>
      <c r="U264" s="11" t="s">
        <v>3577</v>
      </c>
      <c r="V264" s="11" t="s">
        <v>93</v>
      </c>
      <c r="W264" s="11">
        <v>0</v>
      </c>
      <c r="X264" s="11" t="s">
        <v>93</v>
      </c>
      <c r="Y264" s="11"/>
      <c r="Z264" s="12"/>
      <c r="AA264" s="11"/>
      <c r="AB264" s="11"/>
      <c r="AC264" s="1" t="s">
        <v>3578</v>
      </c>
      <c r="AD264" s="1" t="s">
        <v>3579</v>
      </c>
    </row>
    <row r="265" spans="1:30" ht="187.2" x14ac:dyDescent="0.3">
      <c r="A265" s="1" t="s">
        <v>202</v>
      </c>
      <c r="B265" s="1" t="s">
        <v>4510</v>
      </c>
      <c r="C265" s="1" t="s">
        <v>1472</v>
      </c>
      <c r="D265" s="1" t="s">
        <v>1535</v>
      </c>
      <c r="E265" s="1" t="s">
        <v>1474</v>
      </c>
      <c r="F265" s="1" t="s">
        <v>1537</v>
      </c>
      <c r="G265" s="1" t="s">
        <v>1538</v>
      </c>
      <c r="H265" s="1" t="s">
        <v>1539</v>
      </c>
      <c r="I265" s="1"/>
      <c r="J265" s="1" t="s">
        <v>1539</v>
      </c>
      <c r="K265" s="1"/>
      <c r="L265" s="7"/>
      <c r="M265" s="7" t="s">
        <v>125</v>
      </c>
      <c r="N265" s="7" t="s">
        <v>90</v>
      </c>
      <c r="O265" s="10"/>
      <c r="P265" s="10"/>
      <c r="Q265" s="7"/>
      <c r="R265" s="7"/>
      <c r="S265" s="7" t="s">
        <v>124</v>
      </c>
      <c r="T265" s="10"/>
      <c r="U265" s="11" t="s">
        <v>3580</v>
      </c>
      <c r="V265" s="11" t="s">
        <v>93</v>
      </c>
      <c r="W265" s="11">
        <v>0</v>
      </c>
      <c r="X265" s="11" t="s">
        <v>93</v>
      </c>
      <c r="Y265" s="11"/>
      <c r="Z265" s="12"/>
      <c r="AA265" s="11"/>
      <c r="AB265" s="11"/>
      <c r="AC265" s="1" t="s">
        <v>3581</v>
      </c>
      <c r="AD265" s="1" t="s">
        <v>3582</v>
      </c>
    </row>
    <row r="266" spans="1:30" ht="187.2" x14ac:dyDescent="0.3">
      <c r="A266" s="1" t="s">
        <v>202</v>
      </c>
      <c r="B266" s="1" t="s">
        <v>4510</v>
      </c>
      <c r="C266" s="1" t="s">
        <v>1472</v>
      </c>
      <c r="D266" s="1" t="s">
        <v>1540</v>
      </c>
      <c r="E266" s="1" t="s">
        <v>1474</v>
      </c>
      <c r="F266" s="1" t="s">
        <v>272</v>
      </c>
      <c r="G266" s="1" t="s">
        <v>424</v>
      </c>
      <c r="H266" s="1" t="s">
        <v>1542</v>
      </c>
      <c r="I266" s="1" t="s">
        <v>1543</v>
      </c>
      <c r="J266" s="1" t="s">
        <v>1542</v>
      </c>
      <c r="K266" s="1" t="s">
        <v>990</v>
      </c>
      <c r="L266" s="7"/>
      <c r="M266" s="7" t="s">
        <v>125</v>
      </c>
      <c r="N266" s="7" t="s">
        <v>90</v>
      </c>
      <c r="O266" s="10"/>
      <c r="P266" s="10"/>
      <c r="Q266" s="7"/>
      <c r="R266" s="7"/>
      <c r="S266" s="7" t="s">
        <v>124</v>
      </c>
      <c r="T266" s="10"/>
      <c r="U266" s="11" t="s">
        <v>3583</v>
      </c>
      <c r="V266" s="11" t="s">
        <v>93</v>
      </c>
      <c r="W266" s="11">
        <v>0</v>
      </c>
      <c r="X266" s="11" t="s">
        <v>93</v>
      </c>
      <c r="Y266" s="11"/>
      <c r="Z266" s="12"/>
      <c r="AA266" s="11"/>
      <c r="AB266" s="11"/>
      <c r="AC266" s="1" t="s">
        <v>3584</v>
      </c>
      <c r="AD266" s="1" t="s">
        <v>3585</v>
      </c>
    </row>
    <row r="267" spans="1:30" ht="187.2" x14ac:dyDescent="0.3">
      <c r="A267" s="1" t="s">
        <v>202</v>
      </c>
      <c r="B267" s="1" t="s">
        <v>4510</v>
      </c>
      <c r="C267" s="1" t="s">
        <v>1472</v>
      </c>
      <c r="D267" s="1" t="s">
        <v>1544</v>
      </c>
      <c r="E267" s="1" t="s">
        <v>1474</v>
      </c>
      <c r="F267" s="1" t="s">
        <v>1546</v>
      </c>
      <c r="G267" s="1" t="s">
        <v>1547</v>
      </c>
      <c r="H267" s="1" t="s">
        <v>1548</v>
      </c>
      <c r="I267" s="1" t="s">
        <v>1549</v>
      </c>
      <c r="J267" s="1" t="s">
        <v>1548</v>
      </c>
      <c r="K267" s="1"/>
      <c r="L267" s="7"/>
      <c r="M267" s="7" t="s">
        <v>125</v>
      </c>
      <c r="N267" s="7" t="s">
        <v>90</v>
      </c>
      <c r="O267" s="10"/>
      <c r="P267" s="10"/>
      <c r="Q267" s="7"/>
      <c r="R267" s="7"/>
      <c r="S267" s="7" t="s">
        <v>124</v>
      </c>
      <c r="T267" s="10"/>
      <c r="U267" s="11" t="s">
        <v>3586</v>
      </c>
      <c r="V267" s="11" t="s">
        <v>93</v>
      </c>
      <c r="W267" s="11">
        <v>0</v>
      </c>
      <c r="X267" s="11" t="s">
        <v>93</v>
      </c>
      <c r="Y267" s="11"/>
      <c r="Z267" s="12"/>
      <c r="AA267" s="11"/>
      <c r="AB267" s="11"/>
      <c r="AC267" s="1" t="s">
        <v>3587</v>
      </c>
      <c r="AD267" s="1" t="s">
        <v>3588</v>
      </c>
    </row>
    <row r="268" spans="1:30" ht="187.2" x14ac:dyDescent="0.3">
      <c r="A268" s="1" t="s">
        <v>202</v>
      </c>
      <c r="B268" s="1" t="s">
        <v>4510</v>
      </c>
      <c r="C268" s="1" t="s">
        <v>1472</v>
      </c>
      <c r="D268" s="1" t="s">
        <v>1550</v>
      </c>
      <c r="E268" s="1" t="s">
        <v>1474</v>
      </c>
      <c r="F268" s="1" t="s">
        <v>1456</v>
      </c>
      <c r="G268" s="1" t="s">
        <v>1552</v>
      </c>
      <c r="H268" s="1" t="s">
        <v>1553</v>
      </c>
      <c r="I268" s="1"/>
      <c r="J268" s="1" t="s">
        <v>1553</v>
      </c>
      <c r="K268" s="1"/>
      <c r="L268" s="7"/>
      <c r="M268" s="7" t="s">
        <v>125</v>
      </c>
      <c r="N268" s="7" t="s">
        <v>90</v>
      </c>
      <c r="O268" s="10"/>
      <c r="P268" s="10"/>
      <c r="Q268" s="7"/>
      <c r="R268" s="7"/>
      <c r="S268" s="7" t="s">
        <v>124</v>
      </c>
      <c r="T268" s="10"/>
      <c r="U268" s="11" t="s">
        <v>3589</v>
      </c>
      <c r="V268" s="11" t="s">
        <v>93</v>
      </c>
      <c r="W268" s="11">
        <v>0</v>
      </c>
      <c r="X268" s="11" t="s">
        <v>93</v>
      </c>
      <c r="Y268" s="11"/>
      <c r="Z268" s="12"/>
      <c r="AA268" s="11"/>
      <c r="AB268" s="11"/>
      <c r="AC268" s="1" t="s">
        <v>3590</v>
      </c>
      <c r="AD268" s="1" t="s">
        <v>3591</v>
      </c>
    </row>
    <row r="269" spans="1:30" ht="187.2" x14ac:dyDescent="0.3">
      <c r="A269" s="1" t="s">
        <v>202</v>
      </c>
      <c r="B269" s="1" t="s">
        <v>4510</v>
      </c>
      <c r="C269" s="1" t="s">
        <v>1472</v>
      </c>
      <c r="D269" s="1" t="s">
        <v>1554</v>
      </c>
      <c r="E269" s="1" t="s">
        <v>1474</v>
      </c>
      <c r="F269" s="1" t="s">
        <v>1456</v>
      </c>
      <c r="G269" s="1" t="s">
        <v>1556</v>
      </c>
      <c r="H269" s="1" t="s">
        <v>1557</v>
      </c>
      <c r="I269" s="1"/>
      <c r="J269" s="1" t="s">
        <v>1557</v>
      </c>
      <c r="K269" s="1"/>
      <c r="L269" s="7"/>
      <c r="M269" s="7" t="s">
        <v>125</v>
      </c>
      <c r="N269" s="7" t="s">
        <v>90</v>
      </c>
      <c r="O269" s="10"/>
      <c r="P269" s="10"/>
      <c r="Q269" s="7"/>
      <c r="R269" s="7"/>
      <c r="S269" s="7" t="s">
        <v>124</v>
      </c>
      <c r="T269" s="10"/>
      <c r="U269" s="11" t="s">
        <v>3592</v>
      </c>
      <c r="V269" s="11" t="s">
        <v>93</v>
      </c>
      <c r="W269" s="11">
        <v>0</v>
      </c>
      <c r="X269" s="11" t="s">
        <v>93</v>
      </c>
      <c r="Y269" s="11"/>
      <c r="Z269" s="12"/>
      <c r="AA269" s="11"/>
      <c r="AB269" s="11"/>
      <c r="AC269" s="1" t="s">
        <v>3593</v>
      </c>
      <c r="AD269" s="1" t="s">
        <v>3594</v>
      </c>
    </row>
    <row r="270" spans="1:30" ht="187.2" x14ac:dyDescent="0.3">
      <c r="A270" s="1" t="s">
        <v>202</v>
      </c>
      <c r="B270" s="1" t="s">
        <v>4510</v>
      </c>
      <c r="C270" s="1" t="s">
        <v>1472</v>
      </c>
      <c r="D270" s="1" t="s">
        <v>1558</v>
      </c>
      <c r="E270" s="1" t="s">
        <v>1474</v>
      </c>
      <c r="F270" s="1"/>
      <c r="G270" s="1" t="s">
        <v>407</v>
      </c>
      <c r="H270" s="1"/>
      <c r="I270" s="1"/>
      <c r="J270" s="1"/>
      <c r="K270" s="1"/>
      <c r="L270" s="7"/>
      <c r="M270" s="7" t="s">
        <v>125</v>
      </c>
      <c r="N270" s="7" t="s">
        <v>90</v>
      </c>
      <c r="O270" s="10"/>
      <c r="P270" s="10"/>
      <c r="Q270" s="7"/>
      <c r="R270" s="7"/>
      <c r="S270" s="7" t="s">
        <v>124</v>
      </c>
      <c r="T270" s="10"/>
      <c r="U270" s="11" t="s">
        <v>3595</v>
      </c>
      <c r="V270" s="11" t="s">
        <v>93</v>
      </c>
      <c r="W270" s="11">
        <v>0</v>
      </c>
      <c r="X270" s="11" t="s">
        <v>93</v>
      </c>
      <c r="Y270" s="11"/>
      <c r="Z270" s="12"/>
      <c r="AA270" s="11"/>
      <c r="AB270" s="11"/>
      <c r="AC270" s="1" t="s">
        <v>3596</v>
      </c>
      <c r="AD270" s="1" t="s">
        <v>3597</v>
      </c>
    </row>
    <row r="271" spans="1:30" ht="187.2" x14ac:dyDescent="0.3">
      <c r="A271" s="1" t="s">
        <v>202</v>
      </c>
      <c r="B271" s="1" t="s">
        <v>4510</v>
      </c>
      <c r="C271" s="1" t="s">
        <v>1472</v>
      </c>
      <c r="D271" s="1" t="s">
        <v>1560</v>
      </c>
      <c r="E271" s="1" t="s">
        <v>1474</v>
      </c>
      <c r="F271" s="1" t="s">
        <v>1562</v>
      </c>
      <c r="G271" s="1" t="s">
        <v>1173</v>
      </c>
      <c r="H271" s="1" t="s">
        <v>1563</v>
      </c>
      <c r="I271" s="1"/>
      <c r="J271" s="1" t="s">
        <v>1563</v>
      </c>
      <c r="K271" s="1"/>
      <c r="L271" s="7"/>
      <c r="M271" s="7" t="s">
        <v>125</v>
      </c>
      <c r="N271" s="7" t="s">
        <v>90</v>
      </c>
      <c r="O271" s="10"/>
      <c r="P271" s="10"/>
      <c r="Q271" s="7"/>
      <c r="R271" s="7"/>
      <c r="S271" s="7" t="s">
        <v>124</v>
      </c>
      <c r="T271" s="10"/>
      <c r="U271" s="11" t="s">
        <v>3598</v>
      </c>
      <c r="V271" s="11" t="s">
        <v>93</v>
      </c>
      <c r="W271" s="11">
        <v>0</v>
      </c>
      <c r="X271" s="11" t="s">
        <v>93</v>
      </c>
      <c r="Y271" s="11"/>
      <c r="Z271" s="12"/>
      <c r="AA271" s="11"/>
      <c r="AB271" s="11"/>
      <c r="AC271" s="1" t="s">
        <v>3599</v>
      </c>
      <c r="AD271" s="1" t="s">
        <v>3600</v>
      </c>
    </row>
    <row r="272" spans="1:30" ht="187.2" x14ac:dyDescent="0.3">
      <c r="A272" s="1" t="s">
        <v>202</v>
      </c>
      <c r="B272" s="1" t="s">
        <v>4510</v>
      </c>
      <c r="C272" s="1" t="s">
        <v>1564</v>
      </c>
      <c r="D272" s="1" t="s">
        <v>1565</v>
      </c>
      <c r="E272" s="1" t="s">
        <v>1566</v>
      </c>
      <c r="F272" s="1" t="s">
        <v>1568</v>
      </c>
      <c r="G272" s="1" t="s">
        <v>1569</v>
      </c>
      <c r="H272" s="1" t="s">
        <v>1570</v>
      </c>
      <c r="I272" s="1"/>
      <c r="J272" s="1" t="s">
        <v>1570</v>
      </c>
      <c r="K272" s="1"/>
      <c r="L272" s="7"/>
      <c r="M272" s="7" t="s">
        <v>125</v>
      </c>
      <c r="N272" s="7" t="s">
        <v>90</v>
      </c>
      <c r="O272" s="10"/>
      <c r="P272" s="10"/>
      <c r="Q272" s="7"/>
      <c r="R272" s="7"/>
      <c r="S272" s="7" t="s">
        <v>124</v>
      </c>
      <c r="T272" s="10"/>
      <c r="U272" s="11" t="s">
        <v>3601</v>
      </c>
      <c r="V272" s="11" t="s">
        <v>93</v>
      </c>
      <c r="W272" s="11">
        <v>0</v>
      </c>
      <c r="X272" s="11" t="s">
        <v>93</v>
      </c>
      <c r="Y272" s="11"/>
      <c r="Z272" s="12"/>
      <c r="AA272" s="11"/>
      <c r="AB272" s="11"/>
      <c r="AC272" s="1" t="s">
        <v>3602</v>
      </c>
      <c r="AD272" s="1" t="s">
        <v>3603</v>
      </c>
    </row>
    <row r="273" spans="1:30" ht="187.2" x14ac:dyDescent="0.3">
      <c r="A273" s="1" t="s">
        <v>202</v>
      </c>
      <c r="B273" s="1" t="s">
        <v>4510</v>
      </c>
      <c r="C273" s="1" t="s">
        <v>1564</v>
      </c>
      <c r="D273" s="1" t="s">
        <v>1571</v>
      </c>
      <c r="E273" s="1" t="s">
        <v>1566</v>
      </c>
      <c r="F273" s="1" t="s">
        <v>1573</v>
      </c>
      <c r="G273" s="1" t="s">
        <v>1574</v>
      </c>
      <c r="H273" s="1" t="s">
        <v>1575</v>
      </c>
      <c r="I273" s="1"/>
      <c r="J273" s="1" t="s">
        <v>1575</v>
      </c>
      <c r="K273" s="1"/>
      <c r="L273" s="7"/>
      <c r="M273" s="7" t="s">
        <v>125</v>
      </c>
      <c r="N273" s="7" t="s">
        <v>90</v>
      </c>
      <c r="O273" s="10"/>
      <c r="P273" s="10"/>
      <c r="Q273" s="7"/>
      <c r="R273" s="7"/>
      <c r="S273" s="7" t="s">
        <v>124</v>
      </c>
      <c r="T273" s="10"/>
      <c r="U273" s="11" t="s">
        <v>3604</v>
      </c>
      <c r="V273" s="11" t="s">
        <v>93</v>
      </c>
      <c r="W273" s="11">
        <v>0</v>
      </c>
      <c r="X273" s="11" t="s">
        <v>93</v>
      </c>
      <c r="Y273" s="11"/>
      <c r="Z273" s="12"/>
      <c r="AA273" s="11"/>
      <c r="AB273" s="11"/>
      <c r="AC273" s="1" t="s">
        <v>3605</v>
      </c>
      <c r="AD273" s="1" t="s">
        <v>3606</v>
      </c>
    </row>
    <row r="274" spans="1:30" ht="187.2" x14ac:dyDescent="0.3">
      <c r="A274" s="1" t="s">
        <v>202</v>
      </c>
      <c r="B274" s="1" t="s">
        <v>4510</v>
      </c>
      <c r="C274" s="1" t="s">
        <v>1564</v>
      </c>
      <c r="D274" s="1" t="s">
        <v>1576</v>
      </c>
      <c r="E274" s="1" t="s">
        <v>1566</v>
      </c>
      <c r="F274" s="1" t="s">
        <v>1578</v>
      </c>
      <c r="G274" s="1" t="s">
        <v>295</v>
      </c>
      <c r="H274" s="1" t="s">
        <v>1579</v>
      </c>
      <c r="I274" s="1" t="s">
        <v>1580</v>
      </c>
      <c r="J274" s="1" t="s">
        <v>1579</v>
      </c>
      <c r="K274" s="1"/>
      <c r="L274" s="7"/>
      <c r="M274" s="7" t="s">
        <v>125</v>
      </c>
      <c r="N274" s="7" t="s">
        <v>90</v>
      </c>
      <c r="O274" s="10"/>
      <c r="P274" s="10"/>
      <c r="Q274" s="7"/>
      <c r="R274" s="7"/>
      <c r="S274" s="7" t="s">
        <v>124</v>
      </c>
      <c r="T274" s="10"/>
      <c r="U274" s="11" t="s">
        <v>3607</v>
      </c>
      <c r="V274" s="11" t="s">
        <v>93</v>
      </c>
      <c r="W274" s="11">
        <v>0</v>
      </c>
      <c r="X274" s="11" t="s">
        <v>93</v>
      </c>
      <c r="Y274" s="11"/>
      <c r="Z274" s="12"/>
      <c r="AA274" s="11"/>
      <c r="AB274" s="11"/>
      <c r="AC274" s="1" t="s">
        <v>3608</v>
      </c>
      <c r="AD274" s="1" t="s">
        <v>3609</v>
      </c>
    </row>
    <row r="275" spans="1:30" ht="187.2" x14ac:dyDescent="0.3">
      <c r="A275" s="1" t="s">
        <v>202</v>
      </c>
      <c r="B275" s="1" t="s">
        <v>4510</v>
      </c>
      <c r="C275" s="1" t="s">
        <v>1564</v>
      </c>
      <c r="D275" s="1" t="s">
        <v>1581</v>
      </c>
      <c r="E275" s="1" t="s">
        <v>1566</v>
      </c>
      <c r="F275" s="1" t="s">
        <v>334</v>
      </c>
      <c r="G275" s="1" t="s">
        <v>983</v>
      </c>
      <c r="H275" s="1" t="s">
        <v>1583</v>
      </c>
      <c r="I275" s="1" t="s">
        <v>1584</v>
      </c>
      <c r="J275" s="1" t="s">
        <v>1583</v>
      </c>
      <c r="K275" s="1"/>
      <c r="L275" s="7"/>
      <c r="M275" s="7" t="s">
        <v>125</v>
      </c>
      <c r="N275" s="7" t="s">
        <v>90</v>
      </c>
      <c r="O275" s="10"/>
      <c r="P275" s="10"/>
      <c r="Q275" s="7"/>
      <c r="R275" s="7"/>
      <c r="S275" s="7" t="s">
        <v>124</v>
      </c>
      <c r="T275" s="10"/>
      <c r="U275" s="11" t="s">
        <v>3610</v>
      </c>
      <c r="V275" s="11" t="s">
        <v>93</v>
      </c>
      <c r="W275" s="11">
        <v>0</v>
      </c>
      <c r="X275" s="11" t="s">
        <v>93</v>
      </c>
      <c r="Y275" s="11"/>
      <c r="Z275" s="12"/>
      <c r="AA275" s="11"/>
      <c r="AB275" s="11"/>
      <c r="AC275" s="1" t="s">
        <v>3611</v>
      </c>
      <c r="AD275" s="1" t="s">
        <v>3612</v>
      </c>
    </row>
    <row r="276" spans="1:30" ht="187.2" x14ac:dyDescent="0.3">
      <c r="A276" s="1" t="s">
        <v>202</v>
      </c>
      <c r="B276" s="1" t="s">
        <v>4510</v>
      </c>
      <c r="C276" s="1" t="s">
        <v>1564</v>
      </c>
      <c r="D276" s="1" t="s">
        <v>1585</v>
      </c>
      <c r="E276" s="1" t="s">
        <v>1566</v>
      </c>
      <c r="F276" s="1" t="s">
        <v>1307</v>
      </c>
      <c r="G276" s="1" t="s">
        <v>1587</v>
      </c>
      <c r="H276" s="1" t="s">
        <v>1588</v>
      </c>
      <c r="I276" s="1"/>
      <c r="J276" s="1" t="s">
        <v>1588</v>
      </c>
      <c r="K276" s="1"/>
      <c r="L276" s="7"/>
      <c r="M276" s="7" t="s">
        <v>125</v>
      </c>
      <c r="N276" s="7" t="s">
        <v>90</v>
      </c>
      <c r="O276" s="10"/>
      <c r="P276" s="10"/>
      <c r="Q276" s="7"/>
      <c r="R276" s="7"/>
      <c r="S276" s="7" t="s">
        <v>124</v>
      </c>
      <c r="T276" s="10"/>
      <c r="U276" s="11" t="s">
        <v>3613</v>
      </c>
      <c r="V276" s="11" t="s">
        <v>93</v>
      </c>
      <c r="W276" s="11">
        <v>0</v>
      </c>
      <c r="X276" s="11" t="s">
        <v>93</v>
      </c>
      <c r="Y276" s="11"/>
      <c r="Z276" s="12"/>
      <c r="AA276" s="11"/>
      <c r="AB276" s="11"/>
      <c r="AC276" s="1" t="s">
        <v>3614</v>
      </c>
      <c r="AD276" s="1" t="s">
        <v>3615</v>
      </c>
    </row>
    <row r="277" spans="1:30" ht="187.2" x14ac:dyDescent="0.3">
      <c r="A277" s="1" t="s">
        <v>202</v>
      </c>
      <c r="B277" s="1" t="s">
        <v>4510</v>
      </c>
      <c r="C277" s="1" t="s">
        <v>1564</v>
      </c>
      <c r="D277" s="1" t="s">
        <v>1589</v>
      </c>
      <c r="E277" s="1" t="s">
        <v>1566</v>
      </c>
      <c r="F277" s="1" t="s">
        <v>965</v>
      </c>
      <c r="G277" s="1" t="s">
        <v>1591</v>
      </c>
      <c r="H277" s="1" t="s">
        <v>1592</v>
      </c>
      <c r="I277" s="1"/>
      <c r="J277" s="1" t="s">
        <v>1592</v>
      </c>
      <c r="K277" s="1"/>
      <c r="L277" s="7"/>
      <c r="M277" s="7" t="s">
        <v>125</v>
      </c>
      <c r="N277" s="7" t="s">
        <v>90</v>
      </c>
      <c r="O277" s="10"/>
      <c r="P277" s="10"/>
      <c r="Q277" s="7"/>
      <c r="R277" s="7"/>
      <c r="S277" s="7" t="s">
        <v>124</v>
      </c>
      <c r="T277" s="10"/>
      <c r="U277" s="11" t="s">
        <v>3616</v>
      </c>
      <c r="V277" s="11" t="s">
        <v>93</v>
      </c>
      <c r="W277" s="11">
        <v>0</v>
      </c>
      <c r="X277" s="11" t="s">
        <v>93</v>
      </c>
      <c r="Y277" s="11"/>
      <c r="Z277" s="12"/>
      <c r="AA277" s="11"/>
      <c r="AB277" s="11"/>
      <c r="AC277" s="1" t="s">
        <v>3617</v>
      </c>
      <c r="AD277" s="1" t="s">
        <v>3618</v>
      </c>
    </row>
    <row r="278" spans="1:30" ht="187.2" x14ac:dyDescent="0.3">
      <c r="A278" s="1" t="s">
        <v>202</v>
      </c>
      <c r="B278" s="1" t="s">
        <v>4510</v>
      </c>
      <c r="C278" s="1" t="s">
        <v>1564</v>
      </c>
      <c r="D278" s="1" t="s">
        <v>1593</v>
      </c>
      <c r="E278" s="1" t="s">
        <v>1566</v>
      </c>
      <c r="F278" s="1" t="s">
        <v>965</v>
      </c>
      <c r="G278" s="1" t="s">
        <v>1595</v>
      </c>
      <c r="H278" s="1" t="s">
        <v>1596</v>
      </c>
      <c r="I278" s="1"/>
      <c r="J278" s="1" t="s">
        <v>1596</v>
      </c>
      <c r="K278" s="1"/>
      <c r="L278" s="7"/>
      <c r="M278" s="7" t="s">
        <v>125</v>
      </c>
      <c r="N278" s="7" t="s">
        <v>90</v>
      </c>
      <c r="O278" s="10"/>
      <c r="P278" s="10"/>
      <c r="Q278" s="7"/>
      <c r="R278" s="7"/>
      <c r="S278" s="7" t="s">
        <v>124</v>
      </c>
      <c r="T278" s="10"/>
      <c r="U278" s="11" t="s">
        <v>3619</v>
      </c>
      <c r="V278" s="11" t="s">
        <v>93</v>
      </c>
      <c r="W278" s="11">
        <v>0</v>
      </c>
      <c r="X278" s="11" t="s">
        <v>93</v>
      </c>
      <c r="Y278" s="11"/>
      <c r="Z278" s="12"/>
      <c r="AA278" s="11"/>
      <c r="AB278" s="11"/>
      <c r="AC278" s="1" t="s">
        <v>3620</v>
      </c>
      <c r="AD278" s="1" t="s">
        <v>3621</v>
      </c>
    </row>
    <row r="279" spans="1:30" ht="187.2" x14ac:dyDescent="0.3">
      <c r="A279" s="1" t="s">
        <v>202</v>
      </c>
      <c r="B279" s="1" t="s">
        <v>4510</v>
      </c>
      <c r="C279" s="1" t="s">
        <v>1564</v>
      </c>
      <c r="D279" s="1" t="s">
        <v>1597</v>
      </c>
      <c r="E279" s="1" t="s">
        <v>1566</v>
      </c>
      <c r="F279" s="1" t="s">
        <v>1599</v>
      </c>
      <c r="G279" s="1" t="s">
        <v>226</v>
      </c>
      <c r="H279" s="1" t="s">
        <v>1600</v>
      </c>
      <c r="I279" s="1" t="s">
        <v>1601</v>
      </c>
      <c r="J279" s="1" t="s">
        <v>1600</v>
      </c>
      <c r="K279" s="1"/>
      <c r="L279" s="7"/>
      <c r="M279" s="7" t="s">
        <v>125</v>
      </c>
      <c r="N279" s="7" t="s">
        <v>90</v>
      </c>
      <c r="O279" s="10"/>
      <c r="P279" s="10"/>
      <c r="Q279" s="7"/>
      <c r="R279" s="7"/>
      <c r="S279" s="7" t="s">
        <v>124</v>
      </c>
      <c r="T279" s="10"/>
      <c r="U279" s="11" t="s">
        <v>3622</v>
      </c>
      <c r="V279" s="11" t="s">
        <v>93</v>
      </c>
      <c r="W279" s="11">
        <v>0</v>
      </c>
      <c r="X279" s="11" t="s">
        <v>93</v>
      </c>
      <c r="Y279" s="11"/>
      <c r="Z279" s="12"/>
      <c r="AA279" s="11"/>
      <c r="AB279" s="11"/>
      <c r="AC279" s="1" t="s">
        <v>3623</v>
      </c>
      <c r="AD279" s="1" t="s">
        <v>3624</v>
      </c>
    </row>
    <row r="280" spans="1:30" ht="187.2" x14ac:dyDescent="0.3">
      <c r="A280" s="1" t="s">
        <v>202</v>
      </c>
      <c r="B280" s="1" t="s">
        <v>4510</v>
      </c>
      <c r="C280" s="1" t="s">
        <v>1564</v>
      </c>
      <c r="D280" s="1" t="s">
        <v>1602</v>
      </c>
      <c r="E280" s="1" t="s">
        <v>1566</v>
      </c>
      <c r="F280" s="1" t="s">
        <v>1314</v>
      </c>
      <c r="G280" s="1" t="s">
        <v>1604</v>
      </c>
      <c r="H280" s="1"/>
      <c r="I280" s="1"/>
      <c r="J280" s="1"/>
      <c r="K280" s="1"/>
      <c r="L280" s="7"/>
      <c r="M280" s="7" t="s">
        <v>125</v>
      </c>
      <c r="N280" s="7" t="s">
        <v>90</v>
      </c>
      <c r="O280" s="10"/>
      <c r="P280" s="10"/>
      <c r="Q280" s="7"/>
      <c r="R280" s="7"/>
      <c r="S280" s="7" t="s">
        <v>124</v>
      </c>
      <c r="T280" s="10"/>
      <c r="U280" s="11" t="s">
        <v>3625</v>
      </c>
      <c r="V280" s="11" t="s">
        <v>93</v>
      </c>
      <c r="W280" s="11">
        <v>0</v>
      </c>
      <c r="X280" s="11" t="s">
        <v>93</v>
      </c>
      <c r="Y280" s="11"/>
      <c r="Z280" s="12"/>
      <c r="AA280" s="11"/>
      <c r="AB280" s="11"/>
      <c r="AC280" s="1" t="s">
        <v>3626</v>
      </c>
      <c r="AD280" s="1" t="s">
        <v>3627</v>
      </c>
    </row>
    <row r="281" spans="1:30" ht="187.2" x14ac:dyDescent="0.3">
      <c r="A281" s="1" t="s">
        <v>202</v>
      </c>
      <c r="B281" s="1" t="s">
        <v>4510</v>
      </c>
      <c r="C281" s="1" t="s">
        <v>1564</v>
      </c>
      <c r="D281" s="1" t="s">
        <v>1605</v>
      </c>
      <c r="E281" s="1" t="s">
        <v>1566</v>
      </c>
      <c r="F281" s="1" t="s">
        <v>1607</v>
      </c>
      <c r="G281" s="1" t="s">
        <v>1608</v>
      </c>
      <c r="H281" s="1" t="s">
        <v>1609</v>
      </c>
      <c r="I281" s="1"/>
      <c r="J281" s="1" t="s">
        <v>1609</v>
      </c>
      <c r="K281" s="1"/>
      <c r="L281" s="7"/>
      <c r="M281" s="7" t="s">
        <v>125</v>
      </c>
      <c r="N281" s="7" t="s">
        <v>90</v>
      </c>
      <c r="O281" s="10"/>
      <c r="P281" s="10"/>
      <c r="Q281" s="7"/>
      <c r="R281" s="7"/>
      <c r="S281" s="7" t="s">
        <v>124</v>
      </c>
      <c r="T281" s="10"/>
      <c r="U281" s="11" t="s">
        <v>3628</v>
      </c>
      <c r="V281" s="11" t="s">
        <v>93</v>
      </c>
      <c r="W281" s="11">
        <v>0</v>
      </c>
      <c r="X281" s="11" t="s">
        <v>93</v>
      </c>
      <c r="Y281" s="11"/>
      <c r="Z281" s="12"/>
      <c r="AA281" s="11"/>
      <c r="AB281" s="11"/>
      <c r="AC281" s="1" t="s">
        <v>3629</v>
      </c>
      <c r="AD281" s="1" t="s">
        <v>3630</v>
      </c>
    </row>
    <row r="282" spans="1:30" ht="187.2" x14ac:dyDescent="0.3">
      <c r="A282" s="1" t="s">
        <v>202</v>
      </c>
      <c r="B282" s="1" t="s">
        <v>4510</v>
      </c>
      <c r="C282" s="1" t="s">
        <v>1564</v>
      </c>
      <c r="D282" s="1" t="s">
        <v>1610</v>
      </c>
      <c r="E282" s="1" t="s">
        <v>1566</v>
      </c>
      <c r="F282" s="1" t="s">
        <v>567</v>
      </c>
      <c r="G282" s="1" t="s">
        <v>1612</v>
      </c>
      <c r="H282" s="1" t="s">
        <v>1613</v>
      </c>
      <c r="I282" s="1"/>
      <c r="J282" s="1" t="s">
        <v>1613</v>
      </c>
      <c r="K282" s="1"/>
      <c r="L282" s="7"/>
      <c r="M282" s="7" t="s">
        <v>125</v>
      </c>
      <c r="N282" s="7" t="s">
        <v>90</v>
      </c>
      <c r="O282" s="10"/>
      <c r="P282" s="10"/>
      <c r="Q282" s="7"/>
      <c r="R282" s="7"/>
      <c r="S282" s="7" t="s">
        <v>124</v>
      </c>
      <c r="T282" s="10"/>
      <c r="U282" s="11" t="s">
        <v>3631</v>
      </c>
      <c r="V282" s="11" t="s">
        <v>93</v>
      </c>
      <c r="W282" s="11">
        <v>0</v>
      </c>
      <c r="X282" s="11" t="s">
        <v>93</v>
      </c>
      <c r="Y282" s="11"/>
      <c r="Z282" s="12"/>
      <c r="AA282" s="11"/>
      <c r="AB282" s="11"/>
      <c r="AC282" s="1" t="s">
        <v>3632</v>
      </c>
      <c r="AD282" s="1" t="s">
        <v>3633</v>
      </c>
    </row>
    <row r="283" spans="1:30" ht="187.2" x14ac:dyDescent="0.3">
      <c r="A283" s="1" t="s">
        <v>202</v>
      </c>
      <c r="B283" s="1" t="s">
        <v>4510</v>
      </c>
      <c r="C283" s="1" t="s">
        <v>1564</v>
      </c>
      <c r="D283" s="1" t="s">
        <v>1614</v>
      </c>
      <c r="E283" s="1" t="s">
        <v>1566</v>
      </c>
      <c r="F283" s="1" t="s">
        <v>932</v>
      </c>
      <c r="G283" s="1" t="s">
        <v>939</v>
      </c>
      <c r="H283" s="1" t="s">
        <v>1616</v>
      </c>
      <c r="I283" s="1"/>
      <c r="J283" s="1" t="s">
        <v>1616</v>
      </c>
      <c r="K283" s="1"/>
      <c r="L283" s="7"/>
      <c r="M283" s="7" t="s">
        <v>125</v>
      </c>
      <c r="N283" s="7" t="s">
        <v>90</v>
      </c>
      <c r="O283" s="10"/>
      <c r="P283" s="10"/>
      <c r="Q283" s="7"/>
      <c r="R283" s="7"/>
      <c r="S283" s="7" t="s">
        <v>124</v>
      </c>
      <c r="T283" s="10"/>
      <c r="U283" s="11" t="s">
        <v>3634</v>
      </c>
      <c r="V283" s="11" t="s">
        <v>93</v>
      </c>
      <c r="W283" s="11">
        <v>0</v>
      </c>
      <c r="X283" s="11" t="s">
        <v>93</v>
      </c>
      <c r="Y283" s="11"/>
      <c r="Z283" s="12"/>
      <c r="AA283" s="11"/>
      <c r="AB283" s="11"/>
      <c r="AC283" s="1" t="s">
        <v>3635</v>
      </c>
      <c r="AD283" s="1" t="s">
        <v>3636</v>
      </c>
    </row>
    <row r="284" spans="1:30" ht="187.2" x14ac:dyDescent="0.3">
      <c r="A284" s="1" t="s">
        <v>202</v>
      </c>
      <c r="B284" s="1" t="s">
        <v>4510</v>
      </c>
      <c r="C284" s="1" t="s">
        <v>1564</v>
      </c>
      <c r="D284" s="1" t="s">
        <v>1617</v>
      </c>
      <c r="E284" s="1" t="s">
        <v>1566</v>
      </c>
      <c r="F284" s="1" t="s">
        <v>1619</v>
      </c>
      <c r="G284" s="1" t="s">
        <v>1620</v>
      </c>
      <c r="H284" s="1" t="s">
        <v>1621</v>
      </c>
      <c r="I284" s="1" t="s">
        <v>1622</v>
      </c>
      <c r="J284" s="1" t="s">
        <v>1621</v>
      </c>
      <c r="K284" s="1"/>
      <c r="L284" s="7"/>
      <c r="M284" s="7" t="s">
        <v>125</v>
      </c>
      <c r="N284" s="7" t="s">
        <v>90</v>
      </c>
      <c r="O284" s="10"/>
      <c r="P284" s="10"/>
      <c r="Q284" s="7"/>
      <c r="R284" s="7"/>
      <c r="S284" s="7" t="s">
        <v>124</v>
      </c>
      <c r="T284" s="10"/>
      <c r="U284" s="11" t="s">
        <v>3637</v>
      </c>
      <c r="V284" s="11" t="s">
        <v>93</v>
      </c>
      <c r="W284" s="11">
        <v>0</v>
      </c>
      <c r="X284" s="11" t="s">
        <v>93</v>
      </c>
      <c r="Y284" s="11"/>
      <c r="Z284" s="12"/>
      <c r="AA284" s="11"/>
      <c r="AB284" s="11"/>
      <c r="AC284" s="1" t="s">
        <v>3638</v>
      </c>
      <c r="AD284" s="1" t="s">
        <v>3639</v>
      </c>
    </row>
    <row r="285" spans="1:30" ht="187.2" x14ac:dyDescent="0.3">
      <c r="A285" s="1" t="s">
        <v>202</v>
      </c>
      <c r="B285" s="1" t="s">
        <v>4510</v>
      </c>
      <c r="C285" s="1" t="s">
        <v>1564</v>
      </c>
      <c r="D285" s="1" t="s">
        <v>1623</v>
      </c>
      <c r="E285" s="1" t="s">
        <v>1566</v>
      </c>
      <c r="F285" s="1" t="s">
        <v>687</v>
      </c>
      <c r="G285" s="1" t="s">
        <v>966</v>
      </c>
      <c r="H285" s="1" t="s">
        <v>1625</v>
      </c>
      <c r="I285" s="1"/>
      <c r="J285" s="1" t="s">
        <v>1625</v>
      </c>
      <c r="K285" s="1"/>
      <c r="L285" s="7"/>
      <c r="M285" s="7" t="s">
        <v>125</v>
      </c>
      <c r="N285" s="7" t="s">
        <v>90</v>
      </c>
      <c r="O285" s="10"/>
      <c r="P285" s="10"/>
      <c r="Q285" s="7"/>
      <c r="R285" s="7"/>
      <c r="S285" s="7" t="s">
        <v>124</v>
      </c>
      <c r="T285" s="10"/>
      <c r="U285" s="11" t="s">
        <v>3640</v>
      </c>
      <c r="V285" s="11" t="s">
        <v>93</v>
      </c>
      <c r="W285" s="11">
        <v>0</v>
      </c>
      <c r="X285" s="11" t="s">
        <v>93</v>
      </c>
      <c r="Y285" s="11"/>
      <c r="Z285" s="12"/>
      <c r="AA285" s="11"/>
      <c r="AB285" s="11"/>
      <c r="AC285" s="1" t="s">
        <v>3641</v>
      </c>
      <c r="AD285" s="1" t="s">
        <v>3642</v>
      </c>
    </row>
    <row r="286" spans="1:30" ht="187.2" x14ac:dyDescent="0.3">
      <c r="A286" s="1" t="s">
        <v>202</v>
      </c>
      <c r="B286" s="1" t="s">
        <v>4510</v>
      </c>
      <c r="C286" s="1" t="s">
        <v>1564</v>
      </c>
      <c r="D286" s="1" t="s">
        <v>1626</v>
      </c>
      <c r="E286" s="1" t="s">
        <v>1566</v>
      </c>
      <c r="F286" s="1" t="s">
        <v>1628</v>
      </c>
      <c r="G286" s="1" t="s">
        <v>1629</v>
      </c>
      <c r="H286" s="1"/>
      <c r="I286" s="1"/>
      <c r="J286" s="1"/>
      <c r="K286" s="1"/>
      <c r="L286" s="7"/>
      <c r="M286" s="7" t="s">
        <v>125</v>
      </c>
      <c r="N286" s="7" t="s">
        <v>90</v>
      </c>
      <c r="O286" s="10"/>
      <c r="P286" s="10"/>
      <c r="Q286" s="7"/>
      <c r="R286" s="7"/>
      <c r="S286" s="7" t="s">
        <v>124</v>
      </c>
      <c r="T286" s="10"/>
      <c r="U286" s="11" t="s">
        <v>3643</v>
      </c>
      <c r="V286" s="11" t="s">
        <v>93</v>
      </c>
      <c r="W286" s="11">
        <v>0</v>
      </c>
      <c r="X286" s="11" t="s">
        <v>93</v>
      </c>
      <c r="Y286" s="11"/>
      <c r="Z286" s="12"/>
      <c r="AA286" s="11"/>
      <c r="AB286" s="11"/>
      <c r="AC286" s="1" t="s">
        <v>3644</v>
      </c>
      <c r="AD286" s="1" t="s">
        <v>3645</v>
      </c>
    </row>
    <row r="287" spans="1:30" ht="187.2" x14ac:dyDescent="0.3">
      <c r="A287" s="1" t="s">
        <v>202</v>
      </c>
      <c r="B287" s="1" t="s">
        <v>4510</v>
      </c>
      <c r="C287" s="1" t="s">
        <v>1564</v>
      </c>
      <c r="D287" s="1" t="s">
        <v>1630</v>
      </c>
      <c r="E287" s="1" t="s">
        <v>1566</v>
      </c>
      <c r="F287" s="1" t="s">
        <v>1632</v>
      </c>
      <c r="G287" s="1" t="s">
        <v>1633</v>
      </c>
      <c r="H287" s="1" t="s">
        <v>1634</v>
      </c>
      <c r="I287" s="1" t="s">
        <v>1635</v>
      </c>
      <c r="J287" s="1" t="s">
        <v>1634</v>
      </c>
      <c r="K287" s="1"/>
      <c r="L287" s="7"/>
      <c r="M287" s="7" t="s">
        <v>125</v>
      </c>
      <c r="N287" s="7" t="s">
        <v>90</v>
      </c>
      <c r="O287" s="10"/>
      <c r="P287" s="10"/>
      <c r="Q287" s="7"/>
      <c r="R287" s="7"/>
      <c r="S287" s="7" t="s">
        <v>124</v>
      </c>
      <c r="T287" s="10"/>
      <c r="U287" s="11" t="s">
        <v>3646</v>
      </c>
      <c r="V287" s="11" t="s">
        <v>93</v>
      </c>
      <c r="W287" s="11">
        <v>0</v>
      </c>
      <c r="X287" s="11" t="s">
        <v>93</v>
      </c>
      <c r="Y287" s="11"/>
      <c r="Z287" s="12"/>
      <c r="AA287" s="11"/>
      <c r="AB287" s="11"/>
      <c r="AC287" s="1" t="s">
        <v>3647</v>
      </c>
      <c r="AD287" s="1" t="s">
        <v>3648</v>
      </c>
    </row>
    <row r="288" spans="1:30" ht="187.2" x14ac:dyDescent="0.3">
      <c r="A288" s="1" t="s">
        <v>202</v>
      </c>
      <c r="B288" s="1" t="s">
        <v>4510</v>
      </c>
      <c r="C288" s="1" t="s">
        <v>1564</v>
      </c>
      <c r="D288" s="1" t="s">
        <v>1636</v>
      </c>
      <c r="E288" s="1" t="s">
        <v>1566</v>
      </c>
      <c r="F288" s="1" t="s">
        <v>1638</v>
      </c>
      <c r="G288" s="1" t="s">
        <v>1639</v>
      </c>
      <c r="H288" s="1" t="s">
        <v>1640</v>
      </c>
      <c r="I288" s="1"/>
      <c r="J288" s="1" t="s">
        <v>1640</v>
      </c>
      <c r="K288" s="1"/>
      <c r="L288" s="7"/>
      <c r="M288" s="7" t="s">
        <v>125</v>
      </c>
      <c r="N288" s="7" t="s">
        <v>90</v>
      </c>
      <c r="O288" s="10"/>
      <c r="P288" s="10"/>
      <c r="Q288" s="7"/>
      <c r="R288" s="7"/>
      <c r="S288" s="7" t="s">
        <v>124</v>
      </c>
      <c r="T288" s="10"/>
      <c r="U288" s="11" t="s">
        <v>3649</v>
      </c>
      <c r="V288" s="11" t="s">
        <v>93</v>
      </c>
      <c r="W288" s="11">
        <v>0</v>
      </c>
      <c r="X288" s="11" t="s">
        <v>93</v>
      </c>
      <c r="Y288" s="11"/>
      <c r="Z288" s="12"/>
      <c r="AA288" s="11"/>
      <c r="AB288" s="11"/>
      <c r="AC288" s="1" t="s">
        <v>3650</v>
      </c>
      <c r="AD288" s="1" t="s">
        <v>3651</v>
      </c>
    </row>
    <row r="289" spans="1:30" ht="187.2" x14ac:dyDescent="0.3">
      <c r="A289" s="1" t="s">
        <v>202</v>
      </c>
      <c r="B289" s="1" t="s">
        <v>4510</v>
      </c>
      <c r="C289" s="1" t="s">
        <v>1564</v>
      </c>
      <c r="D289" s="1" t="s">
        <v>1641</v>
      </c>
      <c r="E289" s="1" t="s">
        <v>1566</v>
      </c>
      <c r="F289" s="1" t="s">
        <v>1643</v>
      </c>
      <c r="G289" s="1" t="s">
        <v>312</v>
      </c>
      <c r="H289" s="1" t="s">
        <v>1644</v>
      </c>
      <c r="I289" s="1"/>
      <c r="J289" s="1" t="s">
        <v>1644</v>
      </c>
      <c r="K289" s="1"/>
      <c r="L289" s="7"/>
      <c r="M289" s="7" t="s">
        <v>125</v>
      </c>
      <c r="N289" s="7" t="s">
        <v>90</v>
      </c>
      <c r="O289" s="10"/>
      <c r="P289" s="10"/>
      <c r="Q289" s="7"/>
      <c r="R289" s="7"/>
      <c r="S289" s="7" t="s">
        <v>124</v>
      </c>
      <c r="T289" s="10"/>
      <c r="U289" s="11" t="s">
        <v>3652</v>
      </c>
      <c r="V289" s="11" t="s">
        <v>93</v>
      </c>
      <c r="W289" s="11">
        <v>0</v>
      </c>
      <c r="X289" s="11" t="s">
        <v>93</v>
      </c>
      <c r="Y289" s="11"/>
      <c r="Z289" s="12"/>
      <c r="AA289" s="11"/>
      <c r="AB289" s="11"/>
      <c r="AC289" s="1" t="s">
        <v>3653</v>
      </c>
      <c r="AD289" s="1" t="s">
        <v>3654</v>
      </c>
    </row>
    <row r="290" spans="1:30" ht="187.2" x14ac:dyDescent="0.3">
      <c r="A290" s="1" t="s">
        <v>202</v>
      </c>
      <c r="B290" s="1" t="s">
        <v>4510</v>
      </c>
      <c r="C290" s="1" t="s">
        <v>1564</v>
      </c>
      <c r="D290" s="1" t="s">
        <v>1645</v>
      </c>
      <c r="E290" s="1" t="s">
        <v>1566</v>
      </c>
      <c r="F290" s="1" t="s">
        <v>1647</v>
      </c>
      <c r="G290" s="1" t="s">
        <v>1648</v>
      </c>
      <c r="H290" s="1" t="s">
        <v>1649</v>
      </c>
      <c r="I290" s="1"/>
      <c r="J290" s="1" t="s">
        <v>1649</v>
      </c>
      <c r="K290" s="1" t="s">
        <v>1650</v>
      </c>
      <c r="L290" s="7"/>
      <c r="M290" s="7" t="s">
        <v>125</v>
      </c>
      <c r="N290" s="7" t="s">
        <v>90</v>
      </c>
      <c r="O290" s="10"/>
      <c r="P290" s="10"/>
      <c r="Q290" s="7"/>
      <c r="R290" s="7"/>
      <c r="S290" s="7" t="s">
        <v>124</v>
      </c>
      <c r="T290" s="10"/>
      <c r="U290" s="11" t="s">
        <v>3655</v>
      </c>
      <c r="V290" s="11" t="s">
        <v>93</v>
      </c>
      <c r="W290" s="11">
        <v>0</v>
      </c>
      <c r="X290" s="11" t="s">
        <v>93</v>
      </c>
      <c r="Y290" s="11"/>
      <c r="Z290" s="12"/>
      <c r="AA290" s="11"/>
      <c r="AB290" s="11"/>
      <c r="AC290" s="1" t="s">
        <v>3656</v>
      </c>
      <c r="AD290" s="1" t="s">
        <v>3657</v>
      </c>
    </row>
    <row r="291" spans="1:30" ht="187.2" x14ac:dyDescent="0.3">
      <c r="A291" s="1" t="s">
        <v>202</v>
      </c>
      <c r="B291" s="1" t="s">
        <v>4510</v>
      </c>
      <c r="C291" s="1" t="s">
        <v>1564</v>
      </c>
      <c r="D291" s="1" t="s">
        <v>1651</v>
      </c>
      <c r="E291" s="1" t="s">
        <v>1566</v>
      </c>
      <c r="F291" s="1" t="s">
        <v>1016</v>
      </c>
      <c r="G291" s="1" t="s">
        <v>1653</v>
      </c>
      <c r="H291" s="1" t="s">
        <v>1654</v>
      </c>
      <c r="I291" s="1"/>
      <c r="J291" s="1" t="s">
        <v>1654</v>
      </c>
      <c r="K291" s="1"/>
      <c r="L291" s="7"/>
      <c r="M291" s="7" t="s">
        <v>125</v>
      </c>
      <c r="N291" s="7" t="s">
        <v>90</v>
      </c>
      <c r="O291" s="10"/>
      <c r="P291" s="10"/>
      <c r="Q291" s="7"/>
      <c r="R291" s="7"/>
      <c r="S291" s="7" t="s">
        <v>124</v>
      </c>
      <c r="T291" s="10"/>
      <c r="U291" s="11" t="s">
        <v>3658</v>
      </c>
      <c r="V291" s="11" t="s">
        <v>93</v>
      </c>
      <c r="W291" s="11">
        <v>0</v>
      </c>
      <c r="X291" s="11" t="s">
        <v>93</v>
      </c>
      <c r="Y291" s="11"/>
      <c r="Z291" s="12"/>
      <c r="AA291" s="11"/>
      <c r="AB291" s="11"/>
      <c r="AC291" s="1" t="s">
        <v>3659</v>
      </c>
      <c r="AD291" s="1" t="s">
        <v>3660</v>
      </c>
    </row>
    <row r="292" spans="1:30" ht="187.2" x14ac:dyDescent="0.3">
      <c r="A292" s="1" t="s">
        <v>202</v>
      </c>
      <c r="B292" s="1" t="s">
        <v>4510</v>
      </c>
      <c r="C292" s="1" t="s">
        <v>1564</v>
      </c>
      <c r="D292" s="1" t="s">
        <v>1655</v>
      </c>
      <c r="E292" s="1" t="s">
        <v>1566</v>
      </c>
      <c r="F292" s="1" t="s">
        <v>1657</v>
      </c>
      <c r="G292" s="1" t="s">
        <v>424</v>
      </c>
      <c r="H292" s="1" t="s">
        <v>1658</v>
      </c>
      <c r="I292" s="1"/>
      <c r="J292" s="1" t="s">
        <v>1658</v>
      </c>
      <c r="K292" s="1"/>
      <c r="L292" s="7"/>
      <c r="M292" s="7" t="s">
        <v>125</v>
      </c>
      <c r="N292" s="7" t="s">
        <v>90</v>
      </c>
      <c r="O292" s="10"/>
      <c r="P292" s="10"/>
      <c r="Q292" s="7"/>
      <c r="R292" s="7"/>
      <c r="S292" s="7" t="s">
        <v>124</v>
      </c>
      <c r="T292" s="10"/>
      <c r="U292" s="11" t="s">
        <v>3661</v>
      </c>
      <c r="V292" s="11" t="s">
        <v>93</v>
      </c>
      <c r="W292" s="11">
        <v>0</v>
      </c>
      <c r="X292" s="11" t="s">
        <v>93</v>
      </c>
      <c r="Y292" s="11"/>
      <c r="Z292" s="12"/>
      <c r="AA292" s="11"/>
      <c r="AB292" s="11"/>
      <c r="AC292" s="1" t="s">
        <v>3662</v>
      </c>
      <c r="AD292" s="1" t="s">
        <v>3663</v>
      </c>
    </row>
    <row r="293" spans="1:30" ht="187.2" x14ac:dyDescent="0.3">
      <c r="A293" s="1" t="s">
        <v>202</v>
      </c>
      <c r="B293" s="1" t="s">
        <v>4510</v>
      </c>
      <c r="C293" s="1" t="s">
        <v>1564</v>
      </c>
      <c r="D293" s="1" t="s">
        <v>1659</v>
      </c>
      <c r="E293" s="1" t="s">
        <v>1566</v>
      </c>
      <c r="F293" s="1" t="s">
        <v>1661</v>
      </c>
      <c r="G293" s="1" t="s">
        <v>1662</v>
      </c>
      <c r="H293" s="1" t="s">
        <v>1663</v>
      </c>
      <c r="I293" s="1" t="s">
        <v>1664</v>
      </c>
      <c r="J293" s="1" t="s">
        <v>1663</v>
      </c>
      <c r="K293" s="1"/>
      <c r="L293" s="7"/>
      <c r="M293" s="7" t="s">
        <v>125</v>
      </c>
      <c r="N293" s="7" t="s">
        <v>90</v>
      </c>
      <c r="O293" s="10"/>
      <c r="P293" s="10"/>
      <c r="Q293" s="7"/>
      <c r="R293" s="7"/>
      <c r="S293" s="7" t="s">
        <v>124</v>
      </c>
      <c r="T293" s="10"/>
      <c r="U293" s="11" t="s">
        <v>3664</v>
      </c>
      <c r="V293" s="11" t="s">
        <v>93</v>
      </c>
      <c r="W293" s="11">
        <v>0</v>
      </c>
      <c r="X293" s="11" t="s">
        <v>93</v>
      </c>
      <c r="Y293" s="11"/>
      <c r="Z293" s="12"/>
      <c r="AA293" s="11"/>
      <c r="AB293" s="11"/>
      <c r="AC293" s="1" t="s">
        <v>3665</v>
      </c>
      <c r="AD293" s="1" t="s">
        <v>3666</v>
      </c>
    </row>
    <row r="294" spans="1:30" ht="187.2" x14ac:dyDescent="0.3">
      <c r="A294" s="1" t="s">
        <v>202</v>
      </c>
      <c r="B294" s="1" t="s">
        <v>4510</v>
      </c>
      <c r="C294" s="1" t="s">
        <v>1564</v>
      </c>
      <c r="D294" s="1" t="s">
        <v>1665</v>
      </c>
      <c r="E294" s="1" t="s">
        <v>1566</v>
      </c>
      <c r="F294" s="1" t="s">
        <v>458</v>
      </c>
      <c r="G294" s="1" t="s">
        <v>1667</v>
      </c>
      <c r="H294" s="1" t="s">
        <v>1668</v>
      </c>
      <c r="I294" s="1" t="s">
        <v>1669</v>
      </c>
      <c r="J294" s="1" t="s">
        <v>1668</v>
      </c>
      <c r="K294" s="1"/>
      <c r="L294" s="7"/>
      <c r="M294" s="7" t="s">
        <v>125</v>
      </c>
      <c r="N294" s="7" t="s">
        <v>90</v>
      </c>
      <c r="O294" s="10"/>
      <c r="P294" s="10"/>
      <c r="Q294" s="7"/>
      <c r="R294" s="7"/>
      <c r="S294" s="7" t="s">
        <v>124</v>
      </c>
      <c r="T294" s="10"/>
      <c r="U294" s="11" t="s">
        <v>3667</v>
      </c>
      <c r="V294" s="11" t="s">
        <v>93</v>
      </c>
      <c r="W294" s="11">
        <v>0</v>
      </c>
      <c r="X294" s="11" t="s">
        <v>93</v>
      </c>
      <c r="Y294" s="11"/>
      <c r="Z294" s="12"/>
      <c r="AA294" s="11"/>
      <c r="AB294" s="11"/>
      <c r="AC294" s="1" t="s">
        <v>3668</v>
      </c>
      <c r="AD294" s="1" t="s">
        <v>3669</v>
      </c>
    </row>
    <row r="295" spans="1:30" ht="187.2" x14ac:dyDescent="0.3">
      <c r="A295" s="1" t="s">
        <v>202</v>
      </c>
      <c r="B295" s="1" t="s">
        <v>4510</v>
      </c>
      <c r="C295" s="1" t="s">
        <v>1564</v>
      </c>
      <c r="D295" s="1" t="s">
        <v>1670</v>
      </c>
      <c r="E295" s="1" t="s">
        <v>1566</v>
      </c>
      <c r="F295" s="1" t="s">
        <v>1672</v>
      </c>
      <c r="G295" s="1" t="s">
        <v>1673</v>
      </c>
      <c r="H295" s="1" t="s">
        <v>1674</v>
      </c>
      <c r="I295" s="1"/>
      <c r="J295" s="1" t="s">
        <v>1674</v>
      </c>
      <c r="K295" s="1"/>
      <c r="L295" s="7"/>
      <c r="M295" s="7" t="s">
        <v>125</v>
      </c>
      <c r="N295" s="7" t="s">
        <v>90</v>
      </c>
      <c r="O295" s="10"/>
      <c r="P295" s="10"/>
      <c r="Q295" s="7"/>
      <c r="R295" s="7"/>
      <c r="S295" s="7" t="s">
        <v>124</v>
      </c>
      <c r="T295" s="10"/>
      <c r="U295" s="11" t="s">
        <v>3670</v>
      </c>
      <c r="V295" s="11" t="s">
        <v>93</v>
      </c>
      <c r="W295" s="11">
        <v>0</v>
      </c>
      <c r="X295" s="11" t="s">
        <v>93</v>
      </c>
      <c r="Y295" s="11"/>
      <c r="Z295" s="12"/>
      <c r="AA295" s="11"/>
      <c r="AB295" s="11"/>
      <c r="AC295" s="1" t="s">
        <v>3671</v>
      </c>
      <c r="AD295" s="1" t="s">
        <v>3672</v>
      </c>
    </row>
    <row r="296" spans="1:30" ht="187.2" x14ac:dyDescent="0.3">
      <c r="A296" s="1" t="s">
        <v>202</v>
      </c>
      <c r="B296" s="1" t="s">
        <v>4510</v>
      </c>
      <c r="C296" s="1" t="s">
        <v>1564</v>
      </c>
      <c r="D296" s="1" t="s">
        <v>1675</v>
      </c>
      <c r="E296" s="1" t="s">
        <v>1566</v>
      </c>
      <c r="F296" s="1" t="s">
        <v>1356</v>
      </c>
      <c r="G296" s="1" t="s">
        <v>1677</v>
      </c>
      <c r="H296" s="1" t="s">
        <v>1678</v>
      </c>
      <c r="I296" s="1" t="s">
        <v>1679</v>
      </c>
      <c r="J296" s="1" t="s">
        <v>1678</v>
      </c>
      <c r="K296" s="1" t="s">
        <v>1680</v>
      </c>
      <c r="L296" s="7"/>
      <c r="M296" s="7" t="s">
        <v>125</v>
      </c>
      <c r="N296" s="7" t="s">
        <v>90</v>
      </c>
      <c r="O296" s="10"/>
      <c r="P296" s="10"/>
      <c r="Q296" s="7"/>
      <c r="R296" s="7"/>
      <c r="S296" s="7" t="s">
        <v>124</v>
      </c>
      <c r="T296" s="10"/>
      <c r="U296" s="11" t="s">
        <v>3673</v>
      </c>
      <c r="V296" s="11" t="s">
        <v>93</v>
      </c>
      <c r="W296" s="11">
        <v>0</v>
      </c>
      <c r="X296" s="11" t="s">
        <v>93</v>
      </c>
      <c r="Y296" s="11"/>
      <c r="Z296" s="12"/>
      <c r="AA296" s="11"/>
      <c r="AB296" s="11"/>
      <c r="AC296" s="1" t="s">
        <v>3674</v>
      </c>
      <c r="AD296" s="1" t="s">
        <v>3675</v>
      </c>
    </row>
    <row r="297" spans="1:30" ht="187.2" x14ac:dyDescent="0.3">
      <c r="A297" s="1" t="s">
        <v>202</v>
      </c>
      <c r="B297" s="1" t="s">
        <v>4510</v>
      </c>
      <c r="C297" s="1" t="s">
        <v>1564</v>
      </c>
      <c r="D297" s="1" t="s">
        <v>1681</v>
      </c>
      <c r="E297" s="1" t="s">
        <v>1566</v>
      </c>
      <c r="F297" s="1" t="s">
        <v>1683</v>
      </c>
      <c r="G297" s="1" t="s">
        <v>1684</v>
      </c>
      <c r="H297" s="1" t="s">
        <v>1685</v>
      </c>
      <c r="I297" s="1"/>
      <c r="J297" s="1" t="s">
        <v>1685</v>
      </c>
      <c r="K297" s="1"/>
      <c r="L297" s="7"/>
      <c r="M297" s="7" t="s">
        <v>125</v>
      </c>
      <c r="N297" s="7" t="s">
        <v>90</v>
      </c>
      <c r="O297" s="10"/>
      <c r="P297" s="10"/>
      <c r="Q297" s="7"/>
      <c r="R297" s="7"/>
      <c r="S297" s="7" t="s">
        <v>124</v>
      </c>
      <c r="T297" s="10"/>
      <c r="U297" s="11" t="s">
        <v>3676</v>
      </c>
      <c r="V297" s="11" t="s">
        <v>93</v>
      </c>
      <c r="W297" s="11">
        <v>0</v>
      </c>
      <c r="X297" s="11" t="s">
        <v>93</v>
      </c>
      <c r="Y297" s="11"/>
      <c r="Z297" s="12"/>
      <c r="AA297" s="11"/>
      <c r="AB297" s="11"/>
      <c r="AC297" s="1" t="s">
        <v>3677</v>
      </c>
      <c r="AD297" s="1" t="s">
        <v>3678</v>
      </c>
    </row>
    <row r="298" spans="1:30" ht="187.2" x14ac:dyDescent="0.3">
      <c r="A298" s="1" t="s">
        <v>202</v>
      </c>
      <c r="B298" s="1" t="s">
        <v>4510</v>
      </c>
      <c r="C298" s="1" t="s">
        <v>1564</v>
      </c>
      <c r="D298" s="1" t="s">
        <v>1686</v>
      </c>
      <c r="E298" s="1" t="s">
        <v>1566</v>
      </c>
      <c r="F298" s="1" t="s">
        <v>1688</v>
      </c>
      <c r="G298" s="1" t="s">
        <v>1689</v>
      </c>
      <c r="H298" s="1" t="s">
        <v>1690</v>
      </c>
      <c r="I298" s="1" t="s">
        <v>1691</v>
      </c>
      <c r="J298" s="1" t="s">
        <v>1690</v>
      </c>
      <c r="K298" s="1"/>
      <c r="L298" s="7"/>
      <c r="M298" s="7" t="s">
        <v>125</v>
      </c>
      <c r="N298" s="7" t="s">
        <v>90</v>
      </c>
      <c r="O298" s="10"/>
      <c r="P298" s="10"/>
      <c r="Q298" s="7"/>
      <c r="R298" s="7"/>
      <c r="S298" s="7" t="s">
        <v>124</v>
      </c>
      <c r="T298" s="10"/>
      <c r="U298" s="11" t="s">
        <v>3679</v>
      </c>
      <c r="V298" s="11" t="s">
        <v>93</v>
      </c>
      <c r="W298" s="11">
        <v>0</v>
      </c>
      <c r="X298" s="11" t="s">
        <v>93</v>
      </c>
      <c r="Y298" s="11"/>
      <c r="Z298" s="12"/>
      <c r="AA298" s="11"/>
      <c r="AB298" s="11"/>
      <c r="AC298" s="1" t="s">
        <v>3680</v>
      </c>
      <c r="AD298" s="1" t="s">
        <v>3681</v>
      </c>
    </row>
    <row r="299" spans="1:30" ht="187.2" x14ac:dyDescent="0.3">
      <c r="A299" s="1" t="s">
        <v>202</v>
      </c>
      <c r="B299" s="1" t="s">
        <v>4510</v>
      </c>
      <c r="C299" s="1" t="s">
        <v>1564</v>
      </c>
      <c r="D299" s="1" t="s">
        <v>1692</v>
      </c>
      <c r="E299" s="1" t="s">
        <v>1566</v>
      </c>
      <c r="F299" s="1" t="s">
        <v>1694</v>
      </c>
      <c r="G299" s="1" t="s">
        <v>1695</v>
      </c>
      <c r="H299" s="1" t="s">
        <v>1696</v>
      </c>
      <c r="I299" s="1"/>
      <c r="J299" s="1" t="s">
        <v>1696</v>
      </c>
      <c r="K299" s="1"/>
      <c r="L299" s="7"/>
      <c r="M299" s="7" t="s">
        <v>125</v>
      </c>
      <c r="N299" s="7" t="s">
        <v>90</v>
      </c>
      <c r="O299" s="10"/>
      <c r="P299" s="10"/>
      <c r="Q299" s="7"/>
      <c r="R299" s="7"/>
      <c r="S299" s="7" t="s">
        <v>124</v>
      </c>
      <c r="T299" s="10"/>
      <c r="U299" s="11" t="s">
        <v>3682</v>
      </c>
      <c r="V299" s="11" t="s">
        <v>93</v>
      </c>
      <c r="W299" s="11">
        <v>0</v>
      </c>
      <c r="X299" s="11" t="s">
        <v>93</v>
      </c>
      <c r="Y299" s="11"/>
      <c r="Z299" s="12"/>
      <c r="AA299" s="11"/>
      <c r="AB299" s="11"/>
      <c r="AC299" s="1" t="s">
        <v>3683</v>
      </c>
      <c r="AD299" s="1" t="s">
        <v>3684</v>
      </c>
    </row>
    <row r="300" spans="1:30" ht="187.2" x14ac:dyDescent="0.3">
      <c r="A300" s="1" t="s">
        <v>202</v>
      </c>
      <c r="B300" s="1" t="s">
        <v>4510</v>
      </c>
      <c r="C300" s="1" t="s">
        <v>1564</v>
      </c>
      <c r="D300" s="1" t="s">
        <v>1697</v>
      </c>
      <c r="E300" s="1" t="s">
        <v>1566</v>
      </c>
      <c r="F300" s="1" t="s">
        <v>1699</v>
      </c>
      <c r="G300" s="1" t="s">
        <v>754</v>
      </c>
      <c r="H300" s="1"/>
      <c r="I300" s="1"/>
      <c r="J300" s="1"/>
      <c r="K300" s="1"/>
      <c r="L300" s="7"/>
      <c r="M300" s="7" t="s">
        <v>125</v>
      </c>
      <c r="N300" s="7" t="s">
        <v>90</v>
      </c>
      <c r="O300" s="10"/>
      <c r="P300" s="10"/>
      <c r="Q300" s="7"/>
      <c r="R300" s="7"/>
      <c r="S300" s="7" t="s">
        <v>124</v>
      </c>
      <c r="T300" s="10"/>
      <c r="U300" s="11" t="s">
        <v>3685</v>
      </c>
      <c r="V300" s="11" t="s">
        <v>93</v>
      </c>
      <c r="W300" s="11">
        <v>0</v>
      </c>
      <c r="X300" s="11" t="s">
        <v>93</v>
      </c>
      <c r="Y300" s="11"/>
      <c r="Z300" s="12"/>
      <c r="AA300" s="11"/>
      <c r="AB300" s="11"/>
      <c r="AC300" s="1" t="s">
        <v>3686</v>
      </c>
      <c r="AD300" s="1" t="s">
        <v>3687</v>
      </c>
    </row>
    <row r="301" spans="1:30" ht="187.2" x14ac:dyDescent="0.3">
      <c r="A301" s="1" t="s">
        <v>202</v>
      </c>
      <c r="B301" s="1" t="s">
        <v>4510</v>
      </c>
      <c r="C301" s="1" t="s">
        <v>1564</v>
      </c>
      <c r="D301" s="1" t="s">
        <v>1700</v>
      </c>
      <c r="E301" s="1" t="s">
        <v>1566</v>
      </c>
      <c r="F301" s="1" t="s">
        <v>284</v>
      </c>
      <c r="G301" s="1" t="s">
        <v>1064</v>
      </c>
      <c r="H301" s="1" t="s">
        <v>1702</v>
      </c>
      <c r="I301" s="1"/>
      <c r="J301" s="1" t="s">
        <v>1702</v>
      </c>
      <c r="K301" s="1"/>
      <c r="L301" s="7"/>
      <c r="M301" s="7" t="s">
        <v>125</v>
      </c>
      <c r="N301" s="7" t="s">
        <v>90</v>
      </c>
      <c r="O301" s="10"/>
      <c r="P301" s="10"/>
      <c r="Q301" s="7"/>
      <c r="R301" s="7"/>
      <c r="S301" s="7" t="s">
        <v>124</v>
      </c>
      <c r="T301" s="10"/>
      <c r="U301" s="11" t="s">
        <v>3688</v>
      </c>
      <c r="V301" s="11" t="s">
        <v>93</v>
      </c>
      <c r="W301" s="11">
        <v>0</v>
      </c>
      <c r="X301" s="11" t="s">
        <v>93</v>
      </c>
      <c r="Y301" s="11"/>
      <c r="Z301" s="12"/>
      <c r="AA301" s="11"/>
      <c r="AB301" s="11"/>
      <c r="AC301" s="1" t="s">
        <v>3689</v>
      </c>
      <c r="AD301" s="1" t="s">
        <v>3690</v>
      </c>
    </row>
    <row r="302" spans="1:30" ht="187.2" x14ac:dyDescent="0.3">
      <c r="A302" s="1" t="s">
        <v>202</v>
      </c>
      <c r="B302" s="1" t="s">
        <v>4510</v>
      </c>
      <c r="C302" s="1" t="s">
        <v>1564</v>
      </c>
      <c r="D302" s="1" t="s">
        <v>1703</v>
      </c>
      <c r="E302" s="1" t="s">
        <v>1566</v>
      </c>
      <c r="F302" s="1" t="s">
        <v>1705</v>
      </c>
      <c r="G302" s="1" t="s">
        <v>1706</v>
      </c>
      <c r="H302" s="1"/>
      <c r="I302" s="1"/>
      <c r="J302" s="1"/>
      <c r="K302" s="1"/>
      <c r="L302" s="7"/>
      <c r="M302" s="7" t="s">
        <v>125</v>
      </c>
      <c r="N302" s="7" t="s">
        <v>90</v>
      </c>
      <c r="O302" s="10"/>
      <c r="P302" s="10"/>
      <c r="Q302" s="7"/>
      <c r="R302" s="7"/>
      <c r="S302" s="7" t="s">
        <v>124</v>
      </c>
      <c r="T302" s="10"/>
      <c r="U302" s="11" t="s">
        <v>3691</v>
      </c>
      <c r="V302" s="11" t="s">
        <v>93</v>
      </c>
      <c r="W302" s="11">
        <v>0</v>
      </c>
      <c r="X302" s="11" t="s">
        <v>93</v>
      </c>
      <c r="Y302" s="11"/>
      <c r="Z302" s="12"/>
      <c r="AA302" s="11"/>
      <c r="AB302" s="11"/>
      <c r="AC302" s="1" t="s">
        <v>3692</v>
      </c>
      <c r="AD302" s="1" t="s">
        <v>3693</v>
      </c>
    </row>
    <row r="303" spans="1:30" ht="187.2" x14ac:dyDescent="0.3">
      <c r="A303" s="1" t="s">
        <v>202</v>
      </c>
      <c r="B303" s="1" t="s">
        <v>4510</v>
      </c>
      <c r="C303" s="1" t="s">
        <v>1564</v>
      </c>
      <c r="D303" s="1" t="s">
        <v>1707</v>
      </c>
      <c r="E303" s="1" t="s">
        <v>1566</v>
      </c>
      <c r="F303" s="1" t="s">
        <v>1709</v>
      </c>
      <c r="G303" s="1" t="s">
        <v>1710</v>
      </c>
      <c r="H303" s="1" t="s">
        <v>1711</v>
      </c>
      <c r="I303" s="1"/>
      <c r="J303" s="1" t="s">
        <v>1711</v>
      </c>
      <c r="K303" s="1" t="s">
        <v>1712</v>
      </c>
      <c r="L303" s="7"/>
      <c r="M303" s="7" t="s">
        <v>125</v>
      </c>
      <c r="N303" s="7" t="s">
        <v>90</v>
      </c>
      <c r="O303" s="10"/>
      <c r="P303" s="10"/>
      <c r="Q303" s="7"/>
      <c r="R303" s="7"/>
      <c r="S303" s="7" t="s">
        <v>124</v>
      </c>
      <c r="T303" s="10"/>
      <c r="U303" s="11" t="s">
        <v>3694</v>
      </c>
      <c r="V303" s="11" t="s">
        <v>93</v>
      </c>
      <c r="W303" s="11">
        <v>0</v>
      </c>
      <c r="X303" s="11" t="s">
        <v>93</v>
      </c>
      <c r="Y303" s="11"/>
      <c r="Z303" s="12"/>
      <c r="AA303" s="11"/>
      <c r="AB303" s="11"/>
      <c r="AC303" s="1" t="s">
        <v>3695</v>
      </c>
      <c r="AD303" s="1" t="s">
        <v>3696</v>
      </c>
    </row>
    <row r="304" spans="1:30" ht="187.2" x14ac:dyDescent="0.3">
      <c r="A304" s="1" t="s">
        <v>202</v>
      </c>
      <c r="B304" s="1" t="s">
        <v>4510</v>
      </c>
      <c r="C304" s="1" t="s">
        <v>1564</v>
      </c>
      <c r="D304" s="1" t="s">
        <v>1713</v>
      </c>
      <c r="E304" s="1" t="s">
        <v>1566</v>
      </c>
      <c r="F304" s="1" t="s">
        <v>1715</v>
      </c>
      <c r="G304" s="1" t="s">
        <v>1716</v>
      </c>
      <c r="H304" s="1" t="s">
        <v>1717</v>
      </c>
      <c r="I304" s="1" t="s">
        <v>1718</v>
      </c>
      <c r="J304" s="1" t="s">
        <v>1717</v>
      </c>
      <c r="K304" s="1"/>
      <c r="L304" s="7"/>
      <c r="M304" s="7" t="s">
        <v>125</v>
      </c>
      <c r="N304" s="7" t="s">
        <v>90</v>
      </c>
      <c r="O304" s="10"/>
      <c r="P304" s="10"/>
      <c r="Q304" s="7"/>
      <c r="R304" s="7"/>
      <c r="S304" s="7" t="s">
        <v>124</v>
      </c>
      <c r="T304" s="10"/>
      <c r="U304" s="11" t="s">
        <v>3697</v>
      </c>
      <c r="V304" s="11" t="s">
        <v>93</v>
      </c>
      <c r="W304" s="11">
        <v>0</v>
      </c>
      <c r="X304" s="11" t="s">
        <v>93</v>
      </c>
      <c r="Y304" s="11"/>
      <c r="Z304" s="12"/>
      <c r="AA304" s="11"/>
      <c r="AB304" s="11"/>
      <c r="AC304" s="1" t="s">
        <v>3698</v>
      </c>
      <c r="AD304" s="1" t="s">
        <v>3699</v>
      </c>
    </row>
    <row r="305" spans="1:30" ht="187.2" x14ac:dyDescent="0.3">
      <c r="A305" s="1" t="s">
        <v>202</v>
      </c>
      <c r="B305" s="1" t="s">
        <v>4510</v>
      </c>
      <c r="C305" s="1" t="s">
        <v>1564</v>
      </c>
      <c r="D305" s="1" t="s">
        <v>1719</v>
      </c>
      <c r="E305" s="1" t="s">
        <v>1566</v>
      </c>
      <c r="F305" s="1" t="s">
        <v>235</v>
      </c>
      <c r="G305" s="1" t="s">
        <v>1721</v>
      </c>
      <c r="H305" s="1" t="s">
        <v>1722</v>
      </c>
      <c r="I305" s="1"/>
      <c r="J305" s="1" t="s">
        <v>1722</v>
      </c>
      <c r="K305" s="1"/>
      <c r="L305" s="7"/>
      <c r="M305" s="7" t="s">
        <v>125</v>
      </c>
      <c r="N305" s="7" t="s">
        <v>90</v>
      </c>
      <c r="O305" s="10"/>
      <c r="P305" s="10"/>
      <c r="Q305" s="7"/>
      <c r="R305" s="7"/>
      <c r="S305" s="7" t="s">
        <v>124</v>
      </c>
      <c r="T305" s="10"/>
      <c r="U305" s="11" t="s">
        <v>3700</v>
      </c>
      <c r="V305" s="11" t="s">
        <v>93</v>
      </c>
      <c r="W305" s="11">
        <v>0</v>
      </c>
      <c r="X305" s="11" t="s">
        <v>93</v>
      </c>
      <c r="Y305" s="11"/>
      <c r="Z305" s="12"/>
      <c r="AA305" s="11"/>
      <c r="AB305" s="11"/>
      <c r="AC305" s="1" t="s">
        <v>3701</v>
      </c>
      <c r="AD305" s="1" t="s">
        <v>3702</v>
      </c>
    </row>
    <row r="306" spans="1:30" ht="187.2" x14ac:dyDescent="0.3">
      <c r="A306" s="1" t="s">
        <v>202</v>
      </c>
      <c r="B306" s="1" t="s">
        <v>4510</v>
      </c>
      <c r="C306" s="1" t="s">
        <v>1564</v>
      </c>
      <c r="D306" s="1" t="s">
        <v>1723</v>
      </c>
      <c r="E306" s="1" t="s">
        <v>1566</v>
      </c>
      <c r="F306" s="1" t="s">
        <v>1232</v>
      </c>
      <c r="G306" s="1" t="s">
        <v>1725</v>
      </c>
      <c r="H306" s="1"/>
      <c r="I306" s="1"/>
      <c r="J306" s="1"/>
      <c r="K306" s="1"/>
      <c r="L306" s="7"/>
      <c r="M306" s="7" t="s">
        <v>125</v>
      </c>
      <c r="N306" s="7" t="s">
        <v>90</v>
      </c>
      <c r="O306" s="10"/>
      <c r="P306" s="10"/>
      <c r="Q306" s="7"/>
      <c r="R306" s="7"/>
      <c r="S306" s="7" t="s">
        <v>124</v>
      </c>
      <c r="T306" s="10"/>
      <c r="U306" s="11" t="s">
        <v>3703</v>
      </c>
      <c r="V306" s="11" t="s">
        <v>93</v>
      </c>
      <c r="W306" s="11">
        <v>0</v>
      </c>
      <c r="X306" s="11" t="s">
        <v>93</v>
      </c>
      <c r="Y306" s="11"/>
      <c r="Z306" s="12"/>
      <c r="AA306" s="11"/>
      <c r="AB306" s="11"/>
      <c r="AC306" s="1" t="s">
        <v>3704</v>
      </c>
      <c r="AD306" s="1" t="s">
        <v>3705</v>
      </c>
    </row>
    <row r="307" spans="1:30" ht="187.2" x14ac:dyDescent="0.3">
      <c r="A307" s="1" t="s">
        <v>202</v>
      </c>
      <c r="B307" s="1" t="s">
        <v>4510</v>
      </c>
      <c r="C307" s="1" t="s">
        <v>1564</v>
      </c>
      <c r="D307" s="1" t="s">
        <v>1726</v>
      </c>
      <c r="E307" s="1" t="s">
        <v>1566</v>
      </c>
      <c r="F307" s="1" t="s">
        <v>1728</v>
      </c>
      <c r="G307" s="1" t="s">
        <v>1729</v>
      </c>
      <c r="H307" s="1" t="s">
        <v>1730</v>
      </c>
      <c r="I307" s="1" t="s">
        <v>1731</v>
      </c>
      <c r="J307" s="1" t="s">
        <v>1730</v>
      </c>
      <c r="K307" s="1" t="s">
        <v>672</v>
      </c>
      <c r="L307" s="7"/>
      <c r="M307" s="7" t="s">
        <v>125</v>
      </c>
      <c r="N307" s="7" t="s">
        <v>90</v>
      </c>
      <c r="O307" s="10"/>
      <c r="P307" s="10"/>
      <c r="Q307" s="7"/>
      <c r="R307" s="7"/>
      <c r="S307" s="7" t="s">
        <v>124</v>
      </c>
      <c r="T307" s="10"/>
      <c r="U307" s="11" t="s">
        <v>3706</v>
      </c>
      <c r="V307" s="11" t="s">
        <v>93</v>
      </c>
      <c r="W307" s="11">
        <v>0</v>
      </c>
      <c r="X307" s="11" t="s">
        <v>93</v>
      </c>
      <c r="Y307" s="11"/>
      <c r="Z307" s="12"/>
      <c r="AA307" s="11"/>
      <c r="AB307" s="11"/>
      <c r="AC307" s="1" t="s">
        <v>3707</v>
      </c>
      <c r="AD307" s="1" t="s">
        <v>3708</v>
      </c>
    </row>
    <row r="308" spans="1:30" ht="187.2" x14ac:dyDescent="0.3">
      <c r="A308" s="1" t="s">
        <v>202</v>
      </c>
      <c r="B308" s="1" t="s">
        <v>4510</v>
      </c>
      <c r="C308" s="1" t="s">
        <v>1564</v>
      </c>
      <c r="D308" s="1" t="s">
        <v>1732</v>
      </c>
      <c r="E308" s="1" t="s">
        <v>1566</v>
      </c>
      <c r="F308" s="1" t="s">
        <v>1734</v>
      </c>
      <c r="G308" s="1" t="s">
        <v>1735</v>
      </c>
      <c r="H308" s="1" t="s">
        <v>1736</v>
      </c>
      <c r="I308" s="1"/>
      <c r="J308" s="1" t="s">
        <v>1736</v>
      </c>
      <c r="K308" s="1"/>
      <c r="L308" s="7"/>
      <c r="M308" s="7" t="s">
        <v>125</v>
      </c>
      <c r="N308" s="7" t="s">
        <v>90</v>
      </c>
      <c r="O308" s="10"/>
      <c r="P308" s="10"/>
      <c r="Q308" s="7"/>
      <c r="R308" s="7"/>
      <c r="S308" s="7" t="s">
        <v>124</v>
      </c>
      <c r="T308" s="10"/>
      <c r="U308" s="11" t="s">
        <v>3709</v>
      </c>
      <c r="V308" s="11" t="s">
        <v>93</v>
      </c>
      <c r="W308" s="11">
        <v>0</v>
      </c>
      <c r="X308" s="11" t="s">
        <v>93</v>
      </c>
      <c r="Y308" s="11"/>
      <c r="Z308" s="12"/>
      <c r="AA308" s="11"/>
      <c r="AB308" s="11"/>
      <c r="AC308" s="1" t="s">
        <v>3710</v>
      </c>
      <c r="AD308" s="1" t="s">
        <v>3711</v>
      </c>
    </row>
    <row r="309" spans="1:30" ht="187.2" x14ac:dyDescent="0.3">
      <c r="A309" s="1" t="s">
        <v>202</v>
      </c>
      <c r="B309" s="1" t="s">
        <v>4510</v>
      </c>
      <c r="C309" s="1" t="s">
        <v>1564</v>
      </c>
      <c r="D309" s="1" t="s">
        <v>1737</v>
      </c>
      <c r="E309" s="1" t="s">
        <v>1566</v>
      </c>
      <c r="F309" s="1" t="s">
        <v>1406</v>
      </c>
      <c r="G309" s="1" t="s">
        <v>754</v>
      </c>
      <c r="H309" s="1" t="s">
        <v>1739</v>
      </c>
      <c r="I309" s="1"/>
      <c r="J309" s="1" t="s">
        <v>1739</v>
      </c>
      <c r="K309" s="1"/>
      <c r="L309" s="7"/>
      <c r="M309" s="7" t="s">
        <v>125</v>
      </c>
      <c r="N309" s="7" t="s">
        <v>90</v>
      </c>
      <c r="O309" s="10"/>
      <c r="P309" s="10"/>
      <c r="Q309" s="7"/>
      <c r="R309" s="7"/>
      <c r="S309" s="7" t="s">
        <v>124</v>
      </c>
      <c r="T309" s="10"/>
      <c r="U309" s="11" t="s">
        <v>3712</v>
      </c>
      <c r="V309" s="11" t="s">
        <v>93</v>
      </c>
      <c r="W309" s="11">
        <v>0</v>
      </c>
      <c r="X309" s="11" t="s">
        <v>93</v>
      </c>
      <c r="Y309" s="11"/>
      <c r="Z309" s="12"/>
      <c r="AA309" s="11"/>
      <c r="AB309" s="11"/>
      <c r="AC309" s="1" t="s">
        <v>3713</v>
      </c>
      <c r="AD309" s="1" t="s">
        <v>3714</v>
      </c>
    </row>
    <row r="310" spans="1:30" ht="187.2" x14ac:dyDescent="0.3">
      <c r="A310" s="1" t="s">
        <v>202</v>
      </c>
      <c r="B310" s="1" t="s">
        <v>4510</v>
      </c>
      <c r="C310" s="1" t="s">
        <v>1564</v>
      </c>
      <c r="D310" s="1" t="s">
        <v>1740</v>
      </c>
      <c r="E310" s="1" t="s">
        <v>1566</v>
      </c>
      <c r="F310" s="1" t="s">
        <v>1742</v>
      </c>
      <c r="G310" s="1" t="s">
        <v>1330</v>
      </c>
      <c r="H310" s="1" t="s">
        <v>1743</v>
      </c>
      <c r="I310" s="1"/>
      <c r="J310" s="1" t="s">
        <v>1743</v>
      </c>
      <c r="K310" s="1"/>
      <c r="L310" s="7"/>
      <c r="M310" s="7" t="s">
        <v>125</v>
      </c>
      <c r="N310" s="7" t="s">
        <v>90</v>
      </c>
      <c r="O310" s="10"/>
      <c r="P310" s="10"/>
      <c r="Q310" s="7"/>
      <c r="R310" s="7"/>
      <c r="S310" s="7" t="s">
        <v>124</v>
      </c>
      <c r="T310" s="10"/>
      <c r="U310" s="11" t="s">
        <v>3715</v>
      </c>
      <c r="V310" s="11" t="s">
        <v>93</v>
      </c>
      <c r="W310" s="11">
        <v>0</v>
      </c>
      <c r="X310" s="11" t="s">
        <v>93</v>
      </c>
      <c r="Y310" s="11"/>
      <c r="Z310" s="12"/>
      <c r="AA310" s="11"/>
      <c r="AB310" s="11"/>
      <c r="AC310" s="1" t="s">
        <v>3716</v>
      </c>
      <c r="AD310" s="1" t="s">
        <v>3717</v>
      </c>
    </row>
    <row r="311" spans="1:30" ht="187.2" x14ac:dyDescent="0.3">
      <c r="A311" s="1" t="s">
        <v>202</v>
      </c>
      <c r="B311" s="1" t="s">
        <v>4510</v>
      </c>
      <c r="C311" s="1" t="s">
        <v>1564</v>
      </c>
      <c r="D311" s="1" t="s">
        <v>1744</v>
      </c>
      <c r="E311" s="1" t="s">
        <v>1566</v>
      </c>
      <c r="F311" s="1" t="s">
        <v>1746</v>
      </c>
      <c r="G311" s="1" t="s">
        <v>1747</v>
      </c>
      <c r="H311" s="1" t="s">
        <v>1748</v>
      </c>
      <c r="I311" s="1"/>
      <c r="J311" s="1" t="s">
        <v>1748</v>
      </c>
      <c r="K311" s="1"/>
      <c r="L311" s="7"/>
      <c r="M311" s="7" t="s">
        <v>125</v>
      </c>
      <c r="N311" s="7" t="s">
        <v>90</v>
      </c>
      <c r="O311" s="10"/>
      <c r="P311" s="10"/>
      <c r="Q311" s="7"/>
      <c r="R311" s="7"/>
      <c r="S311" s="7" t="s">
        <v>124</v>
      </c>
      <c r="T311" s="10"/>
      <c r="U311" s="11" t="s">
        <v>3718</v>
      </c>
      <c r="V311" s="11" t="s">
        <v>93</v>
      </c>
      <c r="W311" s="11">
        <v>0</v>
      </c>
      <c r="X311" s="11" t="s">
        <v>93</v>
      </c>
      <c r="Y311" s="11"/>
      <c r="Z311" s="12"/>
      <c r="AA311" s="11"/>
      <c r="AB311" s="11"/>
      <c r="AC311" s="1" t="s">
        <v>3719</v>
      </c>
      <c r="AD311" s="1" t="s">
        <v>3720</v>
      </c>
    </row>
    <row r="312" spans="1:30" ht="187.2" x14ac:dyDescent="0.3">
      <c r="A312" s="1" t="s">
        <v>202</v>
      </c>
      <c r="B312" s="1" t="s">
        <v>4510</v>
      </c>
      <c r="C312" s="1" t="s">
        <v>1564</v>
      </c>
      <c r="D312" s="1" t="s">
        <v>1749</v>
      </c>
      <c r="E312" s="1" t="s">
        <v>1566</v>
      </c>
      <c r="F312" s="1" t="s">
        <v>416</v>
      </c>
      <c r="G312" s="1" t="s">
        <v>1751</v>
      </c>
      <c r="H312" s="1" t="s">
        <v>1752</v>
      </c>
      <c r="I312" s="1" t="s">
        <v>1753</v>
      </c>
      <c r="J312" s="1" t="s">
        <v>1752</v>
      </c>
      <c r="K312" s="1"/>
      <c r="L312" s="7"/>
      <c r="M312" s="7" t="s">
        <v>125</v>
      </c>
      <c r="N312" s="7" t="s">
        <v>90</v>
      </c>
      <c r="O312" s="10"/>
      <c r="P312" s="10"/>
      <c r="Q312" s="7"/>
      <c r="R312" s="7"/>
      <c r="S312" s="7" t="s">
        <v>124</v>
      </c>
      <c r="T312" s="10"/>
      <c r="U312" s="11" t="s">
        <v>3721</v>
      </c>
      <c r="V312" s="11" t="s">
        <v>93</v>
      </c>
      <c r="W312" s="11">
        <v>0</v>
      </c>
      <c r="X312" s="11" t="s">
        <v>93</v>
      </c>
      <c r="Y312" s="11"/>
      <c r="Z312" s="12"/>
      <c r="AA312" s="11"/>
      <c r="AB312" s="11"/>
      <c r="AC312" s="1" t="s">
        <v>3722</v>
      </c>
      <c r="AD312" s="1" t="s">
        <v>3723</v>
      </c>
    </row>
    <row r="313" spans="1:30" ht="187.2" x14ac:dyDescent="0.3">
      <c r="A313" s="1" t="s">
        <v>202</v>
      </c>
      <c r="B313" s="1" t="s">
        <v>4510</v>
      </c>
      <c r="C313" s="1" t="s">
        <v>1564</v>
      </c>
      <c r="D313" s="1" t="s">
        <v>1754</v>
      </c>
      <c r="E313" s="1" t="s">
        <v>1566</v>
      </c>
      <c r="F313" s="1" t="s">
        <v>1756</v>
      </c>
      <c r="G313" s="1" t="s">
        <v>1757</v>
      </c>
      <c r="H313" s="1" t="s">
        <v>1758</v>
      </c>
      <c r="I313" s="1"/>
      <c r="J313" s="1" t="s">
        <v>1758</v>
      </c>
      <c r="K313" s="1"/>
      <c r="L313" s="7"/>
      <c r="M313" s="7" t="s">
        <v>125</v>
      </c>
      <c r="N313" s="7" t="s">
        <v>90</v>
      </c>
      <c r="O313" s="10"/>
      <c r="P313" s="10"/>
      <c r="Q313" s="7"/>
      <c r="R313" s="7"/>
      <c r="S313" s="7" t="s">
        <v>124</v>
      </c>
      <c r="T313" s="10"/>
      <c r="U313" s="11" t="s">
        <v>3724</v>
      </c>
      <c r="V313" s="11" t="s">
        <v>93</v>
      </c>
      <c r="W313" s="11">
        <v>0</v>
      </c>
      <c r="X313" s="11" t="s">
        <v>93</v>
      </c>
      <c r="Y313" s="11"/>
      <c r="Z313" s="12"/>
      <c r="AA313" s="11"/>
      <c r="AB313" s="11"/>
      <c r="AC313" s="1" t="s">
        <v>3725</v>
      </c>
      <c r="AD313" s="1" t="s">
        <v>3726</v>
      </c>
    </row>
    <row r="314" spans="1:30" ht="187.2" x14ac:dyDescent="0.3">
      <c r="A314" s="1" t="s">
        <v>202</v>
      </c>
      <c r="B314" s="1" t="s">
        <v>4510</v>
      </c>
      <c r="C314" s="1" t="s">
        <v>1564</v>
      </c>
      <c r="D314" s="1" t="s">
        <v>1759</v>
      </c>
      <c r="E314" s="1" t="s">
        <v>1566</v>
      </c>
      <c r="F314" s="1" t="s">
        <v>299</v>
      </c>
      <c r="G314" s="1" t="s">
        <v>1761</v>
      </c>
      <c r="H314" s="1" t="s">
        <v>1762</v>
      </c>
      <c r="I314" s="1"/>
      <c r="J314" s="1" t="s">
        <v>1762</v>
      </c>
      <c r="K314" s="1"/>
      <c r="L314" s="7"/>
      <c r="M314" s="7" t="s">
        <v>125</v>
      </c>
      <c r="N314" s="7" t="s">
        <v>90</v>
      </c>
      <c r="O314" s="10"/>
      <c r="P314" s="10"/>
      <c r="Q314" s="7"/>
      <c r="R314" s="7"/>
      <c r="S314" s="7" t="s">
        <v>124</v>
      </c>
      <c r="T314" s="10"/>
      <c r="U314" s="11" t="s">
        <v>3727</v>
      </c>
      <c r="V314" s="11" t="s">
        <v>93</v>
      </c>
      <c r="W314" s="11">
        <v>0</v>
      </c>
      <c r="X314" s="11" t="s">
        <v>93</v>
      </c>
      <c r="Y314" s="11"/>
      <c r="Z314" s="12"/>
      <c r="AA314" s="11"/>
      <c r="AB314" s="11"/>
      <c r="AC314" s="1" t="s">
        <v>3728</v>
      </c>
      <c r="AD314" s="1" t="s">
        <v>3729</v>
      </c>
    </row>
    <row r="315" spans="1:30" ht="187.2" x14ac:dyDescent="0.3">
      <c r="A315" s="1" t="s">
        <v>202</v>
      </c>
      <c r="B315" s="1" t="s">
        <v>4510</v>
      </c>
      <c r="C315" s="1" t="s">
        <v>1564</v>
      </c>
      <c r="D315" s="1" t="s">
        <v>1763</v>
      </c>
      <c r="E315" s="1" t="s">
        <v>1566</v>
      </c>
      <c r="F315" s="1" t="s">
        <v>272</v>
      </c>
      <c r="G315" s="1" t="s">
        <v>1765</v>
      </c>
      <c r="H315" s="1" t="s">
        <v>1766</v>
      </c>
      <c r="I315" s="1"/>
      <c r="J315" s="1" t="s">
        <v>1766</v>
      </c>
      <c r="K315" s="1"/>
      <c r="L315" s="7"/>
      <c r="M315" s="7" t="s">
        <v>125</v>
      </c>
      <c r="N315" s="7" t="s">
        <v>90</v>
      </c>
      <c r="O315" s="10"/>
      <c r="P315" s="10"/>
      <c r="Q315" s="7"/>
      <c r="R315" s="7"/>
      <c r="S315" s="7" t="s">
        <v>124</v>
      </c>
      <c r="T315" s="10"/>
      <c r="U315" s="11" t="s">
        <v>3730</v>
      </c>
      <c r="V315" s="11" t="s">
        <v>93</v>
      </c>
      <c r="W315" s="11">
        <v>0</v>
      </c>
      <c r="X315" s="11" t="s">
        <v>93</v>
      </c>
      <c r="Y315" s="11"/>
      <c r="Z315" s="12"/>
      <c r="AA315" s="11"/>
      <c r="AB315" s="11"/>
      <c r="AC315" s="1" t="s">
        <v>3731</v>
      </c>
      <c r="AD315" s="1" t="s">
        <v>3732</v>
      </c>
    </row>
    <row r="316" spans="1:30" ht="187.2" x14ac:dyDescent="0.3">
      <c r="A316" s="1" t="s">
        <v>202</v>
      </c>
      <c r="B316" s="1" t="s">
        <v>4510</v>
      </c>
      <c r="C316" s="1" t="s">
        <v>1564</v>
      </c>
      <c r="D316" s="1" t="s">
        <v>1767</v>
      </c>
      <c r="E316" s="1" t="s">
        <v>1566</v>
      </c>
      <c r="F316" s="1" t="s">
        <v>272</v>
      </c>
      <c r="G316" s="1" t="s">
        <v>1769</v>
      </c>
      <c r="H316" s="1" t="s">
        <v>1770</v>
      </c>
      <c r="I316" s="1"/>
      <c r="J316" s="1" t="s">
        <v>1770</v>
      </c>
      <c r="K316" s="1" t="s">
        <v>1771</v>
      </c>
      <c r="L316" s="7"/>
      <c r="M316" s="7" t="s">
        <v>125</v>
      </c>
      <c r="N316" s="7" t="s">
        <v>90</v>
      </c>
      <c r="O316" s="10"/>
      <c r="P316" s="10"/>
      <c r="Q316" s="7"/>
      <c r="R316" s="7"/>
      <c r="S316" s="7" t="s">
        <v>124</v>
      </c>
      <c r="T316" s="10"/>
      <c r="U316" s="11" t="s">
        <v>3733</v>
      </c>
      <c r="V316" s="11" t="s">
        <v>93</v>
      </c>
      <c r="W316" s="11">
        <v>0</v>
      </c>
      <c r="X316" s="11" t="s">
        <v>93</v>
      </c>
      <c r="Y316" s="11"/>
      <c r="Z316" s="12"/>
      <c r="AA316" s="11"/>
      <c r="AB316" s="11"/>
      <c r="AC316" s="1" t="s">
        <v>3734</v>
      </c>
      <c r="AD316" s="1" t="s">
        <v>3735</v>
      </c>
    </row>
    <row r="317" spans="1:30" ht="187.2" x14ac:dyDescent="0.3">
      <c r="A317" s="1" t="s">
        <v>202</v>
      </c>
      <c r="B317" s="1" t="s">
        <v>4510</v>
      </c>
      <c r="C317" s="1" t="s">
        <v>1564</v>
      </c>
      <c r="D317" s="1" t="s">
        <v>1772</v>
      </c>
      <c r="E317" s="1" t="s">
        <v>1566</v>
      </c>
      <c r="F317" s="1" t="s">
        <v>932</v>
      </c>
      <c r="G317" s="1" t="s">
        <v>1774</v>
      </c>
      <c r="H317" s="1" t="s">
        <v>1775</v>
      </c>
      <c r="I317" s="1"/>
      <c r="J317" s="1" t="s">
        <v>1775</v>
      </c>
      <c r="K317" s="1"/>
      <c r="L317" s="7"/>
      <c r="M317" s="7" t="s">
        <v>125</v>
      </c>
      <c r="N317" s="7" t="s">
        <v>90</v>
      </c>
      <c r="O317" s="10"/>
      <c r="P317" s="10"/>
      <c r="Q317" s="7"/>
      <c r="R317" s="7"/>
      <c r="S317" s="7" t="s">
        <v>124</v>
      </c>
      <c r="T317" s="10"/>
      <c r="U317" s="11" t="s">
        <v>3736</v>
      </c>
      <c r="V317" s="11" t="s">
        <v>93</v>
      </c>
      <c r="W317" s="11">
        <v>0</v>
      </c>
      <c r="X317" s="11" t="s">
        <v>93</v>
      </c>
      <c r="Y317" s="11"/>
      <c r="Z317" s="12"/>
      <c r="AA317" s="11"/>
      <c r="AB317" s="11"/>
      <c r="AC317" s="1" t="s">
        <v>3737</v>
      </c>
      <c r="AD317" s="1" t="s">
        <v>3738</v>
      </c>
    </row>
    <row r="318" spans="1:30" ht="187.2" x14ac:dyDescent="0.3">
      <c r="A318" s="1" t="s">
        <v>202</v>
      </c>
      <c r="B318" s="1" t="s">
        <v>4510</v>
      </c>
      <c r="C318" s="1" t="s">
        <v>1564</v>
      </c>
      <c r="D318" s="1" t="s">
        <v>1776</v>
      </c>
      <c r="E318" s="1" t="s">
        <v>1566</v>
      </c>
      <c r="F318" s="1" t="s">
        <v>1778</v>
      </c>
      <c r="G318" s="1" t="s">
        <v>1779</v>
      </c>
      <c r="H318" s="1" t="s">
        <v>1780</v>
      </c>
      <c r="I318" s="1"/>
      <c r="J318" s="1" t="s">
        <v>1780</v>
      </c>
      <c r="K318" s="1"/>
      <c r="L318" s="7"/>
      <c r="M318" s="7" t="s">
        <v>125</v>
      </c>
      <c r="N318" s="7" t="s">
        <v>90</v>
      </c>
      <c r="O318" s="10"/>
      <c r="P318" s="10"/>
      <c r="Q318" s="7"/>
      <c r="R318" s="7"/>
      <c r="S318" s="7" t="s">
        <v>124</v>
      </c>
      <c r="T318" s="10"/>
      <c r="U318" s="11" t="s">
        <v>3739</v>
      </c>
      <c r="V318" s="11" t="s">
        <v>93</v>
      </c>
      <c r="W318" s="11">
        <v>0</v>
      </c>
      <c r="X318" s="11" t="s">
        <v>93</v>
      </c>
      <c r="Y318" s="11"/>
      <c r="Z318" s="12"/>
      <c r="AA318" s="11"/>
      <c r="AB318" s="11"/>
      <c r="AC318" s="1" t="s">
        <v>3740</v>
      </c>
      <c r="AD318" s="1" t="s">
        <v>3741</v>
      </c>
    </row>
    <row r="319" spans="1:30" ht="187.2" x14ac:dyDescent="0.3">
      <c r="A319" s="1" t="s">
        <v>202</v>
      </c>
      <c r="B319" s="1" t="s">
        <v>4510</v>
      </c>
      <c r="C319" s="1" t="s">
        <v>1564</v>
      </c>
      <c r="D319" s="1" t="s">
        <v>1781</v>
      </c>
      <c r="E319" s="1" t="s">
        <v>1566</v>
      </c>
      <c r="F319" s="1" t="s">
        <v>1783</v>
      </c>
      <c r="G319" s="1" t="s">
        <v>1784</v>
      </c>
      <c r="H319" s="1" t="s">
        <v>1785</v>
      </c>
      <c r="I319" s="1" t="s">
        <v>1786</v>
      </c>
      <c r="J319" s="1" t="s">
        <v>1785</v>
      </c>
      <c r="K319" s="1"/>
      <c r="L319" s="7"/>
      <c r="M319" s="7" t="s">
        <v>125</v>
      </c>
      <c r="N319" s="7" t="s">
        <v>90</v>
      </c>
      <c r="O319" s="10"/>
      <c r="P319" s="10"/>
      <c r="Q319" s="7"/>
      <c r="R319" s="7"/>
      <c r="S319" s="7" t="s">
        <v>124</v>
      </c>
      <c r="T319" s="10"/>
      <c r="U319" s="11" t="s">
        <v>3742</v>
      </c>
      <c r="V319" s="11" t="s">
        <v>93</v>
      </c>
      <c r="W319" s="11">
        <v>0</v>
      </c>
      <c r="X319" s="11" t="s">
        <v>93</v>
      </c>
      <c r="Y319" s="11"/>
      <c r="Z319" s="12"/>
      <c r="AA319" s="11"/>
      <c r="AB319" s="11"/>
      <c r="AC319" s="1" t="s">
        <v>3743</v>
      </c>
      <c r="AD319" s="1" t="s">
        <v>3744</v>
      </c>
    </row>
    <row r="320" spans="1:30" ht="187.2" x14ac:dyDescent="0.3">
      <c r="A320" s="1" t="s">
        <v>202</v>
      </c>
      <c r="B320" s="1" t="s">
        <v>4510</v>
      </c>
      <c r="C320" s="1" t="s">
        <v>1564</v>
      </c>
      <c r="D320" s="1" t="s">
        <v>1787</v>
      </c>
      <c r="E320" s="1" t="s">
        <v>1566</v>
      </c>
      <c r="F320" s="1" t="s">
        <v>1789</v>
      </c>
      <c r="G320" s="1" t="s">
        <v>285</v>
      </c>
      <c r="H320" s="1" t="s">
        <v>1790</v>
      </c>
      <c r="I320" s="1"/>
      <c r="J320" s="1" t="s">
        <v>1790</v>
      </c>
      <c r="K320" s="1"/>
      <c r="L320" s="7"/>
      <c r="M320" s="7" t="s">
        <v>125</v>
      </c>
      <c r="N320" s="7" t="s">
        <v>90</v>
      </c>
      <c r="O320" s="10"/>
      <c r="P320" s="10"/>
      <c r="Q320" s="7"/>
      <c r="R320" s="7"/>
      <c r="S320" s="7" t="s">
        <v>124</v>
      </c>
      <c r="T320" s="10"/>
      <c r="U320" s="11" t="s">
        <v>3745</v>
      </c>
      <c r="V320" s="11" t="s">
        <v>93</v>
      </c>
      <c r="W320" s="11">
        <v>0</v>
      </c>
      <c r="X320" s="11" t="s">
        <v>93</v>
      </c>
      <c r="Y320" s="11"/>
      <c r="Z320" s="12"/>
      <c r="AA320" s="11"/>
      <c r="AB320" s="11"/>
      <c r="AC320" s="1" t="s">
        <v>3746</v>
      </c>
      <c r="AD320" s="1" t="s">
        <v>3747</v>
      </c>
    </row>
    <row r="321" spans="1:30" ht="187.2" x14ac:dyDescent="0.3">
      <c r="A321" s="1" t="s">
        <v>202</v>
      </c>
      <c r="B321" s="1" t="s">
        <v>4510</v>
      </c>
      <c r="C321" s="1" t="s">
        <v>1564</v>
      </c>
      <c r="D321" s="1" t="s">
        <v>1791</v>
      </c>
      <c r="E321" s="1" t="s">
        <v>1566</v>
      </c>
      <c r="F321" s="1" t="s">
        <v>1793</v>
      </c>
      <c r="G321" s="1" t="s">
        <v>1794</v>
      </c>
      <c r="H321" s="1"/>
      <c r="I321" s="1"/>
      <c r="J321" s="1"/>
      <c r="K321" s="1" t="s">
        <v>1795</v>
      </c>
      <c r="L321" s="7"/>
      <c r="M321" s="7" t="s">
        <v>125</v>
      </c>
      <c r="N321" s="7" t="s">
        <v>90</v>
      </c>
      <c r="O321" s="10"/>
      <c r="P321" s="10"/>
      <c r="Q321" s="7"/>
      <c r="R321" s="7"/>
      <c r="S321" s="7" t="s">
        <v>124</v>
      </c>
      <c r="T321" s="10"/>
      <c r="U321" s="11" t="s">
        <v>3748</v>
      </c>
      <c r="V321" s="11" t="s">
        <v>93</v>
      </c>
      <c r="W321" s="11">
        <v>0</v>
      </c>
      <c r="X321" s="11" t="s">
        <v>93</v>
      </c>
      <c r="Y321" s="11"/>
      <c r="Z321" s="12"/>
      <c r="AA321" s="11"/>
      <c r="AB321" s="11"/>
      <c r="AC321" s="1" t="s">
        <v>3749</v>
      </c>
      <c r="AD321" s="1" t="s">
        <v>3750</v>
      </c>
    </row>
    <row r="322" spans="1:30" ht="187.2" x14ac:dyDescent="0.3">
      <c r="A322" s="1" t="s">
        <v>202</v>
      </c>
      <c r="B322" s="1" t="s">
        <v>4510</v>
      </c>
      <c r="C322" s="1" t="s">
        <v>1564</v>
      </c>
      <c r="D322" s="1" t="s">
        <v>1796</v>
      </c>
      <c r="E322" s="1" t="s">
        <v>1566</v>
      </c>
      <c r="F322" s="1" t="s">
        <v>1672</v>
      </c>
      <c r="G322" s="1" t="s">
        <v>1798</v>
      </c>
      <c r="H322" s="1" t="s">
        <v>1799</v>
      </c>
      <c r="I322" s="1" t="s">
        <v>1800</v>
      </c>
      <c r="J322" s="1" t="s">
        <v>1799</v>
      </c>
      <c r="K322" s="1" t="s">
        <v>1801</v>
      </c>
      <c r="L322" s="7"/>
      <c r="M322" s="7" t="s">
        <v>125</v>
      </c>
      <c r="N322" s="7" t="s">
        <v>90</v>
      </c>
      <c r="O322" s="10"/>
      <c r="P322" s="10"/>
      <c r="Q322" s="7"/>
      <c r="R322" s="7"/>
      <c r="S322" s="7" t="s">
        <v>124</v>
      </c>
      <c r="T322" s="10"/>
      <c r="U322" s="11" t="s">
        <v>3751</v>
      </c>
      <c r="V322" s="11" t="s">
        <v>93</v>
      </c>
      <c r="W322" s="11">
        <v>0</v>
      </c>
      <c r="X322" s="11" t="s">
        <v>93</v>
      </c>
      <c r="Y322" s="11"/>
      <c r="Z322" s="12"/>
      <c r="AA322" s="11"/>
      <c r="AB322" s="11"/>
      <c r="AC322" s="1" t="s">
        <v>3752</v>
      </c>
      <c r="AD322" s="1" t="s">
        <v>3753</v>
      </c>
    </row>
    <row r="323" spans="1:30" ht="187.2" x14ac:dyDescent="0.3">
      <c r="A323" s="1" t="s">
        <v>202</v>
      </c>
      <c r="B323" s="1" t="s">
        <v>4510</v>
      </c>
      <c r="C323" s="1" t="s">
        <v>1564</v>
      </c>
      <c r="D323" s="1" t="s">
        <v>1802</v>
      </c>
      <c r="E323" s="1" t="s">
        <v>1566</v>
      </c>
      <c r="F323" s="1" t="s">
        <v>1804</v>
      </c>
      <c r="G323" s="1" t="s">
        <v>1805</v>
      </c>
      <c r="H323" s="1" t="s">
        <v>1806</v>
      </c>
      <c r="I323" s="1"/>
      <c r="J323" s="1" t="s">
        <v>1806</v>
      </c>
      <c r="K323" s="1"/>
      <c r="L323" s="7"/>
      <c r="M323" s="7" t="s">
        <v>125</v>
      </c>
      <c r="N323" s="7" t="s">
        <v>90</v>
      </c>
      <c r="O323" s="10"/>
      <c r="P323" s="10"/>
      <c r="Q323" s="7"/>
      <c r="R323" s="7"/>
      <c r="S323" s="7" t="s">
        <v>124</v>
      </c>
      <c r="T323" s="10"/>
      <c r="U323" s="11" t="s">
        <v>3754</v>
      </c>
      <c r="V323" s="11" t="s">
        <v>93</v>
      </c>
      <c r="W323" s="11">
        <v>0</v>
      </c>
      <c r="X323" s="11" t="s">
        <v>93</v>
      </c>
      <c r="Y323" s="11"/>
      <c r="Z323" s="12"/>
      <c r="AA323" s="11"/>
      <c r="AB323" s="11"/>
      <c r="AC323" s="1" t="s">
        <v>3755</v>
      </c>
      <c r="AD323" s="1" t="s">
        <v>3756</v>
      </c>
    </row>
    <row r="324" spans="1:30" ht="187.2" x14ac:dyDescent="0.3">
      <c r="A324" s="1" t="s">
        <v>202</v>
      </c>
      <c r="B324" s="1" t="s">
        <v>4510</v>
      </c>
      <c r="C324" s="1" t="s">
        <v>1564</v>
      </c>
      <c r="D324" s="1" t="s">
        <v>1807</v>
      </c>
      <c r="E324" s="1" t="s">
        <v>1566</v>
      </c>
      <c r="F324" s="1" t="s">
        <v>1809</v>
      </c>
      <c r="G324" s="1" t="s">
        <v>1810</v>
      </c>
      <c r="H324" s="1" t="s">
        <v>1811</v>
      </c>
      <c r="I324" s="1"/>
      <c r="J324" s="1" t="s">
        <v>1811</v>
      </c>
      <c r="K324" s="1"/>
      <c r="L324" s="7"/>
      <c r="M324" s="7" t="s">
        <v>125</v>
      </c>
      <c r="N324" s="7" t="s">
        <v>90</v>
      </c>
      <c r="O324" s="10"/>
      <c r="P324" s="10"/>
      <c r="Q324" s="7"/>
      <c r="R324" s="7"/>
      <c r="S324" s="7" t="s">
        <v>124</v>
      </c>
      <c r="T324" s="10"/>
      <c r="U324" s="11" t="s">
        <v>3757</v>
      </c>
      <c r="V324" s="11" t="s">
        <v>93</v>
      </c>
      <c r="W324" s="11">
        <v>0</v>
      </c>
      <c r="X324" s="11" t="s">
        <v>93</v>
      </c>
      <c r="Y324" s="11"/>
      <c r="Z324" s="12"/>
      <c r="AA324" s="11"/>
      <c r="AB324" s="11"/>
      <c r="AC324" s="1" t="s">
        <v>3758</v>
      </c>
      <c r="AD324" s="1" t="s">
        <v>3759</v>
      </c>
    </row>
    <row r="325" spans="1:30" ht="187.2" x14ac:dyDescent="0.3">
      <c r="A325" s="1" t="s">
        <v>202</v>
      </c>
      <c r="B325" s="1" t="s">
        <v>4510</v>
      </c>
      <c r="C325" s="1" t="s">
        <v>1564</v>
      </c>
      <c r="D325" s="1" t="s">
        <v>1812</v>
      </c>
      <c r="E325" s="1" t="s">
        <v>1566</v>
      </c>
      <c r="F325" s="1" t="s">
        <v>1814</v>
      </c>
      <c r="G325" s="1" t="s">
        <v>1815</v>
      </c>
      <c r="H325" s="1" t="s">
        <v>1816</v>
      </c>
      <c r="I325" s="1" t="s">
        <v>1817</v>
      </c>
      <c r="J325" s="1" t="s">
        <v>1816</v>
      </c>
      <c r="K325" s="1"/>
      <c r="L325" s="7"/>
      <c r="M325" s="7" t="s">
        <v>125</v>
      </c>
      <c r="N325" s="7" t="s">
        <v>90</v>
      </c>
      <c r="O325" s="10"/>
      <c r="P325" s="10"/>
      <c r="Q325" s="7"/>
      <c r="R325" s="7"/>
      <c r="S325" s="7" t="s">
        <v>124</v>
      </c>
      <c r="T325" s="10"/>
      <c r="U325" s="11" t="s">
        <v>3760</v>
      </c>
      <c r="V325" s="11" t="s">
        <v>93</v>
      </c>
      <c r="W325" s="11">
        <v>0</v>
      </c>
      <c r="X325" s="11" t="s">
        <v>93</v>
      </c>
      <c r="Y325" s="11"/>
      <c r="Z325" s="12"/>
      <c r="AA325" s="11"/>
      <c r="AB325" s="11"/>
      <c r="AC325" s="1" t="s">
        <v>3761</v>
      </c>
      <c r="AD325" s="1" t="s">
        <v>3762</v>
      </c>
    </row>
    <row r="326" spans="1:30" ht="187.2" x14ac:dyDescent="0.3">
      <c r="A326" s="1" t="s">
        <v>270</v>
      </c>
      <c r="B326" s="1" t="s">
        <v>4516</v>
      </c>
      <c r="C326" s="1" t="s">
        <v>1818</v>
      </c>
      <c r="D326" s="1" t="s">
        <v>1819</v>
      </c>
      <c r="E326" s="1" t="s">
        <v>1820</v>
      </c>
      <c r="F326" s="1" t="s">
        <v>1822</v>
      </c>
      <c r="G326" s="1" t="s">
        <v>1823</v>
      </c>
      <c r="H326" s="1" t="s">
        <v>1824</v>
      </c>
      <c r="I326" s="1"/>
      <c r="J326" s="1" t="s">
        <v>1824</v>
      </c>
      <c r="K326" s="1"/>
      <c r="L326" s="7"/>
      <c r="M326" s="7" t="s">
        <v>125</v>
      </c>
      <c r="N326" s="7" t="s">
        <v>90</v>
      </c>
      <c r="O326" s="10"/>
      <c r="P326" s="10"/>
      <c r="Q326" s="7"/>
      <c r="R326" s="7"/>
      <c r="S326" s="7" t="s">
        <v>124</v>
      </c>
      <c r="T326" s="10"/>
      <c r="U326" s="11" t="s">
        <v>3763</v>
      </c>
      <c r="V326" s="11" t="s">
        <v>93</v>
      </c>
      <c r="W326" s="11">
        <v>0</v>
      </c>
      <c r="X326" s="11" t="s">
        <v>93</v>
      </c>
      <c r="Y326" s="11"/>
      <c r="Z326" s="12"/>
      <c r="AA326" s="11"/>
      <c r="AB326" s="11"/>
      <c r="AC326" s="1" t="s">
        <v>3764</v>
      </c>
      <c r="AD326" s="1" t="s">
        <v>3765</v>
      </c>
    </row>
    <row r="327" spans="1:30" ht="187.2" x14ac:dyDescent="0.3">
      <c r="A327" s="1" t="s">
        <v>270</v>
      </c>
      <c r="B327" s="1" t="s">
        <v>4516</v>
      </c>
      <c r="C327" s="1" t="s">
        <v>1818</v>
      </c>
      <c r="D327" s="1" t="s">
        <v>1825</v>
      </c>
      <c r="E327" s="1" t="s">
        <v>1820</v>
      </c>
      <c r="F327" s="1" t="s">
        <v>1827</v>
      </c>
      <c r="G327" s="1" t="s">
        <v>1828</v>
      </c>
      <c r="H327" s="1" t="s">
        <v>1829</v>
      </c>
      <c r="I327" s="1" t="s">
        <v>1830</v>
      </c>
      <c r="J327" s="1" t="s">
        <v>1829</v>
      </c>
      <c r="K327" s="1"/>
      <c r="L327" s="7"/>
      <c r="M327" s="7" t="s">
        <v>125</v>
      </c>
      <c r="N327" s="7" t="s">
        <v>90</v>
      </c>
      <c r="O327" s="10"/>
      <c r="P327" s="10"/>
      <c r="Q327" s="7"/>
      <c r="R327" s="7"/>
      <c r="S327" s="7" t="s">
        <v>124</v>
      </c>
      <c r="T327" s="10"/>
      <c r="U327" s="11" t="s">
        <v>3766</v>
      </c>
      <c r="V327" s="11" t="s">
        <v>93</v>
      </c>
      <c r="W327" s="11">
        <v>0</v>
      </c>
      <c r="X327" s="11" t="s">
        <v>93</v>
      </c>
      <c r="Y327" s="11"/>
      <c r="Z327" s="12"/>
      <c r="AA327" s="11"/>
      <c r="AB327" s="11"/>
      <c r="AC327" s="1" t="s">
        <v>3767</v>
      </c>
      <c r="AD327" s="1" t="s">
        <v>3768</v>
      </c>
    </row>
    <row r="328" spans="1:30" ht="187.2" x14ac:dyDescent="0.3">
      <c r="A328" s="1" t="s">
        <v>270</v>
      </c>
      <c r="B328" s="1" t="s">
        <v>4516</v>
      </c>
      <c r="C328" s="1" t="s">
        <v>1818</v>
      </c>
      <c r="D328" s="1" t="s">
        <v>1831</v>
      </c>
      <c r="E328" s="1" t="s">
        <v>1820</v>
      </c>
      <c r="F328" s="1" t="s">
        <v>1833</v>
      </c>
      <c r="G328" s="1" t="s">
        <v>1834</v>
      </c>
      <c r="H328" s="1" t="s">
        <v>1835</v>
      </c>
      <c r="I328" s="1"/>
      <c r="J328" s="1" t="s">
        <v>1835</v>
      </c>
      <c r="K328" s="1"/>
      <c r="L328" s="7"/>
      <c r="M328" s="7" t="s">
        <v>125</v>
      </c>
      <c r="N328" s="7" t="s">
        <v>90</v>
      </c>
      <c r="O328" s="10"/>
      <c r="P328" s="10"/>
      <c r="Q328" s="7"/>
      <c r="R328" s="7"/>
      <c r="S328" s="7" t="s">
        <v>124</v>
      </c>
      <c r="T328" s="10"/>
      <c r="U328" s="11" t="s">
        <v>3769</v>
      </c>
      <c r="V328" s="11" t="s">
        <v>93</v>
      </c>
      <c r="W328" s="11">
        <v>0</v>
      </c>
      <c r="X328" s="11" t="s">
        <v>93</v>
      </c>
      <c r="Y328" s="11"/>
      <c r="Z328" s="12"/>
      <c r="AA328" s="11"/>
      <c r="AB328" s="11"/>
      <c r="AC328" s="1" t="s">
        <v>3770</v>
      </c>
      <c r="AD328" s="1" t="s">
        <v>3771</v>
      </c>
    </row>
    <row r="329" spans="1:30" ht="187.2" x14ac:dyDescent="0.3">
      <c r="A329" s="1" t="s">
        <v>270</v>
      </c>
      <c r="B329" s="1" t="s">
        <v>4516</v>
      </c>
      <c r="C329" s="1" t="s">
        <v>1818</v>
      </c>
      <c r="D329" s="1" t="s">
        <v>1836</v>
      </c>
      <c r="E329" s="1" t="s">
        <v>1820</v>
      </c>
      <c r="F329" s="1" t="s">
        <v>1838</v>
      </c>
      <c r="G329" s="1" t="s">
        <v>1839</v>
      </c>
      <c r="H329" s="1" t="s">
        <v>1840</v>
      </c>
      <c r="I329" s="1"/>
      <c r="J329" s="1" t="s">
        <v>1840</v>
      </c>
      <c r="K329" s="1"/>
      <c r="L329" s="7"/>
      <c r="M329" s="7" t="s">
        <v>125</v>
      </c>
      <c r="N329" s="7" t="s">
        <v>90</v>
      </c>
      <c r="O329" s="10"/>
      <c r="P329" s="10"/>
      <c r="Q329" s="7"/>
      <c r="R329" s="7"/>
      <c r="S329" s="7" t="s">
        <v>124</v>
      </c>
      <c r="T329" s="10"/>
      <c r="U329" s="11" t="s">
        <v>3772</v>
      </c>
      <c r="V329" s="11" t="s">
        <v>93</v>
      </c>
      <c r="W329" s="11">
        <v>0</v>
      </c>
      <c r="X329" s="11" t="s">
        <v>93</v>
      </c>
      <c r="Y329" s="11"/>
      <c r="Z329" s="12"/>
      <c r="AA329" s="11"/>
      <c r="AB329" s="11"/>
      <c r="AC329" s="1" t="s">
        <v>3773</v>
      </c>
      <c r="AD329" s="1" t="s">
        <v>3774</v>
      </c>
    </row>
    <row r="330" spans="1:30" ht="187.2" x14ac:dyDescent="0.3">
      <c r="A330" s="1" t="s">
        <v>270</v>
      </c>
      <c r="B330" s="1" t="s">
        <v>4516</v>
      </c>
      <c r="C330" s="1" t="s">
        <v>1818</v>
      </c>
      <c r="D330" s="1" t="s">
        <v>1841</v>
      </c>
      <c r="E330" s="1" t="s">
        <v>1820</v>
      </c>
      <c r="F330" s="1" t="s">
        <v>1843</v>
      </c>
      <c r="G330" s="1" t="s">
        <v>1844</v>
      </c>
      <c r="H330" s="1" t="s">
        <v>1845</v>
      </c>
      <c r="I330" s="1" t="s">
        <v>1846</v>
      </c>
      <c r="J330" s="1" t="s">
        <v>1845</v>
      </c>
      <c r="K330" s="1"/>
      <c r="L330" s="7"/>
      <c r="M330" s="7" t="s">
        <v>125</v>
      </c>
      <c r="N330" s="7" t="s">
        <v>90</v>
      </c>
      <c r="O330" s="10"/>
      <c r="P330" s="10"/>
      <c r="Q330" s="7"/>
      <c r="R330" s="7"/>
      <c r="S330" s="7" t="s">
        <v>124</v>
      </c>
      <c r="T330" s="10"/>
      <c r="U330" s="11" t="s">
        <v>3775</v>
      </c>
      <c r="V330" s="11" t="s">
        <v>93</v>
      </c>
      <c r="W330" s="11">
        <v>0</v>
      </c>
      <c r="X330" s="11" t="s">
        <v>93</v>
      </c>
      <c r="Y330" s="11"/>
      <c r="Z330" s="12"/>
      <c r="AA330" s="11"/>
      <c r="AB330" s="11"/>
      <c r="AC330" s="1" t="s">
        <v>3776</v>
      </c>
      <c r="AD330" s="1" t="s">
        <v>3777</v>
      </c>
    </row>
    <row r="331" spans="1:30" ht="187.2" x14ac:dyDescent="0.3">
      <c r="A331" s="1" t="s">
        <v>270</v>
      </c>
      <c r="B331" s="1" t="s">
        <v>4516</v>
      </c>
      <c r="C331" s="1" t="s">
        <v>1818</v>
      </c>
      <c r="D331" s="1" t="s">
        <v>1847</v>
      </c>
      <c r="E331" s="1" t="s">
        <v>1820</v>
      </c>
      <c r="F331" s="1" t="s">
        <v>1849</v>
      </c>
      <c r="G331" s="1" t="s">
        <v>1850</v>
      </c>
      <c r="H331" s="1" t="s">
        <v>1851</v>
      </c>
      <c r="I331" s="1"/>
      <c r="J331" s="1" t="s">
        <v>1851</v>
      </c>
      <c r="K331" s="1"/>
      <c r="L331" s="7"/>
      <c r="M331" s="7" t="s">
        <v>125</v>
      </c>
      <c r="N331" s="7" t="s">
        <v>90</v>
      </c>
      <c r="O331" s="10"/>
      <c r="P331" s="10"/>
      <c r="Q331" s="7"/>
      <c r="R331" s="7"/>
      <c r="S331" s="7" t="s">
        <v>124</v>
      </c>
      <c r="T331" s="10"/>
      <c r="U331" s="11" t="s">
        <v>3778</v>
      </c>
      <c r="V331" s="11" t="s">
        <v>93</v>
      </c>
      <c r="W331" s="11">
        <v>0</v>
      </c>
      <c r="X331" s="11" t="s">
        <v>93</v>
      </c>
      <c r="Y331" s="11"/>
      <c r="Z331" s="12"/>
      <c r="AA331" s="11"/>
      <c r="AB331" s="11"/>
      <c r="AC331" s="1" t="s">
        <v>3779</v>
      </c>
      <c r="AD331" s="1" t="s">
        <v>3780</v>
      </c>
    </row>
    <row r="332" spans="1:30" ht="187.2" x14ac:dyDescent="0.3">
      <c r="A332" s="1" t="s">
        <v>270</v>
      </c>
      <c r="B332" s="1" t="s">
        <v>4516</v>
      </c>
      <c r="C332" s="1" t="s">
        <v>1818</v>
      </c>
      <c r="D332" s="1" t="s">
        <v>1852</v>
      </c>
      <c r="E332" s="1" t="s">
        <v>1820</v>
      </c>
      <c r="F332" s="1" t="s">
        <v>1838</v>
      </c>
      <c r="G332" s="1" t="s">
        <v>1854</v>
      </c>
      <c r="H332" s="1" t="s">
        <v>1855</v>
      </c>
      <c r="I332" s="1"/>
      <c r="J332" s="1" t="s">
        <v>1855</v>
      </c>
      <c r="K332" s="1" t="s">
        <v>1856</v>
      </c>
      <c r="L332" s="7"/>
      <c r="M332" s="7" t="s">
        <v>125</v>
      </c>
      <c r="N332" s="7" t="s">
        <v>90</v>
      </c>
      <c r="O332" s="10"/>
      <c r="P332" s="10"/>
      <c r="Q332" s="7"/>
      <c r="R332" s="7"/>
      <c r="S332" s="7" t="s">
        <v>124</v>
      </c>
      <c r="T332" s="10"/>
      <c r="U332" s="11" t="s">
        <v>3781</v>
      </c>
      <c r="V332" s="11" t="s">
        <v>93</v>
      </c>
      <c r="W332" s="11">
        <v>0</v>
      </c>
      <c r="X332" s="11" t="s">
        <v>93</v>
      </c>
      <c r="Y332" s="11"/>
      <c r="Z332" s="12"/>
      <c r="AA332" s="11"/>
      <c r="AB332" s="11"/>
      <c r="AC332" s="1" t="s">
        <v>3782</v>
      </c>
      <c r="AD332" s="1" t="s">
        <v>3783</v>
      </c>
    </row>
    <row r="333" spans="1:30" ht="187.2" x14ac:dyDescent="0.3">
      <c r="A333" s="1" t="s">
        <v>270</v>
      </c>
      <c r="B333" s="1" t="s">
        <v>4516</v>
      </c>
      <c r="C333" s="1" t="s">
        <v>1818</v>
      </c>
      <c r="D333" s="1" t="s">
        <v>1857</v>
      </c>
      <c r="E333" s="1" t="s">
        <v>1820</v>
      </c>
      <c r="F333" s="1" t="s">
        <v>1859</v>
      </c>
      <c r="G333" s="1" t="s">
        <v>1860</v>
      </c>
      <c r="H333" s="1" t="s">
        <v>1861</v>
      </c>
      <c r="I333" s="1"/>
      <c r="J333" s="1" t="s">
        <v>1861</v>
      </c>
      <c r="K333" s="1"/>
      <c r="L333" s="7"/>
      <c r="M333" s="7" t="s">
        <v>125</v>
      </c>
      <c r="N333" s="7" t="s">
        <v>90</v>
      </c>
      <c r="O333" s="10"/>
      <c r="P333" s="10"/>
      <c r="Q333" s="7"/>
      <c r="R333" s="7"/>
      <c r="S333" s="7" t="s">
        <v>124</v>
      </c>
      <c r="T333" s="10"/>
      <c r="U333" s="11" t="s">
        <v>3784</v>
      </c>
      <c r="V333" s="11" t="s">
        <v>93</v>
      </c>
      <c r="W333" s="11">
        <v>0</v>
      </c>
      <c r="X333" s="11" t="s">
        <v>93</v>
      </c>
      <c r="Y333" s="11"/>
      <c r="Z333" s="12"/>
      <c r="AA333" s="11"/>
      <c r="AB333" s="11"/>
      <c r="AC333" s="1" t="s">
        <v>3785</v>
      </c>
      <c r="AD333" s="1" t="s">
        <v>3786</v>
      </c>
    </row>
    <row r="334" spans="1:30" ht="187.2" x14ac:dyDescent="0.3">
      <c r="A334" s="1" t="s">
        <v>270</v>
      </c>
      <c r="B334" s="1" t="s">
        <v>4516</v>
      </c>
      <c r="C334" s="1" t="s">
        <v>1818</v>
      </c>
      <c r="D334" s="1" t="s">
        <v>1862</v>
      </c>
      <c r="E334" s="1" t="s">
        <v>1820</v>
      </c>
      <c r="F334" s="1" t="s">
        <v>1864</v>
      </c>
      <c r="G334" s="1" t="s">
        <v>1865</v>
      </c>
      <c r="H334" s="1" t="s">
        <v>1866</v>
      </c>
      <c r="I334" s="1" t="s">
        <v>1867</v>
      </c>
      <c r="J334" s="1" t="s">
        <v>1866</v>
      </c>
      <c r="K334" s="1"/>
      <c r="L334" s="7"/>
      <c r="M334" s="7" t="s">
        <v>125</v>
      </c>
      <c r="N334" s="7" t="s">
        <v>90</v>
      </c>
      <c r="O334" s="10"/>
      <c r="P334" s="10"/>
      <c r="Q334" s="7"/>
      <c r="R334" s="7"/>
      <c r="S334" s="7" t="s">
        <v>124</v>
      </c>
      <c r="T334" s="10"/>
      <c r="U334" s="11" t="s">
        <v>3787</v>
      </c>
      <c r="V334" s="11" t="s">
        <v>93</v>
      </c>
      <c r="W334" s="11">
        <v>0</v>
      </c>
      <c r="X334" s="11" t="s">
        <v>93</v>
      </c>
      <c r="Y334" s="11"/>
      <c r="Z334" s="12"/>
      <c r="AA334" s="11"/>
      <c r="AB334" s="11"/>
      <c r="AC334" s="1" t="s">
        <v>3788</v>
      </c>
      <c r="AD334" s="1" t="s">
        <v>3789</v>
      </c>
    </row>
    <row r="335" spans="1:30" ht="187.2" x14ac:dyDescent="0.3">
      <c r="A335" s="1" t="s">
        <v>270</v>
      </c>
      <c r="B335" s="1" t="s">
        <v>4516</v>
      </c>
      <c r="C335" s="1" t="s">
        <v>1818</v>
      </c>
      <c r="D335" s="1" t="s">
        <v>1868</v>
      </c>
      <c r="E335" s="1" t="s">
        <v>1820</v>
      </c>
      <c r="F335" s="1" t="s">
        <v>439</v>
      </c>
      <c r="G335" s="1" t="s">
        <v>1870</v>
      </c>
      <c r="H335" s="1" t="s">
        <v>1871</v>
      </c>
      <c r="I335" s="1"/>
      <c r="J335" s="1" t="s">
        <v>1871</v>
      </c>
      <c r="K335" s="1"/>
      <c r="L335" s="7"/>
      <c r="M335" s="7" t="s">
        <v>125</v>
      </c>
      <c r="N335" s="7" t="s">
        <v>90</v>
      </c>
      <c r="O335" s="10"/>
      <c r="P335" s="10"/>
      <c r="Q335" s="7"/>
      <c r="R335" s="7"/>
      <c r="S335" s="7" t="s">
        <v>124</v>
      </c>
      <c r="T335" s="10"/>
      <c r="U335" s="11" t="s">
        <v>3790</v>
      </c>
      <c r="V335" s="11" t="s">
        <v>93</v>
      </c>
      <c r="W335" s="11">
        <v>0</v>
      </c>
      <c r="X335" s="11" t="s">
        <v>93</v>
      </c>
      <c r="Y335" s="11"/>
      <c r="Z335" s="12"/>
      <c r="AA335" s="11"/>
      <c r="AB335" s="11"/>
      <c r="AC335" s="1" t="s">
        <v>3791</v>
      </c>
      <c r="AD335" s="1" t="s">
        <v>3792</v>
      </c>
    </row>
    <row r="336" spans="1:30" ht="187.2" x14ac:dyDescent="0.3">
      <c r="A336" s="1" t="s">
        <v>270</v>
      </c>
      <c r="B336" s="1" t="s">
        <v>4516</v>
      </c>
      <c r="C336" s="1" t="s">
        <v>1818</v>
      </c>
      <c r="D336" s="1" t="s">
        <v>1872</v>
      </c>
      <c r="E336" s="1" t="s">
        <v>1820</v>
      </c>
      <c r="F336" s="1" t="s">
        <v>1874</v>
      </c>
      <c r="G336" s="1" t="s">
        <v>1875</v>
      </c>
      <c r="H336" s="1"/>
      <c r="I336" s="1"/>
      <c r="J336" s="1"/>
      <c r="K336" s="1"/>
      <c r="L336" s="7"/>
      <c r="M336" s="7" t="s">
        <v>125</v>
      </c>
      <c r="N336" s="7" t="s">
        <v>90</v>
      </c>
      <c r="O336" s="10"/>
      <c r="P336" s="10"/>
      <c r="Q336" s="7"/>
      <c r="R336" s="7"/>
      <c r="S336" s="7" t="s">
        <v>124</v>
      </c>
      <c r="T336" s="10"/>
      <c r="U336" s="11" t="s">
        <v>3793</v>
      </c>
      <c r="V336" s="11" t="s">
        <v>93</v>
      </c>
      <c r="W336" s="11">
        <v>0</v>
      </c>
      <c r="X336" s="11" t="s">
        <v>93</v>
      </c>
      <c r="Y336" s="11"/>
      <c r="Z336" s="12"/>
      <c r="AA336" s="11"/>
      <c r="AB336" s="11"/>
      <c r="AC336" s="1" t="s">
        <v>3794</v>
      </c>
      <c r="AD336" s="1" t="s">
        <v>3795</v>
      </c>
    </row>
    <row r="337" spans="1:30" ht="187.2" x14ac:dyDescent="0.3">
      <c r="A337" s="1" t="s">
        <v>270</v>
      </c>
      <c r="B337" s="1" t="s">
        <v>4516</v>
      </c>
      <c r="C337" s="1" t="s">
        <v>1818</v>
      </c>
      <c r="D337" s="1" t="s">
        <v>1876</v>
      </c>
      <c r="E337" s="1" t="s">
        <v>1820</v>
      </c>
      <c r="F337" s="1" t="s">
        <v>1016</v>
      </c>
      <c r="G337" s="1" t="s">
        <v>1878</v>
      </c>
      <c r="H337" s="1" t="s">
        <v>1879</v>
      </c>
      <c r="I337" s="1" t="s">
        <v>1880</v>
      </c>
      <c r="J337" s="1" t="s">
        <v>1879</v>
      </c>
      <c r="K337" s="1" t="s">
        <v>1881</v>
      </c>
      <c r="L337" s="7"/>
      <c r="M337" s="7" t="s">
        <v>125</v>
      </c>
      <c r="N337" s="7" t="s">
        <v>90</v>
      </c>
      <c r="O337" s="10"/>
      <c r="P337" s="10"/>
      <c r="Q337" s="7"/>
      <c r="R337" s="7"/>
      <c r="S337" s="7" t="s">
        <v>124</v>
      </c>
      <c r="T337" s="10"/>
      <c r="U337" s="11" t="s">
        <v>3796</v>
      </c>
      <c r="V337" s="11" t="s">
        <v>93</v>
      </c>
      <c r="W337" s="11">
        <v>0</v>
      </c>
      <c r="X337" s="11" t="s">
        <v>93</v>
      </c>
      <c r="Y337" s="11"/>
      <c r="Z337" s="12"/>
      <c r="AA337" s="11"/>
      <c r="AB337" s="11"/>
      <c r="AC337" s="1" t="s">
        <v>3797</v>
      </c>
      <c r="AD337" s="1" t="s">
        <v>3798</v>
      </c>
    </row>
    <row r="338" spans="1:30" ht="187.2" x14ac:dyDescent="0.3">
      <c r="A338" s="1" t="s">
        <v>270</v>
      </c>
      <c r="B338" s="1" t="s">
        <v>4516</v>
      </c>
      <c r="C338" s="1" t="s">
        <v>1818</v>
      </c>
      <c r="D338" s="1" t="s">
        <v>1882</v>
      </c>
      <c r="E338" s="1" t="s">
        <v>1820</v>
      </c>
      <c r="F338" s="1" t="s">
        <v>1884</v>
      </c>
      <c r="G338" s="1" t="s">
        <v>1885</v>
      </c>
      <c r="H338" s="1" t="s">
        <v>1886</v>
      </c>
      <c r="I338" s="1"/>
      <c r="J338" s="1" t="s">
        <v>1886</v>
      </c>
      <c r="K338" s="1"/>
      <c r="L338" s="7"/>
      <c r="M338" s="7" t="s">
        <v>125</v>
      </c>
      <c r="N338" s="7" t="s">
        <v>90</v>
      </c>
      <c r="O338" s="10"/>
      <c r="P338" s="10"/>
      <c r="Q338" s="7"/>
      <c r="R338" s="7"/>
      <c r="S338" s="7" t="s">
        <v>124</v>
      </c>
      <c r="T338" s="10"/>
      <c r="U338" s="11" t="s">
        <v>3799</v>
      </c>
      <c r="V338" s="11" t="s">
        <v>93</v>
      </c>
      <c r="W338" s="11">
        <v>0</v>
      </c>
      <c r="X338" s="11" t="s">
        <v>93</v>
      </c>
      <c r="Y338" s="11"/>
      <c r="Z338" s="12"/>
      <c r="AA338" s="11"/>
      <c r="AB338" s="11"/>
      <c r="AC338" s="1" t="s">
        <v>3800</v>
      </c>
      <c r="AD338" s="1" t="s">
        <v>3801</v>
      </c>
    </row>
    <row r="339" spans="1:30" ht="187.2" x14ac:dyDescent="0.3">
      <c r="A339" s="1" t="s">
        <v>262</v>
      </c>
      <c r="B339" s="1" t="s">
        <v>4517</v>
      </c>
      <c r="C339" s="1" t="s">
        <v>1887</v>
      </c>
      <c r="D339" s="1" t="s">
        <v>1888</v>
      </c>
      <c r="E339" s="1" t="s">
        <v>1889</v>
      </c>
      <c r="F339" s="1" t="s">
        <v>1891</v>
      </c>
      <c r="G339" s="1" t="s">
        <v>1892</v>
      </c>
      <c r="H339" s="1" t="s">
        <v>1893</v>
      </c>
      <c r="I339" s="1"/>
      <c r="J339" s="1" t="s">
        <v>1893</v>
      </c>
      <c r="K339" s="1"/>
      <c r="L339" s="7"/>
      <c r="M339" s="7" t="s">
        <v>125</v>
      </c>
      <c r="N339" s="7" t="s">
        <v>90</v>
      </c>
      <c r="O339" s="10"/>
      <c r="P339" s="10"/>
      <c r="Q339" s="7"/>
      <c r="R339" s="7"/>
      <c r="S339" s="7" t="s">
        <v>124</v>
      </c>
      <c r="T339" s="10"/>
      <c r="U339" s="11" t="s">
        <v>3802</v>
      </c>
      <c r="V339" s="11" t="s">
        <v>93</v>
      </c>
      <c r="W339" s="11">
        <v>0</v>
      </c>
      <c r="X339" s="11" t="s">
        <v>93</v>
      </c>
      <c r="Y339" s="11"/>
      <c r="Z339" s="12"/>
      <c r="AA339" s="11"/>
      <c r="AB339" s="11"/>
      <c r="AC339" s="1" t="s">
        <v>3803</v>
      </c>
      <c r="AD339" s="1" t="s">
        <v>3804</v>
      </c>
    </row>
    <row r="340" spans="1:30" ht="187.2" x14ac:dyDescent="0.3">
      <c r="A340" s="1" t="s">
        <v>262</v>
      </c>
      <c r="B340" s="1" t="s">
        <v>4517</v>
      </c>
      <c r="C340" s="1" t="s">
        <v>1887</v>
      </c>
      <c r="D340" s="1" t="s">
        <v>1894</v>
      </c>
      <c r="E340" s="1" t="s">
        <v>1889</v>
      </c>
      <c r="F340" s="1" t="s">
        <v>1896</v>
      </c>
      <c r="G340" s="1" t="s">
        <v>1897</v>
      </c>
      <c r="H340" s="1" t="s">
        <v>1898</v>
      </c>
      <c r="I340" s="1"/>
      <c r="J340" s="1" t="s">
        <v>1898</v>
      </c>
      <c r="K340" s="1"/>
      <c r="L340" s="7"/>
      <c r="M340" s="7" t="s">
        <v>125</v>
      </c>
      <c r="N340" s="7" t="s">
        <v>90</v>
      </c>
      <c r="O340" s="10"/>
      <c r="P340" s="10"/>
      <c r="Q340" s="7"/>
      <c r="R340" s="7"/>
      <c r="S340" s="7" t="s">
        <v>124</v>
      </c>
      <c r="T340" s="10"/>
      <c r="U340" s="11" t="s">
        <v>3805</v>
      </c>
      <c r="V340" s="11" t="s">
        <v>93</v>
      </c>
      <c r="W340" s="11">
        <v>0</v>
      </c>
      <c r="X340" s="11" t="s">
        <v>93</v>
      </c>
      <c r="Y340" s="11"/>
      <c r="Z340" s="12"/>
      <c r="AA340" s="11"/>
      <c r="AB340" s="11"/>
      <c r="AC340" s="1" t="s">
        <v>3806</v>
      </c>
      <c r="AD340" s="1" t="s">
        <v>3807</v>
      </c>
    </row>
    <row r="341" spans="1:30" ht="187.2" x14ac:dyDescent="0.3">
      <c r="A341" s="1" t="s">
        <v>262</v>
      </c>
      <c r="B341" s="1" t="s">
        <v>4517</v>
      </c>
      <c r="C341" s="1" t="s">
        <v>1887</v>
      </c>
      <c r="D341" s="1" t="s">
        <v>1899</v>
      </c>
      <c r="E341" s="1" t="s">
        <v>1889</v>
      </c>
      <c r="F341" s="1" t="s">
        <v>1901</v>
      </c>
      <c r="G341" s="1" t="s">
        <v>972</v>
      </c>
      <c r="H341" s="1" t="s">
        <v>1902</v>
      </c>
      <c r="I341" s="1"/>
      <c r="J341" s="1" t="s">
        <v>1902</v>
      </c>
      <c r="K341" s="1"/>
      <c r="L341" s="7"/>
      <c r="M341" s="7" t="s">
        <v>125</v>
      </c>
      <c r="N341" s="7" t="s">
        <v>90</v>
      </c>
      <c r="O341" s="10"/>
      <c r="P341" s="10"/>
      <c r="Q341" s="7"/>
      <c r="R341" s="7"/>
      <c r="S341" s="7" t="s">
        <v>124</v>
      </c>
      <c r="T341" s="10"/>
      <c r="U341" s="11" t="s">
        <v>3808</v>
      </c>
      <c r="V341" s="11" t="s">
        <v>93</v>
      </c>
      <c r="W341" s="11">
        <v>0</v>
      </c>
      <c r="X341" s="11" t="s">
        <v>93</v>
      </c>
      <c r="Y341" s="11"/>
      <c r="Z341" s="12"/>
      <c r="AA341" s="11"/>
      <c r="AB341" s="11"/>
      <c r="AC341" s="1" t="s">
        <v>3809</v>
      </c>
      <c r="AD341" s="1" t="s">
        <v>3810</v>
      </c>
    </row>
    <row r="342" spans="1:30" ht="187.2" x14ac:dyDescent="0.3">
      <c r="A342" s="1" t="s">
        <v>262</v>
      </c>
      <c r="B342" s="1" t="s">
        <v>4517</v>
      </c>
      <c r="C342" s="1" t="s">
        <v>1887</v>
      </c>
      <c r="D342" s="1" t="s">
        <v>1903</v>
      </c>
      <c r="E342" s="1" t="s">
        <v>1889</v>
      </c>
      <c r="F342" s="1" t="s">
        <v>349</v>
      </c>
      <c r="G342" s="1" t="s">
        <v>826</v>
      </c>
      <c r="H342" s="1" t="s">
        <v>1905</v>
      </c>
      <c r="I342" s="1"/>
      <c r="J342" s="1" t="s">
        <v>1905</v>
      </c>
      <c r="K342" s="1"/>
      <c r="L342" s="7"/>
      <c r="M342" s="7" t="s">
        <v>125</v>
      </c>
      <c r="N342" s="7" t="s">
        <v>90</v>
      </c>
      <c r="O342" s="10"/>
      <c r="P342" s="10"/>
      <c r="Q342" s="7"/>
      <c r="R342" s="7"/>
      <c r="S342" s="7" t="s">
        <v>124</v>
      </c>
      <c r="T342" s="10"/>
      <c r="U342" s="11" t="s">
        <v>3811</v>
      </c>
      <c r="V342" s="11" t="s">
        <v>93</v>
      </c>
      <c r="W342" s="11">
        <v>0</v>
      </c>
      <c r="X342" s="11" t="s">
        <v>93</v>
      </c>
      <c r="Y342" s="11"/>
      <c r="Z342" s="12"/>
      <c r="AA342" s="11"/>
      <c r="AB342" s="11"/>
      <c r="AC342" s="1" t="s">
        <v>3812</v>
      </c>
      <c r="AD342" s="1" t="s">
        <v>3813</v>
      </c>
    </row>
    <row r="343" spans="1:30" ht="187.2" x14ac:dyDescent="0.3">
      <c r="A343" s="1" t="s">
        <v>262</v>
      </c>
      <c r="B343" s="1" t="s">
        <v>4517</v>
      </c>
      <c r="C343" s="1" t="s">
        <v>1887</v>
      </c>
      <c r="D343" s="1" t="s">
        <v>1906</v>
      </c>
      <c r="E343" s="1" t="s">
        <v>1889</v>
      </c>
      <c r="F343" s="1" t="s">
        <v>1908</v>
      </c>
      <c r="G343" s="1" t="s">
        <v>1909</v>
      </c>
      <c r="H343" s="1" t="s">
        <v>1910</v>
      </c>
      <c r="I343" s="1"/>
      <c r="J343" s="1" t="s">
        <v>1910</v>
      </c>
      <c r="K343" s="1"/>
      <c r="L343" s="7"/>
      <c r="M343" s="7" t="s">
        <v>125</v>
      </c>
      <c r="N343" s="7" t="s">
        <v>90</v>
      </c>
      <c r="O343" s="10"/>
      <c r="P343" s="10"/>
      <c r="Q343" s="7"/>
      <c r="R343" s="7"/>
      <c r="S343" s="7" t="s">
        <v>124</v>
      </c>
      <c r="T343" s="10"/>
      <c r="U343" s="11" t="s">
        <v>3814</v>
      </c>
      <c r="V343" s="11" t="s">
        <v>93</v>
      </c>
      <c r="W343" s="11">
        <v>0</v>
      </c>
      <c r="X343" s="11" t="s">
        <v>93</v>
      </c>
      <c r="Y343" s="11"/>
      <c r="Z343" s="12"/>
      <c r="AA343" s="11"/>
      <c r="AB343" s="11"/>
      <c r="AC343" s="1" t="s">
        <v>3815</v>
      </c>
      <c r="AD343" s="1" t="s">
        <v>3816</v>
      </c>
    </row>
    <row r="344" spans="1:30" ht="187.2" x14ac:dyDescent="0.3">
      <c r="A344" s="1" t="s">
        <v>262</v>
      </c>
      <c r="B344" s="1" t="s">
        <v>4517</v>
      </c>
      <c r="C344" s="1" t="s">
        <v>1887</v>
      </c>
      <c r="D344" s="1" t="s">
        <v>1911</v>
      </c>
      <c r="E344" s="1" t="s">
        <v>1889</v>
      </c>
      <c r="F344" s="1" t="s">
        <v>1913</v>
      </c>
      <c r="G344" s="1" t="s">
        <v>1834</v>
      </c>
      <c r="H344" s="1" t="s">
        <v>1914</v>
      </c>
      <c r="I344" s="1"/>
      <c r="J344" s="1" t="s">
        <v>1914</v>
      </c>
      <c r="K344" s="1"/>
      <c r="L344" s="7"/>
      <c r="M344" s="7" t="s">
        <v>125</v>
      </c>
      <c r="N344" s="7" t="s">
        <v>90</v>
      </c>
      <c r="O344" s="10"/>
      <c r="P344" s="10"/>
      <c r="Q344" s="7"/>
      <c r="R344" s="7"/>
      <c r="S344" s="7" t="s">
        <v>124</v>
      </c>
      <c r="T344" s="10"/>
      <c r="U344" s="11" t="s">
        <v>3817</v>
      </c>
      <c r="V344" s="11" t="s">
        <v>93</v>
      </c>
      <c r="W344" s="11">
        <v>0</v>
      </c>
      <c r="X344" s="11" t="s">
        <v>93</v>
      </c>
      <c r="Y344" s="11"/>
      <c r="Z344" s="12"/>
      <c r="AA344" s="11"/>
      <c r="AB344" s="11"/>
      <c r="AC344" s="1" t="s">
        <v>3818</v>
      </c>
      <c r="AD344" s="1" t="s">
        <v>3819</v>
      </c>
    </row>
    <row r="345" spans="1:30" ht="187.2" x14ac:dyDescent="0.3">
      <c r="A345" s="1" t="s">
        <v>262</v>
      </c>
      <c r="B345" s="1" t="s">
        <v>4517</v>
      </c>
      <c r="C345" s="1" t="s">
        <v>1887</v>
      </c>
      <c r="D345" s="1" t="s">
        <v>1915</v>
      </c>
      <c r="E345" s="1" t="s">
        <v>1889</v>
      </c>
      <c r="F345" s="1" t="s">
        <v>458</v>
      </c>
      <c r="G345" s="1" t="s">
        <v>1457</v>
      </c>
      <c r="H345" s="1" t="s">
        <v>1917</v>
      </c>
      <c r="I345" s="1"/>
      <c r="J345" s="1" t="s">
        <v>1917</v>
      </c>
      <c r="K345" s="1"/>
      <c r="L345" s="7"/>
      <c r="M345" s="7" t="s">
        <v>125</v>
      </c>
      <c r="N345" s="7" t="s">
        <v>90</v>
      </c>
      <c r="O345" s="10"/>
      <c r="P345" s="10"/>
      <c r="Q345" s="7"/>
      <c r="R345" s="7"/>
      <c r="S345" s="7" t="s">
        <v>124</v>
      </c>
      <c r="T345" s="10"/>
      <c r="U345" s="11" t="s">
        <v>3820</v>
      </c>
      <c r="V345" s="11" t="s">
        <v>93</v>
      </c>
      <c r="W345" s="11">
        <v>0</v>
      </c>
      <c r="X345" s="11" t="s">
        <v>93</v>
      </c>
      <c r="Y345" s="11"/>
      <c r="Z345" s="12"/>
      <c r="AA345" s="11"/>
      <c r="AB345" s="11"/>
      <c r="AC345" s="1" t="s">
        <v>3821</v>
      </c>
      <c r="AD345" s="1" t="s">
        <v>3822</v>
      </c>
    </row>
    <row r="346" spans="1:30" ht="187.2" x14ac:dyDescent="0.3">
      <c r="A346" s="1" t="s">
        <v>262</v>
      </c>
      <c r="B346" s="1" t="s">
        <v>4517</v>
      </c>
      <c r="C346" s="1" t="s">
        <v>1887</v>
      </c>
      <c r="D346" s="1" t="s">
        <v>1918</v>
      </c>
      <c r="E346" s="1" t="s">
        <v>1889</v>
      </c>
      <c r="F346" s="1" t="s">
        <v>697</v>
      </c>
      <c r="G346" s="1" t="s">
        <v>226</v>
      </c>
      <c r="H346" s="1" t="s">
        <v>1920</v>
      </c>
      <c r="I346" s="1" t="s">
        <v>1921</v>
      </c>
      <c r="J346" s="1" t="s">
        <v>1920</v>
      </c>
      <c r="K346" s="1"/>
      <c r="L346" s="7"/>
      <c r="M346" s="7" t="s">
        <v>125</v>
      </c>
      <c r="N346" s="7" t="s">
        <v>90</v>
      </c>
      <c r="O346" s="10"/>
      <c r="P346" s="10"/>
      <c r="Q346" s="7"/>
      <c r="R346" s="7"/>
      <c r="S346" s="7" t="s">
        <v>124</v>
      </c>
      <c r="T346" s="10"/>
      <c r="U346" s="11" t="s">
        <v>3823</v>
      </c>
      <c r="V346" s="11" t="s">
        <v>93</v>
      </c>
      <c r="W346" s="11">
        <v>0</v>
      </c>
      <c r="X346" s="11" t="s">
        <v>93</v>
      </c>
      <c r="Y346" s="11"/>
      <c r="Z346" s="12"/>
      <c r="AA346" s="11"/>
      <c r="AB346" s="11"/>
      <c r="AC346" s="1" t="s">
        <v>3824</v>
      </c>
      <c r="AD346" s="1" t="s">
        <v>3825</v>
      </c>
    </row>
    <row r="347" spans="1:30" ht="187.2" x14ac:dyDescent="0.3">
      <c r="A347" s="1" t="s">
        <v>262</v>
      </c>
      <c r="B347" s="1" t="s">
        <v>4517</v>
      </c>
      <c r="C347" s="1" t="s">
        <v>1887</v>
      </c>
      <c r="D347" s="1" t="s">
        <v>1922</v>
      </c>
      <c r="E347" s="1" t="s">
        <v>1889</v>
      </c>
      <c r="F347" s="1" t="s">
        <v>1924</v>
      </c>
      <c r="G347" s="1" t="s">
        <v>939</v>
      </c>
      <c r="H347" s="1" t="s">
        <v>1925</v>
      </c>
      <c r="I347" s="1"/>
      <c r="J347" s="1" t="s">
        <v>1925</v>
      </c>
      <c r="K347" s="1"/>
      <c r="L347" s="7"/>
      <c r="M347" s="7" t="s">
        <v>125</v>
      </c>
      <c r="N347" s="7" t="s">
        <v>90</v>
      </c>
      <c r="O347" s="10"/>
      <c r="P347" s="10"/>
      <c r="Q347" s="7"/>
      <c r="R347" s="7"/>
      <c r="S347" s="7" t="s">
        <v>124</v>
      </c>
      <c r="T347" s="10"/>
      <c r="U347" s="11" t="s">
        <v>3826</v>
      </c>
      <c r="V347" s="11" t="s">
        <v>93</v>
      </c>
      <c r="W347" s="11">
        <v>0</v>
      </c>
      <c r="X347" s="11" t="s">
        <v>93</v>
      </c>
      <c r="Y347" s="11"/>
      <c r="Z347" s="12"/>
      <c r="AA347" s="11"/>
      <c r="AB347" s="11"/>
      <c r="AC347" s="1" t="s">
        <v>3827</v>
      </c>
      <c r="AD347" s="1" t="s">
        <v>3828</v>
      </c>
    </row>
    <row r="348" spans="1:30" ht="187.2" x14ac:dyDescent="0.3">
      <c r="A348" s="1" t="s">
        <v>262</v>
      </c>
      <c r="B348" s="1" t="s">
        <v>4517</v>
      </c>
      <c r="C348" s="1" t="s">
        <v>1887</v>
      </c>
      <c r="D348" s="1" t="s">
        <v>1926</v>
      </c>
      <c r="E348" s="1" t="s">
        <v>1889</v>
      </c>
      <c r="F348" s="1" t="s">
        <v>1928</v>
      </c>
      <c r="G348" s="1" t="s">
        <v>1929</v>
      </c>
      <c r="H348" s="1" t="s">
        <v>1930</v>
      </c>
      <c r="I348" s="1"/>
      <c r="J348" s="1" t="s">
        <v>1930</v>
      </c>
      <c r="K348" s="1"/>
      <c r="L348" s="7"/>
      <c r="M348" s="7" t="s">
        <v>125</v>
      </c>
      <c r="N348" s="7" t="s">
        <v>90</v>
      </c>
      <c r="O348" s="10"/>
      <c r="P348" s="10"/>
      <c r="Q348" s="7"/>
      <c r="R348" s="7"/>
      <c r="S348" s="7" t="s">
        <v>124</v>
      </c>
      <c r="T348" s="10"/>
      <c r="U348" s="11" t="s">
        <v>3829</v>
      </c>
      <c r="V348" s="11" t="s">
        <v>93</v>
      </c>
      <c r="W348" s="11">
        <v>0</v>
      </c>
      <c r="X348" s="11" t="s">
        <v>93</v>
      </c>
      <c r="Y348" s="11"/>
      <c r="Z348" s="12"/>
      <c r="AA348" s="11"/>
      <c r="AB348" s="11"/>
      <c r="AC348" s="1" t="s">
        <v>3830</v>
      </c>
      <c r="AD348" s="1" t="s">
        <v>3831</v>
      </c>
    </row>
    <row r="349" spans="1:30" ht="187.2" x14ac:dyDescent="0.3">
      <c r="A349" s="1" t="s">
        <v>262</v>
      </c>
      <c r="B349" s="1" t="s">
        <v>4517</v>
      </c>
      <c r="C349" s="1" t="s">
        <v>1887</v>
      </c>
      <c r="D349" s="1" t="s">
        <v>1931</v>
      </c>
      <c r="E349" s="1" t="s">
        <v>1889</v>
      </c>
      <c r="F349" s="1" t="s">
        <v>1933</v>
      </c>
      <c r="G349" s="1" t="s">
        <v>1934</v>
      </c>
      <c r="H349" s="1" t="s">
        <v>1935</v>
      </c>
      <c r="I349" s="1" t="s">
        <v>1936</v>
      </c>
      <c r="J349" s="1" t="s">
        <v>1935</v>
      </c>
      <c r="K349" s="1"/>
      <c r="L349" s="7"/>
      <c r="M349" s="7" t="s">
        <v>125</v>
      </c>
      <c r="N349" s="7" t="s">
        <v>90</v>
      </c>
      <c r="O349" s="10"/>
      <c r="P349" s="10"/>
      <c r="Q349" s="7"/>
      <c r="R349" s="7"/>
      <c r="S349" s="7" t="s">
        <v>124</v>
      </c>
      <c r="T349" s="10"/>
      <c r="U349" s="11" t="s">
        <v>3832</v>
      </c>
      <c r="V349" s="11" t="s">
        <v>93</v>
      </c>
      <c r="W349" s="11">
        <v>0</v>
      </c>
      <c r="X349" s="11" t="s">
        <v>93</v>
      </c>
      <c r="Y349" s="11"/>
      <c r="Z349" s="12"/>
      <c r="AA349" s="11"/>
      <c r="AB349" s="11"/>
      <c r="AC349" s="1" t="s">
        <v>3833</v>
      </c>
      <c r="AD349" s="1" t="s">
        <v>3834</v>
      </c>
    </row>
    <row r="350" spans="1:30" ht="187.2" x14ac:dyDescent="0.3">
      <c r="A350" s="1" t="s">
        <v>262</v>
      </c>
      <c r="B350" s="1" t="s">
        <v>4517</v>
      </c>
      <c r="C350" s="1" t="s">
        <v>1887</v>
      </c>
      <c r="D350" s="1" t="s">
        <v>1937</v>
      </c>
      <c r="E350" s="1" t="s">
        <v>1889</v>
      </c>
      <c r="F350" s="1" t="s">
        <v>1933</v>
      </c>
      <c r="G350" s="1" t="s">
        <v>259</v>
      </c>
      <c r="H350" s="1" t="s">
        <v>1939</v>
      </c>
      <c r="I350" s="1"/>
      <c r="J350" s="1" t="s">
        <v>1939</v>
      </c>
      <c r="K350" s="1"/>
      <c r="L350" s="7"/>
      <c r="M350" s="7" t="s">
        <v>125</v>
      </c>
      <c r="N350" s="7" t="s">
        <v>90</v>
      </c>
      <c r="O350" s="10"/>
      <c r="P350" s="10"/>
      <c r="Q350" s="7"/>
      <c r="R350" s="7"/>
      <c r="S350" s="7" t="s">
        <v>124</v>
      </c>
      <c r="T350" s="10"/>
      <c r="U350" s="11" t="s">
        <v>3835</v>
      </c>
      <c r="V350" s="11" t="s">
        <v>93</v>
      </c>
      <c r="W350" s="11">
        <v>0</v>
      </c>
      <c r="X350" s="11" t="s">
        <v>93</v>
      </c>
      <c r="Y350" s="11"/>
      <c r="Z350" s="12"/>
      <c r="AA350" s="11"/>
      <c r="AB350" s="11"/>
      <c r="AC350" s="1" t="s">
        <v>3836</v>
      </c>
      <c r="AD350" s="1" t="s">
        <v>3837</v>
      </c>
    </row>
    <row r="351" spans="1:30" ht="187.2" x14ac:dyDescent="0.3">
      <c r="A351" s="1" t="s">
        <v>262</v>
      </c>
      <c r="B351" s="1" t="s">
        <v>4517</v>
      </c>
      <c r="C351" s="1" t="s">
        <v>1887</v>
      </c>
      <c r="D351" s="1" t="s">
        <v>1940</v>
      </c>
      <c r="E351" s="1" t="s">
        <v>1889</v>
      </c>
      <c r="F351" s="1" t="s">
        <v>334</v>
      </c>
      <c r="G351" s="1" t="s">
        <v>1942</v>
      </c>
      <c r="H351" s="1" t="s">
        <v>1943</v>
      </c>
      <c r="I351" s="1"/>
      <c r="J351" s="1" t="s">
        <v>1943</v>
      </c>
      <c r="K351" s="1"/>
      <c r="L351" s="7"/>
      <c r="M351" s="7" t="s">
        <v>125</v>
      </c>
      <c r="N351" s="7" t="s">
        <v>90</v>
      </c>
      <c r="O351" s="10"/>
      <c r="P351" s="10"/>
      <c r="Q351" s="7"/>
      <c r="R351" s="7"/>
      <c r="S351" s="7" t="s">
        <v>124</v>
      </c>
      <c r="T351" s="10"/>
      <c r="U351" s="11" t="s">
        <v>3838</v>
      </c>
      <c r="V351" s="11" t="s">
        <v>93</v>
      </c>
      <c r="W351" s="11">
        <v>0</v>
      </c>
      <c r="X351" s="11" t="s">
        <v>93</v>
      </c>
      <c r="Y351" s="11"/>
      <c r="Z351" s="12"/>
      <c r="AA351" s="11"/>
      <c r="AB351" s="11"/>
      <c r="AC351" s="1" t="s">
        <v>3839</v>
      </c>
      <c r="AD351" s="1" t="s">
        <v>3840</v>
      </c>
    </row>
    <row r="352" spans="1:30" ht="187.2" x14ac:dyDescent="0.3">
      <c r="A352" s="1" t="s">
        <v>262</v>
      </c>
      <c r="B352" s="1" t="s">
        <v>4517</v>
      </c>
      <c r="C352" s="1" t="s">
        <v>1887</v>
      </c>
      <c r="D352" s="1" t="s">
        <v>1944</v>
      </c>
      <c r="E352" s="1" t="s">
        <v>1889</v>
      </c>
      <c r="F352" s="1" t="s">
        <v>1946</v>
      </c>
      <c r="G352" s="1" t="s">
        <v>1457</v>
      </c>
      <c r="H352" s="1" t="s">
        <v>1947</v>
      </c>
      <c r="I352" s="1"/>
      <c r="J352" s="1" t="s">
        <v>1947</v>
      </c>
      <c r="K352" s="1"/>
      <c r="L352" s="7"/>
      <c r="M352" s="7" t="s">
        <v>125</v>
      </c>
      <c r="N352" s="7" t="s">
        <v>90</v>
      </c>
      <c r="O352" s="10"/>
      <c r="P352" s="10"/>
      <c r="Q352" s="7"/>
      <c r="R352" s="7"/>
      <c r="S352" s="7" t="s">
        <v>124</v>
      </c>
      <c r="T352" s="10"/>
      <c r="U352" s="11" t="s">
        <v>3841</v>
      </c>
      <c r="V352" s="11" t="s">
        <v>93</v>
      </c>
      <c r="W352" s="11">
        <v>0</v>
      </c>
      <c r="X352" s="11" t="s">
        <v>93</v>
      </c>
      <c r="Y352" s="11"/>
      <c r="Z352" s="12"/>
      <c r="AA352" s="11"/>
      <c r="AB352" s="11"/>
      <c r="AC352" s="1" t="s">
        <v>3842</v>
      </c>
      <c r="AD352" s="1" t="s">
        <v>3843</v>
      </c>
    </row>
    <row r="353" spans="1:30" ht="187.2" x14ac:dyDescent="0.3">
      <c r="A353" s="1" t="s">
        <v>262</v>
      </c>
      <c r="B353" s="1" t="s">
        <v>4517</v>
      </c>
      <c r="C353" s="1" t="s">
        <v>1887</v>
      </c>
      <c r="D353" s="1" t="s">
        <v>1948</v>
      </c>
      <c r="E353" s="1" t="s">
        <v>1889</v>
      </c>
      <c r="F353" s="1" t="s">
        <v>1950</v>
      </c>
      <c r="G353" s="1" t="s">
        <v>1951</v>
      </c>
      <c r="H353" s="1" t="s">
        <v>1952</v>
      </c>
      <c r="I353" s="1"/>
      <c r="J353" s="1" t="s">
        <v>1952</v>
      </c>
      <c r="K353" s="1"/>
      <c r="L353" s="7"/>
      <c r="M353" s="7" t="s">
        <v>125</v>
      </c>
      <c r="N353" s="7" t="s">
        <v>90</v>
      </c>
      <c r="O353" s="10"/>
      <c r="P353" s="10"/>
      <c r="Q353" s="7"/>
      <c r="R353" s="7"/>
      <c r="S353" s="7" t="s">
        <v>124</v>
      </c>
      <c r="T353" s="10"/>
      <c r="U353" s="11" t="s">
        <v>3844</v>
      </c>
      <c r="V353" s="11" t="s">
        <v>93</v>
      </c>
      <c r="W353" s="11">
        <v>0</v>
      </c>
      <c r="X353" s="11" t="s">
        <v>93</v>
      </c>
      <c r="Y353" s="11"/>
      <c r="Z353" s="12"/>
      <c r="AA353" s="11"/>
      <c r="AB353" s="11"/>
      <c r="AC353" s="1" t="s">
        <v>3845</v>
      </c>
      <c r="AD353" s="1" t="s">
        <v>3846</v>
      </c>
    </row>
    <row r="354" spans="1:30" ht="187.2" x14ac:dyDescent="0.3">
      <c r="A354" s="1" t="s">
        <v>270</v>
      </c>
      <c r="B354" s="1" t="s">
        <v>4519</v>
      </c>
      <c r="C354" s="1" t="s">
        <v>1953</v>
      </c>
      <c r="D354" s="1" t="s">
        <v>1954</v>
      </c>
      <c r="E354" s="1" t="s">
        <v>1955</v>
      </c>
      <c r="F354" s="1" t="s">
        <v>1573</v>
      </c>
      <c r="G354" s="1" t="s">
        <v>1834</v>
      </c>
      <c r="H354" s="1" t="s">
        <v>1957</v>
      </c>
      <c r="I354" s="1"/>
      <c r="J354" s="1" t="s">
        <v>1957</v>
      </c>
      <c r="K354" s="1"/>
      <c r="L354" s="7"/>
      <c r="M354" s="7" t="s">
        <v>125</v>
      </c>
      <c r="N354" s="7" t="s">
        <v>90</v>
      </c>
      <c r="O354" s="10"/>
      <c r="P354" s="10"/>
      <c r="Q354" s="7"/>
      <c r="R354" s="7"/>
      <c r="S354" s="7" t="s">
        <v>124</v>
      </c>
      <c r="T354" s="10"/>
      <c r="U354" s="11" t="s">
        <v>3847</v>
      </c>
      <c r="V354" s="11" t="s">
        <v>93</v>
      </c>
      <c r="W354" s="11">
        <v>0</v>
      </c>
      <c r="X354" s="11" t="s">
        <v>93</v>
      </c>
      <c r="Y354" s="11"/>
      <c r="Z354" s="12"/>
      <c r="AA354" s="11"/>
      <c r="AB354" s="11"/>
      <c r="AC354" s="1" t="s">
        <v>3848</v>
      </c>
      <c r="AD354" s="1" t="s">
        <v>3849</v>
      </c>
    </row>
    <row r="355" spans="1:30" ht="187.2" x14ac:dyDescent="0.3">
      <c r="A355" s="1" t="s">
        <v>270</v>
      </c>
      <c r="B355" s="1" t="s">
        <v>4519</v>
      </c>
      <c r="C355" s="1" t="s">
        <v>1953</v>
      </c>
      <c r="D355" s="1" t="s">
        <v>1958</v>
      </c>
      <c r="E355" s="1" t="s">
        <v>1955</v>
      </c>
      <c r="F355" s="1" t="s">
        <v>1960</v>
      </c>
      <c r="G355" s="1" t="s">
        <v>1961</v>
      </c>
      <c r="H355" s="1" t="s">
        <v>1962</v>
      </c>
      <c r="I355" s="1"/>
      <c r="J355" s="1" t="s">
        <v>1962</v>
      </c>
      <c r="K355" s="1"/>
      <c r="L355" s="7"/>
      <c r="M355" s="7" t="s">
        <v>125</v>
      </c>
      <c r="N355" s="7" t="s">
        <v>90</v>
      </c>
      <c r="O355" s="10"/>
      <c r="P355" s="10"/>
      <c r="Q355" s="7"/>
      <c r="R355" s="7"/>
      <c r="S355" s="7" t="s">
        <v>124</v>
      </c>
      <c r="T355" s="10"/>
      <c r="U355" s="11" t="s">
        <v>3850</v>
      </c>
      <c r="V355" s="11" t="s">
        <v>93</v>
      </c>
      <c r="W355" s="11">
        <v>0</v>
      </c>
      <c r="X355" s="11" t="s">
        <v>93</v>
      </c>
      <c r="Y355" s="11"/>
      <c r="Z355" s="12"/>
      <c r="AA355" s="11"/>
      <c r="AB355" s="11"/>
      <c r="AC355" s="1" t="s">
        <v>3851</v>
      </c>
      <c r="AD355" s="1" t="s">
        <v>3852</v>
      </c>
    </row>
    <row r="356" spans="1:30" ht="187.2" x14ac:dyDescent="0.3">
      <c r="A356" s="1" t="s">
        <v>270</v>
      </c>
      <c r="B356" s="1" t="s">
        <v>4519</v>
      </c>
      <c r="C356" s="1" t="s">
        <v>1953</v>
      </c>
      <c r="D356" s="1" t="s">
        <v>1963</v>
      </c>
      <c r="E356" s="1" t="s">
        <v>1955</v>
      </c>
      <c r="F356" s="1" t="s">
        <v>687</v>
      </c>
      <c r="G356" s="1" t="s">
        <v>1965</v>
      </c>
      <c r="H356" s="1" t="s">
        <v>1966</v>
      </c>
      <c r="I356" s="1"/>
      <c r="J356" s="1" t="s">
        <v>1966</v>
      </c>
      <c r="K356" s="1"/>
      <c r="L356" s="7"/>
      <c r="M356" s="7" t="s">
        <v>125</v>
      </c>
      <c r="N356" s="7" t="s">
        <v>90</v>
      </c>
      <c r="O356" s="10"/>
      <c r="P356" s="10"/>
      <c r="Q356" s="7"/>
      <c r="R356" s="7"/>
      <c r="S356" s="7" t="s">
        <v>124</v>
      </c>
      <c r="T356" s="10"/>
      <c r="U356" s="11" t="s">
        <v>3853</v>
      </c>
      <c r="V356" s="11" t="s">
        <v>93</v>
      </c>
      <c r="W356" s="11">
        <v>0</v>
      </c>
      <c r="X356" s="11" t="s">
        <v>93</v>
      </c>
      <c r="Y356" s="11"/>
      <c r="Z356" s="12"/>
      <c r="AA356" s="11"/>
      <c r="AB356" s="11"/>
      <c r="AC356" s="1" t="s">
        <v>3854</v>
      </c>
      <c r="AD356" s="1" t="s">
        <v>3855</v>
      </c>
    </row>
    <row r="357" spans="1:30" ht="187.2" x14ac:dyDescent="0.3">
      <c r="A357" s="1" t="s">
        <v>270</v>
      </c>
      <c r="B357" s="1" t="s">
        <v>4519</v>
      </c>
      <c r="C357" s="1" t="s">
        <v>1953</v>
      </c>
      <c r="D357" s="1" t="s">
        <v>1967</v>
      </c>
      <c r="E357" s="1" t="s">
        <v>1955</v>
      </c>
      <c r="F357" s="1" t="s">
        <v>1969</v>
      </c>
      <c r="G357" s="1" t="s">
        <v>772</v>
      </c>
      <c r="H357" s="1" t="s">
        <v>1970</v>
      </c>
      <c r="I357" s="1"/>
      <c r="J357" s="1" t="s">
        <v>1970</v>
      </c>
      <c r="K357" s="1"/>
      <c r="L357" s="7"/>
      <c r="M357" s="7" t="s">
        <v>125</v>
      </c>
      <c r="N357" s="7" t="s">
        <v>90</v>
      </c>
      <c r="O357" s="10"/>
      <c r="P357" s="10"/>
      <c r="Q357" s="7"/>
      <c r="R357" s="7"/>
      <c r="S357" s="7" t="s">
        <v>124</v>
      </c>
      <c r="T357" s="10"/>
      <c r="U357" s="11" t="s">
        <v>3856</v>
      </c>
      <c r="V357" s="11" t="s">
        <v>93</v>
      </c>
      <c r="W357" s="11">
        <v>0</v>
      </c>
      <c r="X357" s="11" t="s">
        <v>93</v>
      </c>
      <c r="Y357" s="11"/>
      <c r="Z357" s="12"/>
      <c r="AA357" s="11"/>
      <c r="AB357" s="11"/>
      <c r="AC357" s="1" t="s">
        <v>3857</v>
      </c>
      <c r="AD357" s="1" t="s">
        <v>3858</v>
      </c>
    </row>
    <row r="358" spans="1:30" ht="187.2" x14ac:dyDescent="0.3">
      <c r="A358" s="1" t="s">
        <v>270</v>
      </c>
      <c r="B358" s="1" t="s">
        <v>4519</v>
      </c>
      <c r="C358" s="1" t="s">
        <v>1953</v>
      </c>
      <c r="D358" s="1" t="s">
        <v>1971</v>
      </c>
      <c r="E358" s="1" t="s">
        <v>1955</v>
      </c>
      <c r="F358" s="1" t="s">
        <v>587</v>
      </c>
      <c r="G358" s="1" t="s">
        <v>1973</v>
      </c>
      <c r="H358" s="1" t="s">
        <v>1974</v>
      </c>
      <c r="I358" s="1" t="s">
        <v>1975</v>
      </c>
      <c r="J358" s="1" t="s">
        <v>1974</v>
      </c>
      <c r="K358" s="1" t="s">
        <v>268</v>
      </c>
      <c r="L358" s="7"/>
      <c r="M358" s="7" t="s">
        <v>125</v>
      </c>
      <c r="N358" s="7" t="s">
        <v>90</v>
      </c>
      <c r="O358" s="10"/>
      <c r="P358" s="10"/>
      <c r="Q358" s="7"/>
      <c r="R358" s="7"/>
      <c r="S358" s="7" t="s">
        <v>124</v>
      </c>
      <c r="T358" s="10"/>
      <c r="U358" s="11" t="s">
        <v>3859</v>
      </c>
      <c r="V358" s="11" t="s">
        <v>93</v>
      </c>
      <c r="W358" s="11">
        <v>0</v>
      </c>
      <c r="X358" s="11" t="s">
        <v>93</v>
      </c>
      <c r="Y358" s="11"/>
      <c r="Z358" s="12"/>
      <c r="AA358" s="11"/>
      <c r="AB358" s="11"/>
      <c r="AC358" s="1" t="s">
        <v>3860</v>
      </c>
      <c r="AD358" s="1" t="s">
        <v>3861</v>
      </c>
    </row>
    <row r="359" spans="1:30" ht="187.2" x14ac:dyDescent="0.3">
      <c r="A359" s="1" t="s">
        <v>270</v>
      </c>
      <c r="B359" s="1" t="s">
        <v>4519</v>
      </c>
      <c r="C359" s="1" t="s">
        <v>1953</v>
      </c>
      <c r="D359" s="1" t="s">
        <v>1976</v>
      </c>
      <c r="E359" s="1" t="s">
        <v>1955</v>
      </c>
      <c r="F359" s="1" t="s">
        <v>658</v>
      </c>
      <c r="G359" s="1" t="s">
        <v>335</v>
      </c>
      <c r="H359" s="1" t="s">
        <v>1978</v>
      </c>
      <c r="I359" s="1"/>
      <c r="J359" s="1" t="s">
        <v>1978</v>
      </c>
      <c r="K359" s="1"/>
      <c r="L359" s="7"/>
      <c r="M359" s="7" t="s">
        <v>125</v>
      </c>
      <c r="N359" s="7" t="s">
        <v>90</v>
      </c>
      <c r="O359" s="10"/>
      <c r="P359" s="10"/>
      <c r="Q359" s="7"/>
      <c r="R359" s="7"/>
      <c r="S359" s="7" t="s">
        <v>124</v>
      </c>
      <c r="T359" s="10"/>
      <c r="U359" s="11" t="s">
        <v>3862</v>
      </c>
      <c r="V359" s="11" t="s">
        <v>93</v>
      </c>
      <c r="W359" s="11">
        <v>0</v>
      </c>
      <c r="X359" s="11" t="s">
        <v>93</v>
      </c>
      <c r="Y359" s="11"/>
      <c r="Z359" s="12"/>
      <c r="AA359" s="11"/>
      <c r="AB359" s="11"/>
      <c r="AC359" s="1" t="s">
        <v>3863</v>
      </c>
      <c r="AD359" s="1" t="s">
        <v>3864</v>
      </c>
    </row>
    <row r="360" spans="1:30" ht="187.2" x14ac:dyDescent="0.3">
      <c r="A360" s="1" t="s">
        <v>270</v>
      </c>
      <c r="B360" s="1" t="s">
        <v>4519</v>
      </c>
      <c r="C360" s="1" t="s">
        <v>1953</v>
      </c>
      <c r="D360" s="1" t="s">
        <v>1979</v>
      </c>
      <c r="E360" s="1" t="s">
        <v>1955</v>
      </c>
      <c r="F360" s="1" t="s">
        <v>1981</v>
      </c>
      <c r="G360" s="1" t="s">
        <v>892</v>
      </c>
      <c r="H360" s="1" t="s">
        <v>1982</v>
      </c>
      <c r="I360" s="1"/>
      <c r="J360" s="1" t="s">
        <v>1982</v>
      </c>
      <c r="K360" s="1"/>
      <c r="L360" s="7"/>
      <c r="M360" s="7" t="s">
        <v>125</v>
      </c>
      <c r="N360" s="7" t="s">
        <v>90</v>
      </c>
      <c r="O360" s="10"/>
      <c r="P360" s="10"/>
      <c r="Q360" s="7"/>
      <c r="R360" s="7"/>
      <c r="S360" s="7" t="s">
        <v>124</v>
      </c>
      <c r="T360" s="10"/>
      <c r="U360" s="11" t="s">
        <v>3865</v>
      </c>
      <c r="V360" s="11" t="s">
        <v>93</v>
      </c>
      <c r="W360" s="11">
        <v>0</v>
      </c>
      <c r="X360" s="11" t="s">
        <v>93</v>
      </c>
      <c r="Y360" s="11"/>
      <c r="Z360" s="12"/>
      <c r="AA360" s="11"/>
      <c r="AB360" s="11"/>
      <c r="AC360" s="1" t="s">
        <v>3866</v>
      </c>
      <c r="AD360" s="1" t="s">
        <v>3867</v>
      </c>
    </row>
    <row r="361" spans="1:30" ht="187.2" x14ac:dyDescent="0.3">
      <c r="A361" s="1" t="s">
        <v>202</v>
      </c>
      <c r="B361" s="1" t="s">
        <v>4511</v>
      </c>
      <c r="C361" s="1" t="s">
        <v>1983</v>
      </c>
      <c r="D361" s="1" t="s">
        <v>1984</v>
      </c>
      <c r="E361" s="1" t="s">
        <v>1985</v>
      </c>
      <c r="F361" s="1" t="s">
        <v>1987</v>
      </c>
      <c r="G361" s="1" t="s">
        <v>534</v>
      </c>
      <c r="H361" s="1" t="s">
        <v>1988</v>
      </c>
      <c r="I361" s="1"/>
      <c r="J361" s="1" t="s">
        <v>1988</v>
      </c>
      <c r="K361" s="1"/>
      <c r="L361" s="7"/>
      <c r="M361" s="7" t="s">
        <v>125</v>
      </c>
      <c r="N361" s="7" t="s">
        <v>90</v>
      </c>
      <c r="O361" s="10"/>
      <c r="P361" s="10"/>
      <c r="Q361" s="7"/>
      <c r="R361" s="7"/>
      <c r="S361" s="7" t="s">
        <v>124</v>
      </c>
      <c r="T361" s="10"/>
      <c r="U361" s="11" t="s">
        <v>3868</v>
      </c>
      <c r="V361" s="11" t="s">
        <v>93</v>
      </c>
      <c r="W361" s="11">
        <v>0</v>
      </c>
      <c r="X361" s="11" t="s">
        <v>93</v>
      </c>
      <c r="Y361" s="11"/>
      <c r="Z361" s="12"/>
      <c r="AA361" s="11"/>
      <c r="AB361" s="11"/>
      <c r="AC361" s="1" t="s">
        <v>3869</v>
      </c>
      <c r="AD361" s="1" t="s">
        <v>3870</v>
      </c>
    </row>
    <row r="362" spans="1:30" ht="187.2" x14ac:dyDescent="0.3">
      <c r="A362" s="1" t="s">
        <v>202</v>
      </c>
      <c r="B362" s="1" t="s">
        <v>4511</v>
      </c>
      <c r="C362" s="1" t="s">
        <v>1983</v>
      </c>
      <c r="D362" s="1" t="s">
        <v>1989</v>
      </c>
      <c r="E362" s="1" t="s">
        <v>1985</v>
      </c>
      <c r="F362" s="1" t="s">
        <v>1991</v>
      </c>
      <c r="G362" s="1" t="s">
        <v>1992</v>
      </c>
      <c r="H362" s="1" t="s">
        <v>1993</v>
      </c>
      <c r="I362" s="1" t="s">
        <v>1994</v>
      </c>
      <c r="J362" s="1" t="s">
        <v>1993</v>
      </c>
      <c r="K362" s="1" t="s">
        <v>672</v>
      </c>
      <c r="L362" s="7"/>
      <c r="M362" s="7" t="s">
        <v>125</v>
      </c>
      <c r="N362" s="7" t="s">
        <v>90</v>
      </c>
      <c r="O362" s="10"/>
      <c r="P362" s="10"/>
      <c r="Q362" s="7"/>
      <c r="R362" s="7"/>
      <c r="S362" s="7" t="s">
        <v>124</v>
      </c>
      <c r="T362" s="10"/>
      <c r="U362" s="11" t="s">
        <v>3871</v>
      </c>
      <c r="V362" s="11" t="s">
        <v>93</v>
      </c>
      <c r="W362" s="11">
        <v>0</v>
      </c>
      <c r="X362" s="11" t="s">
        <v>93</v>
      </c>
      <c r="Y362" s="11"/>
      <c r="Z362" s="12"/>
      <c r="AA362" s="11"/>
      <c r="AB362" s="11"/>
      <c r="AC362" s="1" t="s">
        <v>3872</v>
      </c>
      <c r="AD362" s="1" t="s">
        <v>3873</v>
      </c>
    </row>
    <row r="363" spans="1:30" ht="187.2" x14ac:dyDescent="0.3">
      <c r="A363" s="1" t="s">
        <v>202</v>
      </c>
      <c r="B363" s="1" t="s">
        <v>4511</v>
      </c>
      <c r="C363" s="1" t="s">
        <v>1983</v>
      </c>
      <c r="D363" s="1" t="s">
        <v>1995</v>
      </c>
      <c r="E363" s="1" t="s">
        <v>1985</v>
      </c>
      <c r="F363" s="1" t="s">
        <v>379</v>
      </c>
      <c r="G363" s="1" t="s">
        <v>1997</v>
      </c>
      <c r="H363" s="1" t="s">
        <v>1998</v>
      </c>
      <c r="I363" s="1"/>
      <c r="J363" s="1" t="s">
        <v>1998</v>
      </c>
      <c r="K363" s="1"/>
      <c r="L363" s="7"/>
      <c r="M363" s="7" t="s">
        <v>125</v>
      </c>
      <c r="N363" s="7" t="s">
        <v>90</v>
      </c>
      <c r="O363" s="10"/>
      <c r="P363" s="10"/>
      <c r="Q363" s="7"/>
      <c r="R363" s="7"/>
      <c r="S363" s="7" t="s">
        <v>124</v>
      </c>
      <c r="T363" s="10"/>
      <c r="U363" s="11" t="s">
        <v>3874</v>
      </c>
      <c r="V363" s="11" t="s">
        <v>93</v>
      </c>
      <c r="W363" s="11">
        <v>0</v>
      </c>
      <c r="X363" s="11" t="s">
        <v>93</v>
      </c>
      <c r="Y363" s="11"/>
      <c r="Z363" s="12"/>
      <c r="AA363" s="11"/>
      <c r="AB363" s="11"/>
      <c r="AC363" s="1" t="s">
        <v>3875</v>
      </c>
      <c r="AD363" s="1" t="s">
        <v>3876</v>
      </c>
    </row>
    <row r="364" spans="1:30" ht="187.2" x14ac:dyDescent="0.3">
      <c r="A364" s="1" t="s">
        <v>202</v>
      </c>
      <c r="B364" s="1" t="s">
        <v>4511</v>
      </c>
      <c r="C364" s="1" t="s">
        <v>1983</v>
      </c>
      <c r="D364" s="1" t="s">
        <v>1999</v>
      </c>
      <c r="E364" s="1" t="s">
        <v>1985</v>
      </c>
      <c r="F364" s="1" t="s">
        <v>2001</v>
      </c>
      <c r="G364" s="1" t="s">
        <v>546</v>
      </c>
      <c r="H364" s="1" t="s">
        <v>2002</v>
      </c>
      <c r="I364" s="1"/>
      <c r="J364" s="1" t="s">
        <v>2002</v>
      </c>
      <c r="K364" s="1"/>
      <c r="L364" s="7"/>
      <c r="M364" s="7" t="s">
        <v>125</v>
      </c>
      <c r="N364" s="7" t="s">
        <v>90</v>
      </c>
      <c r="O364" s="10"/>
      <c r="P364" s="10"/>
      <c r="Q364" s="7"/>
      <c r="R364" s="7"/>
      <c r="S364" s="7" t="s">
        <v>124</v>
      </c>
      <c r="T364" s="10"/>
      <c r="U364" s="11" t="s">
        <v>3877</v>
      </c>
      <c r="V364" s="11" t="s">
        <v>93</v>
      </c>
      <c r="W364" s="11">
        <v>0</v>
      </c>
      <c r="X364" s="11" t="s">
        <v>93</v>
      </c>
      <c r="Y364" s="11"/>
      <c r="Z364" s="12"/>
      <c r="AA364" s="11"/>
      <c r="AB364" s="11"/>
      <c r="AC364" s="1" t="s">
        <v>3878</v>
      </c>
      <c r="AD364" s="1" t="s">
        <v>3879</v>
      </c>
    </row>
    <row r="365" spans="1:30" ht="187.2" x14ac:dyDescent="0.3">
      <c r="A365" s="1" t="s">
        <v>202</v>
      </c>
      <c r="B365" s="1" t="s">
        <v>4511</v>
      </c>
      <c r="C365" s="1" t="s">
        <v>1983</v>
      </c>
      <c r="D365" s="1" t="s">
        <v>2003</v>
      </c>
      <c r="E365" s="1" t="s">
        <v>1985</v>
      </c>
      <c r="F365" s="1" t="s">
        <v>2005</v>
      </c>
      <c r="G365" s="1" t="s">
        <v>1934</v>
      </c>
      <c r="H365" s="1" t="s">
        <v>2006</v>
      </c>
      <c r="I365" s="1"/>
      <c r="J365" s="1" t="s">
        <v>2006</v>
      </c>
      <c r="K365" s="1"/>
      <c r="L365" s="7"/>
      <c r="M365" s="7" t="s">
        <v>125</v>
      </c>
      <c r="N365" s="7" t="s">
        <v>90</v>
      </c>
      <c r="O365" s="10"/>
      <c r="P365" s="10"/>
      <c r="Q365" s="7"/>
      <c r="R365" s="7"/>
      <c r="S365" s="7" t="s">
        <v>124</v>
      </c>
      <c r="T365" s="10"/>
      <c r="U365" s="11" t="s">
        <v>3880</v>
      </c>
      <c r="V365" s="11" t="s">
        <v>93</v>
      </c>
      <c r="W365" s="11">
        <v>0</v>
      </c>
      <c r="X365" s="11" t="s">
        <v>93</v>
      </c>
      <c r="Y365" s="11"/>
      <c r="Z365" s="12"/>
      <c r="AA365" s="11"/>
      <c r="AB365" s="11"/>
      <c r="AC365" s="1" t="s">
        <v>3881</v>
      </c>
      <c r="AD365" s="1" t="s">
        <v>3882</v>
      </c>
    </row>
    <row r="366" spans="1:30" ht="187.2" x14ac:dyDescent="0.3">
      <c r="A366" s="1" t="s">
        <v>202</v>
      </c>
      <c r="B366" s="1" t="s">
        <v>4511</v>
      </c>
      <c r="C366" s="1" t="s">
        <v>1983</v>
      </c>
      <c r="D366" s="1" t="s">
        <v>2007</v>
      </c>
      <c r="E366" s="1" t="s">
        <v>1985</v>
      </c>
      <c r="F366" s="1" t="s">
        <v>2009</v>
      </c>
      <c r="G366" s="1" t="s">
        <v>1384</v>
      </c>
      <c r="H366" s="1" t="s">
        <v>2010</v>
      </c>
      <c r="I366" s="1"/>
      <c r="J366" s="1" t="s">
        <v>2010</v>
      </c>
      <c r="K366" s="1"/>
      <c r="L366" s="7"/>
      <c r="M366" s="7" t="s">
        <v>125</v>
      </c>
      <c r="N366" s="7" t="s">
        <v>90</v>
      </c>
      <c r="O366" s="10"/>
      <c r="P366" s="10"/>
      <c r="Q366" s="7"/>
      <c r="R366" s="7"/>
      <c r="S366" s="7" t="s">
        <v>124</v>
      </c>
      <c r="T366" s="10"/>
      <c r="U366" s="11" t="s">
        <v>3883</v>
      </c>
      <c r="V366" s="11" t="s">
        <v>93</v>
      </c>
      <c r="W366" s="11">
        <v>0</v>
      </c>
      <c r="X366" s="11" t="s">
        <v>93</v>
      </c>
      <c r="Y366" s="11"/>
      <c r="Z366" s="12"/>
      <c r="AA366" s="11"/>
      <c r="AB366" s="11"/>
      <c r="AC366" s="1" t="s">
        <v>3884</v>
      </c>
      <c r="AD366" s="1" t="s">
        <v>3885</v>
      </c>
    </row>
    <row r="367" spans="1:30" ht="187.2" x14ac:dyDescent="0.3">
      <c r="A367" s="1" t="s">
        <v>202</v>
      </c>
      <c r="B367" s="1" t="s">
        <v>4511</v>
      </c>
      <c r="C367" s="1" t="s">
        <v>1983</v>
      </c>
      <c r="D367" s="1" t="s">
        <v>2011</v>
      </c>
      <c r="E367" s="1" t="s">
        <v>1985</v>
      </c>
      <c r="F367" s="1" t="s">
        <v>2013</v>
      </c>
      <c r="G367" s="1" t="s">
        <v>2014</v>
      </c>
      <c r="H367" s="1" t="s">
        <v>2015</v>
      </c>
      <c r="I367" s="1"/>
      <c r="J367" s="1" t="s">
        <v>2015</v>
      </c>
      <c r="K367" s="1"/>
      <c r="L367" s="7"/>
      <c r="M367" s="7" t="s">
        <v>125</v>
      </c>
      <c r="N367" s="7" t="s">
        <v>90</v>
      </c>
      <c r="O367" s="10"/>
      <c r="P367" s="10"/>
      <c r="Q367" s="7"/>
      <c r="R367" s="7"/>
      <c r="S367" s="7" t="s">
        <v>124</v>
      </c>
      <c r="T367" s="10"/>
      <c r="U367" s="11" t="s">
        <v>3886</v>
      </c>
      <c r="V367" s="11" t="s">
        <v>93</v>
      </c>
      <c r="W367" s="11">
        <v>0</v>
      </c>
      <c r="X367" s="11" t="s">
        <v>93</v>
      </c>
      <c r="Y367" s="11"/>
      <c r="Z367" s="12"/>
      <c r="AA367" s="11"/>
      <c r="AB367" s="11"/>
      <c r="AC367" s="1" t="s">
        <v>3887</v>
      </c>
      <c r="AD367" s="1" t="s">
        <v>3888</v>
      </c>
    </row>
    <row r="368" spans="1:30" ht="187.2" x14ac:dyDescent="0.3">
      <c r="A368" s="1" t="s">
        <v>202</v>
      </c>
      <c r="B368" s="1" t="s">
        <v>4511</v>
      </c>
      <c r="C368" s="1" t="s">
        <v>1983</v>
      </c>
      <c r="D368" s="1" t="s">
        <v>2016</v>
      </c>
      <c r="E368" s="1" t="s">
        <v>1985</v>
      </c>
      <c r="F368" s="1" t="s">
        <v>2018</v>
      </c>
      <c r="G368" s="1" t="s">
        <v>2019</v>
      </c>
      <c r="H368" s="1" t="s">
        <v>2020</v>
      </c>
      <c r="I368" s="1"/>
      <c r="J368" s="1" t="s">
        <v>2020</v>
      </c>
      <c r="K368" s="1"/>
      <c r="L368" s="7"/>
      <c r="M368" s="7" t="s">
        <v>125</v>
      </c>
      <c r="N368" s="7" t="s">
        <v>90</v>
      </c>
      <c r="O368" s="10"/>
      <c r="P368" s="10"/>
      <c r="Q368" s="7"/>
      <c r="R368" s="7"/>
      <c r="S368" s="7" t="s">
        <v>124</v>
      </c>
      <c r="T368" s="10"/>
      <c r="U368" s="11" t="s">
        <v>3889</v>
      </c>
      <c r="V368" s="11" t="s">
        <v>93</v>
      </c>
      <c r="W368" s="11">
        <v>0</v>
      </c>
      <c r="X368" s="11" t="s">
        <v>93</v>
      </c>
      <c r="Y368" s="11"/>
      <c r="Z368" s="12"/>
      <c r="AA368" s="11"/>
      <c r="AB368" s="11"/>
      <c r="AC368" s="1" t="s">
        <v>3890</v>
      </c>
      <c r="AD368" s="1" t="s">
        <v>3891</v>
      </c>
    </row>
    <row r="369" spans="1:30" ht="187.2" x14ac:dyDescent="0.3">
      <c r="A369" s="1" t="s">
        <v>202</v>
      </c>
      <c r="B369" s="1" t="s">
        <v>4511</v>
      </c>
      <c r="C369" s="1" t="s">
        <v>1983</v>
      </c>
      <c r="D369" s="1" t="s">
        <v>2021</v>
      </c>
      <c r="E369" s="1" t="s">
        <v>1985</v>
      </c>
      <c r="F369" s="1" t="s">
        <v>2023</v>
      </c>
      <c r="G369" s="1" t="s">
        <v>2024</v>
      </c>
      <c r="H369" s="1" t="s">
        <v>2025</v>
      </c>
      <c r="I369" s="1"/>
      <c r="J369" s="1" t="s">
        <v>2025</v>
      </c>
      <c r="K369" s="1"/>
      <c r="L369" s="7"/>
      <c r="M369" s="7" t="s">
        <v>125</v>
      </c>
      <c r="N369" s="7" t="s">
        <v>90</v>
      </c>
      <c r="O369" s="10"/>
      <c r="P369" s="10"/>
      <c r="Q369" s="7"/>
      <c r="R369" s="7"/>
      <c r="S369" s="7" t="s">
        <v>124</v>
      </c>
      <c r="T369" s="10"/>
      <c r="U369" s="11" t="s">
        <v>3892</v>
      </c>
      <c r="V369" s="11" t="s">
        <v>93</v>
      </c>
      <c r="W369" s="11">
        <v>0</v>
      </c>
      <c r="X369" s="11" t="s">
        <v>93</v>
      </c>
      <c r="Y369" s="11"/>
      <c r="Z369" s="12"/>
      <c r="AA369" s="11"/>
      <c r="AB369" s="11"/>
      <c r="AC369" s="1" t="s">
        <v>3893</v>
      </c>
      <c r="AD369" s="1" t="s">
        <v>3894</v>
      </c>
    </row>
    <row r="370" spans="1:30" ht="187.2" x14ac:dyDescent="0.3">
      <c r="A370" s="1" t="s">
        <v>202</v>
      </c>
      <c r="B370" s="1" t="s">
        <v>4511</v>
      </c>
      <c r="C370" s="1" t="s">
        <v>1983</v>
      </c>
      <c r="D370" s="1" t="s">
        <v>2026</v>
      </c>
      <c r="E370" s="1" t="s">
        <v>1985</v>
      </c>
      <c r="F370" s="1" t="s">
        <v>2023</v>
      </c>
      <c r="G370" s="1" t="s">
        <v>2028</v>
      </c>
      <c r="H370" s="1" t="s">
        <v>2029</v>
      </c>
      <c r="I370" s="1"/>
      <c r="J370" s="1" t="s">
        <v>2029</v>
      </c>
      <c r="K370" s="1"/>
      <c r="L370" s="7"/>
      <c r="M370" s="7" t="s">
        <v>125</v>
      </c>
      <c r="N370" s="7" t="s">
        <v>90</v>
      </c>
      <c r="O370" s="10"/>
      <c r="P370" s="10"/>
      <c r="Q370" s="7"/>
      <c r="R370" s="7"/>
      <c r="S370" s="7" t="s">
        <v>124</v>
      </c>
      <c r="T370" s="10"/>
      <c r="U370" s="11" t="s">
        <v>3895</v>
      </c>
      <c r="V370" s="11" t="s">
        <v>93</v>
      </c>
      <c r="W370" s="11">
        <v>0</v>
      </c>
      <c r="X370" s="11" t="s">
        <v>93</v>
      </c>
      <c r="Y370" s="11"/>
      <c r="Z370" s="12"/>
      <c r="AA370" s="11"/>
      <c r="AB370" s="11"/>
      <c r="AC370" s="1" t="s">
        <v>3896</v>
      </c>
      <c r="AD370" s="1" t="s">
        <v>3897</v>
      </c>
    </row>
    <row r="371" spans="1:30" ht="187.2" x14ac:dyDescent="0.3">
      <c r="A371" s="1" t="s">
        <v>202</v>
      </c>
      <c r="B371" s="1" t="s">
        <v>4511</v>
      </c>
      <c r="C371" s="1" t="s">
        <v>1983</v>
      </c>
      <c r="D371" s="1" t="s">
        <v>2030</v>
      </c>
      <c r="E371" s="1" t="s">
        <v>1985</v>
      </c>
      <c r="F371" s="1" t="s">
        <v>2032</v>
      </c>
      <c r="G371" s="1" t="s">
        <v>373</v>
      </c>
      <c r="H371" s="1" t="s">
        <v>2033</v>
      </c>
      <c r="I371" s="1"/>
      <c r="J371" s="1" t="s">
        <v>2033</v>
      </c>
      <c r="K371" s="1"/>
      <c r="L371" s="7"/>
      <c r="M371" s="7" t="s">
        <v>125</v>
      </c>
      <c r="N371" s="7" t="s">
        <v>90</v>
      </c>
      <c r="O371" s="10"/>
      <c r="P371" s="10"/>
      <c r="Q371" s="7"/>
      <c r="R371" s="7"/>
      <c r="S371" s="7" t="s">
        <v>124</v>
      </c>
      <c r="T371" s="10"/>
      <c r="U371" s="11" t="s">
        <v>3898</v>
      </c>
      <c r="V371" s="11" t="s">
        <v>93</v>
      </c>
      <c r="W371" s="11">
        <v>0</v>
      </c>
      <c r="X371" s="11" t="s">
        <v>93</v>
      </c>
      <c r="Y371" s="11"/>
      <c r="Z371" s="12"/>
      <c r="AA371" s="11"/>
      <c r="AB371" s="11"/>
      <c r="AC371" s="1" t="s">
        <v>3899</v>
      </c>
      <c r="AD371" s="1" t="s">
        <v>3900</v>
      </c>
    </row>
    <row r="372" spans="1:30" ht="187.2" x14ac:dyDescent="0.3">
      <c r="A372" s="1" t="s">
        <v>202</v>
      </c>
      <c r="B372" s="1" t="s">
        <v>4511</v>
      </c>
      <c r="C372" s="1" t="s">
        <v>1983</v>
      </c>
      <c r="D372" s="1" t="s">
        <v>2034</v>
      </c>
      <c r="E372" s="1" t="s">
        <v>1985</v>
      </c>
      <c r="F372" s="1" t="s">
        <v>2036</v>
      </c>
      <c r="G372" s="1" t="s">
        <v>2037</v>
      </c>
      <c r="H372" s="1" t="s">
        <v>2038</v>
      </c>
      <c r="I372" s="1" t="s">
        <v>2039</v>
      </c>
      <c r="J372" s="1" t="s">
        <v>2038</v>
      </c>
      <c r="K372" s="1" t="s">
        <v>2037</v>
      </c>
      <c r="L372" s="7"/>
      <c r="M372" s="7" t="s">
        <v>125</v>
      </c>
      <c r="N372" s="7" t="s">
        <v>90</v>
      </c>
      <c r="O372" s="10"/>
      <c r="P372" s="10"/>
      <c r="Q372" s="7"/>
      <c r="R372" s="7"/>
      <c r="S372" s="7" t="s">
        <v>124</v>
      </c>
      <c r="T372" s="10"/>
      <c r="U372" s="11" t="s">
        <v>3901</v>
      </c>
      <c r="V372" s="11" t="s">
        <v>93</v>
      </c>
      <c r="W372" s="11">
        <v>0</v>
      </c>
      <c r="X372" s="11" t="s">
        <v>93</v>
      </c>
      <c r="Y372" s="11"/>
      <c r="Z372" s="12"/>
      <c r="AA372" s="11"/>
      <c r="AB372" s="11"/>
      <c r="AC372" s="1" t="s">
        <v>3902</v>
      </c>
      <c r="AD372" s="1" t="s">
        <v>3903</v>
      </c>
    </row>
    <row r="373" spans="1:30" ht="187.2" x14ac:dyDescent="0.3">
      <c r="A373" s="1" t="s">
        <v>202</v>
      </c>
      <c r="B373" s="1" t="s">
        <v>4511</v>
      </c>
      <c r="C373" s="1" t="s">
        <v>1983</v>
      </c>
      <c r="D373" s="1" t="s">
        <v>2040</v>
      </c>
      <c r="E373" s="1" t="s">
        <v>1985</v>
      </c>
      <c r="F373" s="1" t="s">
        <v>2042</v>
      </c>
      <c r="G373" s="1" t="s">
        <v>2043</v>
      </c>
      <c r="H373" s="1" t="s">
        <v>2044</v>
      </c>
      <c r="I373" s="1" t="s">
        <v>2045</v>
      </c>
      <c r="J373" s="1" t="s">
        <v>2044</v>
      </c>
      <c r="K373" s="1"/>
      <c r="L373" s="7"/>
      <c r="M373" s="7" t="s">
        <v>125</v>
      </c>
      <c r="N373" s="7" t="s">
        <v>90</v>
      </c>
      <c r="O373" s="10"/>
      <c r="P373" s="10"/>
      <c r="Q373" s="7"/>
      <c r="R373" s="7"/>
      <c r="S373" s="7" t="s">
        <v>124</v>
      </c>
      <c r="T373" s="10"/>
      <c r="U373" s="11" t="s">
        <v>3904</v>
      </c>
      <c r="V373" s="11" t="s">
        <v>93</v>
      </c>
      <c r="W373" s="11">
        <v>0</v>
      </c>
      <c r="X373" s="11" t="s">
        <v>93</v>
      </c>
      <c r="Y373" s="11"/>
      <c r="Z373" s="12"/>
      <c r="AA373" s="11"/>
      <c r="AB373" s="11"/>
      <c r="AC373" s="1" t="s">
        <v>3905</v>
      </c>
      <c r="AD373" s="1" t="s">
        <v>3906</v>
      </c>
    </row>
    <row r="374" spans="1:30" ht="187.2" x14ac:dyDescent="0.3">
      <c r="A374" s="1" t="s">
        <v>262</v>
      </c>
      <c r="B374" s="1" t="s">
        <v>4517</v>
      </c>
      <c r="C374" s="1" t="s">
        <v>2046</v>
      </c>
      <c r="D374" s="1" t="s">
        <v>2047</v>
      </c>
      <c r="E374" s="1" t="s">
        <v>2048</v>
      </c>
      <c r="F374" s="1" t="s">
        <v>567</v>
      </c>
      <c r="G374" s="1" t="s">
        <v>2050</v>
      </c>
      <c r="H374" s="1" t="s">
        <v>2051</v>
      </c>
      <c r="I374" s="1"/>
      <c r="J374" s="1" t="s">
        <v>2051</v>
      </c>
      <c r="K374" s="1" t="s">
        <v>672</v>
      </c>
      <c r="L374" s="7"/>
      <c r="M374" s="7" t="s">
        <v>125</v>
      </c>
      <c r="N374" s="7" t="s">
        <v>90</v>
      </c>
      <c r="O374" s="10"/>
      <c r="P374" s="10"/>
      <c r="Q374" s="7"/>
      <c r="R374" s="7"/>
      <c r="S374" s="7" t="s">
        <v>124</v>
      </c>
      <c r="T374" s="10"/>
      <c r="U374" s="11" t="s">
        <v>3907</v>
      </c>
      <c r="V374" s="11" t="s">
        <v>93</v>
      </c>
      <c r="W374" s="11">
        <v>0</v>
      </c>
      <c r="X374" s="11" t="s">
        <v>93</v>
      </c>
      <c r="Y374" s="11"/>
      <c r="Z374" s="12"/>
      <c r="AA374" s="11"/>
      <c r="AB374" s="11"/>
      <c r="AC374" s="1" t="s">
        <v>3908</v>
      </c>
      <c r="AD374" s="1" t="s">
        <v>3909</v>
      </c>
    </row>
    <row r="375" spans="1:30" ht="187.2" x14ac:dyDescent="0.3">
      <c r="A375" s="1" t="s">
        <v>262</v>
      </c>
      <c r="B375" s="1" t="s">
        <v>4517</v>
      </c>
      <c r="C375" s="1" t="s">
        <v>2046</v>
      </c>
      <c r="D375" s="1" t="s">
        <v>2052</v>
      </c>
      <c r="E375" s="1" t="s">
        <v>2048</v>
      </c>
      <c r="F375" s="1" t="s">
        <v>2054</v>
      </c>
      <c r="G375" s="1" t="s">
        <v>312</v>
      </c>
      <c r="H375" s="1" t="s">
        <v>2055</v>
      </c>
      <c r="I375" s="1"/>
      <c r="J375" s="1" t="s">
        <v>2055</v>
      </c>
      <c r="K375" s="1"/>
      <c r="L375" s="7"/>
      <c r="M375" s="7" t="s">
        <v>125</v>
      </c>
      <c r="N375" s="7" t="s">
        <v>90</v>
      </c>
      <c r="O375" s="10"/>
      <c r="P375" s="10"/>
      <c r="Q375" s="7"/>
      <c r="R375" s="7"/>
      <c r="S375" s="7" t="s">
        <v>124</v>
      </c>
      <c r="T375" s="10"/>
      <c r="U375" s="11" t="s">
        <v>3910</v>
      </c>
      <c r="V375" s="11" t="s">
        <v>93</v>
      </c>
      <c r="W375" s="11">
        <v>0</v>
      </c>
      <c r="X375" s="11" t="s">
        <v>93</v>
      </c>
      <c r="Y375" s="11"/>
      <c r="Z375" s="12"/>
      <c r="AA375" s="11"/>
      <c r="AB375" s="11"/>
      <c r="AC375" s="1" t="s">
        <v>3911</v>
      </c>
      <c r="AD375" s="1" t="s">
        <v>3912</v>
      </c>
    </row>
    <row r="376" spans="1:30" ht="187.2" x14ac:dyDescent="0.3">
      <c r="A376" s="1" t="s">
        <v>262</v>
      </c>
      <c r="B376" s="1" t="s">
        <v>4517</v>
      </c>
      <c r="C376" s="1" t="s">
        <v>2046</v>
      </c>
      <c r="D376" s="1" t="s">
        <v>2056</v>
      </c>
      <c r="E376" s="1" t="s">
        <v>2048</v>
      </c>
      <c r="F376" s="1" t="s">
        <v>2058</v>
      </c>
      <c r="G376" s="1" t="s">
        <v>2059</v>
      </c>
      <c r="H376" s="1" t="s">
        <v>2060</v>
      </c>
      <c r="I376" s="1"/>
      <c r="J376" s="1" t="s">
        <v>2060</v>
      </c>
      <c r="K376" s="1"/>
      <c r="L376" s="7"/>
      <c r="M376" s="7" t="s">
        <v>125</v>
      </c>
      <c r="N376" s="7" t="s">
        <v>90</v>
      </c>
      <c r="O376" s="10"/>
      <c r="P376" s="10"/>
      <c r="Q376" s="7"/>
      <c r="R376" s="7"/>
      <c r="S376" s="7" t="s">
        <v>124</v>
      </c>
      <c r="T376" s="10"/>
      <c r="U376" s="11" t="s">
        <v>3913</v>
      </c>
      <c r="V376" s="11" t="s">
        <v>93</v>
      </c>
      <c r="W376" s="11">
        <v>0</v>
      </c>
      <c r="X376" s="11" t="s">
        <v>93</v>
      </c>
      <c r="Y376" s="11"/>
      <c r="Z376" s="12"/>
      <c r="AA376" s="11"/>
      <c r="AB376" s="11"/>
      <c r="AC376" s="1" t="s">
        <v>3914</v>
      </c>
      <c r="AD376" s="1" t="s">
        <v>3915</v>
      </c>
    </row>
    <row r="377" spans="1:30" ht="187.2" x14ac:dyDescent="0.3">
      <c r="A377" s="1" t="s">
        <v>262</v>
      </c>
      <c r="B377" s="1" t="s">
        <v>4517</v>
      </c>
      <c r="C377" s="1" t="s">
        <v>2046</v>
      </c>
      <c r="D377" s="1" t="s">
        <v>2061</v>
      </c>
      <c r="E377" s="1" t="s">
        <v>2048</v>
      </c>
      <c r="F377" s="1" t="s">
        <v>2063</v>
      </c>
      <c r="G377" s="1" t="s">
        <v>2064</v>
      </c>
      <c r="H377" s="1" t="s">
        <v>2065</v>
      </c>
      <c r="I377" s="1"/>
      <c r="J377" s="1" t="s">
        <v>2065</v>
      </c>
      <c r="K377" s="1"/>
      <c r="L377" s="7"/>
      <c r="M377" s="7" t="s">
        <v>125</v>
      </c>
      <c r="N377" s="7" t="s">
        <v>90</v>
      </c>
      <c r="O377" s="10"/>
      <c r="P377" s="10"/>
      <c r="Q377" s="7"/>
      <c r="R377" s="7"/>
      <c r="S377" s="7" t="s">
        <v>124</v>
      </c>
      <c r="T377" s="10"/>
      <c r="U377" s="11" t="s">
        <v>3916</v>
      </c>
      <c r="V377" s="11" t="s">
        <v>93</v>
      </c>
      <c r="W377" s="11">
        <v>0</v>
      </c>
      <c r="X377" s="11" t="s">
        <v>93</v>
      </c>
      <c r="Y377" s="11"/>
      <c r="Z377" s="12"/>
      <c r="AA377" s="11"/>
      <c r="AB377" s="11"/>
      <c r="AC377" s="1" t="s">
        <v>3917</v>
      </c>
      <c r="AD377" s="1" t="s">
        <v>3918</v>
      </c>
    </row>
    <row r="378" spans="1:30" ht="187.2" x14ac:dyDescent="0.3">
      <c r="A378" s="1" t="s">
        <v>262</v>
      </c>
      <c r="B378" s="1" t="s">
        <v>4517</v>
      </c>
      <c r="C378" s="1" t="s">
        <v>2046</v>
      </c>
      <c r="D378" s="1" t="s">
        <v>2066</v>
      </c>
      <c r="E378" s="1" t="s">
        <v>2048</v>
      </c>
      <c r="F378" s="1" t="s">
        <v>620</v>
      </c>
      <c r="G378" s="1" t="s">
        <v>2068</v>
      </c>
      <c r="H378" s="1" t="s">
        <v>2069</v>
      </c>
      <c r="I378" s="1"/>
      <c r="J378" s="1" t="s">
        <v>2069</v>
      </c>
      <c r="K378" s="1"/>
      <c r="L378" s="7"/>
      <c r="M378" s="7" t="s">
        <v>125</v>
      </c>
      <c r="N378" s="7" t="s">
        <v>90</v>
      </c>
      <c r="O378" s="10"/>
      <c r="P378" s="10"/>
      <c r="Q378" s="7"/>
      <c r="R378" s="7"/>
      <c r="S378" s="7" t="s">
        <v>124</v>
      </c>
      <c r="T378" s="10"/>
      <c r="U378" s="11" t="s">
        <v>3919</v>
      </c>
      <c r="V378" s="11" t="s">
        <v>93</v>
      </c>
      <c r="W378" s="11">
        <v>0</v>
      </c>
      <c r="X378" s="11" t="s">
        <v>93</v>
      </c>
      <c r="Y378" s="11"/>
      <c r="Z378" s="12"/>
      <c r="AA378" s="11"/>
      <c r="AB378" s="11"/>
      <c r="AC378" s="1" t="s">
        <v>3920</v>
      </c>
      <c r="AD378" s="1" t="s">
        <v>3921</v>
      </c>
    </row>
    <row r="379" spans="1:30" ht="187.2" x14ac:dyDescent="0.3">
      <c r="A379" s="1" t="s">
        <v>262</v>
      </c>
      <c r="B379" s="1" t="s">
        <v>4517</v>
      </c>
      <c r="C379" s="1" t="s">
        <v>2046</v>
      </c>
      <c r="D379" s="1" t="s">
        <v>2070</v>
      </c>
      <c r="E379" s="1" t="s">
        <v>2048</v>
      </c>
      <c r="F379" s="1" t="s">
        <v>2072</v>
      </c>
      <c r="G379" s="1" t="s">
        <v>2073</v>
      </c>
      <c r="H379" s="1" t="s">
        <v>2069</v>
      </c>
      <c r="I379" s="1" t="s">
        <v>2074</v>
      </c>
      <c r="J379" s="1" t="s">
        <v>2069</v>
      </c>
      <c r="K379" s="1"/>
      <c r="L379" s="7"/>
      <c r="M379" s="7" t="s">
        <v>125</v>
      </c>
      <c r="N379" s="7" t="s">
        <v>90</v>
      </c>
      <c r="O379" s="10"/>
      <c r="P379" s="10"/>
      <c r="Q379" s="7"/>
      <c r="R379" s="7"/>
      <c r="S379" s="7" t="s">
        <v>124</v>
      </c>
      <c r="T379" s="10"/>
      <c r="U379" s="11" t="s">
        <v>3922</v>
      </c>
      <c r="V379" s="11" t="s">
        <v>93</v>
      </c>
      <c r="W379" s="11">
        <v>0</v>
      </c>
      <c r="X379" s="11" t="s">
        <v>93</v>
      </c>
      <c r="Y379" s="11"/>
      <c r="Z379" s="12"/>
      <c r="AA379" s="11"/>
      <c r="AB379" s="11"/>
      <c r="AC379" s="1" t="s">
        <v>3923</v>
      </c>
      <c r="AD379" s="1" t="s">
        <v>3924</v>
      </c>
    </row>
    <row r="380" spans="1:30" ht="187.2" x14ac:dyDescent="0.3">
      <c r="A380" s="1" t="s">
        <v>262</v>
      </c>
      <c r="B380" s="1" t="s">
        <v>4517</v>
      </c>
      <c r="C380" s="1" t="s">
        <v>2046</v>
      </c>
      <c r="D380" s="1" t="s">
        <v>2075</v>
      </c>
      <c r="E380" s="1" t="s">
        <v>2048</v>
      </c>
      <c r="F380" s="1" t="s">
        <v>284</v>
      </c>
      <c r="G380" s="1" t="s">
        <v>524</v>
      </c>
      <c r="H380" s="1" t="s">
        <v>2077</v>
      </c>
      <c r="I380" s="1"/>
      <c r="J380" s="1" t="s">
        <v>2077</v>
      </c>
      <c r="K380" s="1"/>
      <c r="L380" s="7"/>
      <c r="M380" s="7" t="s">
        <v>125</v>
      </c>
      <c r="N380" s="7" t="s">
        <v>90</v>
      </c>
      <c r="O380" s="10"/>
      <c r="P380" s="10"/>
      <c r="Q380" s="7"/>
      <c r="R380" s="7"/>
      <c r="S380" s="7" t="s">
        <v>124</v>
      </c>
      <c r="T380" s="10"/>
      <c r="U380" s="11" t="s">
        <v>3925</v>
      </c>
      <c r="V380" s="11" t="s">
        <v>93</v>
      </c>
      <c r="W380" s="11">
        <v>0</v>
      </c>
      <c r="X380" s="11" t="s">
        <v>93</v>
      </c>
      <c r="Y380" s="11"/>
      <c r="Z380" s="12"/>
      <c r="AA380" s="11"/>
      <c r="AB380" s="11"/>
      <c r="AC380" s="1" t="s">
        <v>3926</v>
      </c>
      <c r="AD380" s="1" t="s">
        <v>3927</v>
      </c>
    </row>
    <row r="381" spans="1:30" ht="187.2" x14ac:dyDescent="0.3">
      <c r="A381" s="1" t="s">
        <v>262</v>
      </c>
      <c r="B381" s="1" t="s">
        <v>4517</v>
      </c>
      <c r="C381" s="1" t="s">
        <v>2046</v>
      </c>
      <c r="D381" s="1" t="s">
        <v>2078</v>
      </c>
      <c r="E381" s="1" t="s">
        <v>2048</v>
      </c>
      <c r="F381" s="1" t="s">
        <v>2080</v>
      </c>
      <c r="G381" s="1" t="s">
        <v>2081</v>
      </c>
      <c r="H381" s="1"/>
      <c r="I381" s="1"/>
      <c r="J381" s="1"/>
      <c r="K381" s="1"/>
      <c r="L381" s="7"/>
      <c r="M381" s="7" t="s">
        <v>125</v>
      </c>
      <c r="N381" s="7" t="s">
        <v>90</v>
      </c>
      <c r="O381" s="10"/>
      <c r="P381" s="10"/>
      <c r="Q381" s="7"/>
      <c r="R381" s="7"/>
      <c r="S381" s="7" t="s">
        <v>124</v>
      </c>
      <c r="T381" s="10"/>
      <c r="U381" s="11" t="s">
        <v>3928</v>
      </c>
      <c r="V381" s="11" t="s">
        <v>93</v>
      </c>
      <c r="W381" s="11">
        <v>0</v>
      </c>
      <c r="X381" s="11" t="s">
        <v>93</v>
      </c>
      <c r="Y381" s="11"/>
      <c r="Z381" s="12"/>
      <c r="AA381" s="11"/>
      <c r="AB381" s="11"/>
      <c r="AC381" s="1" t="s">
        <v>3929</v>
      </c>
      <c r="AD381" s="1" t="s">
        <v>3930</v>
      </c>
    </row>
    <row r="382" spans="1:30" ht="187.2" x14ac:dyDescent="0.3">
      <c r="A382" s="1" t="s">
        <v>262</v>
      </c>
      <c r="B382" s="1" t="s">
        <v>4517</v>
      </c>
      <c r="C382" s="1" t="s">
        <v>2046</v>
      </c>
      <c r="D382" s="1" t="s">
        <v>2082</v>
      </c>
      <c r="E382" s="1" t="s">
        <v>2048</v>
      </c>
      <c r="F382" s="1" t="s">
        <v>2080</v>
      </c>
      <c r="G382" s="1" t="s">
        <v>2084</v>
      </c>
      <c r="H382" s="1" t="s">
        <v>2085</v>
      </c>
      <c r="I382" s="1"/>
      <c r="J382" s="1" t="s">
        <v>2085</v>
      </c>
      <c r="K382" s="1"/>
      <c r="L382" s="7"/>
      <c r="M382" s="7" t="s">
        <v>125</v>
      </c>
      <c r="N382" s="7" t="s">
        <v>90</v>
      </c>
      <c r="O382" s="10"/>
      <c r="P382" s="10"/>
      <c r="Q382" s="7"/>
      <c r="R382" s="7"/>
      <c r="S382" s="7" t="s">
        <v>124</v>
      </c>
      <c r="T382" s="10"/>
      <c r="U382" s="11" t="s">
        <v>3931</v>
      </c>
      <c r="V382" s="11" t="s">
        <v>93</v>
      </c>
      <c r="W382" s="11">
        <v>0</v>
      </c>
      <c r="X382" s="11" t="s">
        <v>93</v>
      </c>
      <c r="Y382" s="11"/>
      <c r="Z382" s="12"/>
      <c r="AA382" s="11"/>
      <c r="AB382" s="11"/>
      <c r="AC382" s="1" t="s">
        <v>3932</v>
      </c>
      <c r="AD382" s="1" t="s">
        <v>3933</v>
      </c>
    </row>
    <row r="383" spans="1:30" ht="187.2" x14ac:dyDescent="0.3">
      <c r="A383" s="1" t="s">
        <v>262</v>
      </c>
      <c r="B383" s="1" t="s">
        <v>4517</v>
      </c>
      <c r="C383" s="1" t="s">
        <v>2046</v>
      </c>
      <c r="D383" s="1" t="s">
        <v>2086</v>
      </c>
      <c r="E383" s="1" t="s">
        <v>2048</v>
      </c>
      <c r="F383" s="1" t="s">
        <v>2088</v>
      </c>
      <c r="G383" s="1" t="s">
        <v>2089</v>
      </c>
      <c r="H383" s="1" t="s">
        <v>2090</v>
      </c>
      <c r="I383" s="1"/>
      <c r="J383" s="1" t="s">
        <v>2090</v>
      </c>
      <c r="K383" s="1"/>
      <c r="L383" s="7"/>
      <c r="M383" s="7" t="s">
        <v>125</v>
      </c>
      <c r="N383" s="7" t="s">
        <v>90</v>
      </c>
      <c r="O383" s="10"/>
      <c r="P383" s="10"/>
      <c r="Q383" s="7"/>
      <c r="R383" s="7"/>
      <c r="S383" s="7" t="s">
        <v>124</v>
      </c>
      <c r="T383" s="10"/>
      <c r="U383" s="11" t="s">
        <v>3934</v>
      </c>
      <c r="V383" s="11" t="s">
        <v>93</v>
      </c>
      <c r="W383" s="11">
        <v>0</v>
      </c>
      <c r="X383" s="11" t="s">
        <v>93</v>
      </c>
      <c r="Y383" s="11"/>
      <c r="Z383" s="12"/>
      <c r="AA383" s="11"/>
      <c r="AB383" s="11"/>
      <c r="AC383" s="1" t="s">
        <v>3935</v>
      </c>
      <c r="AD383" s="1" t="s">
        <v>3936</v>
      </c>
    </row>
    <row r="384" spans="1:30" ht="187.2" x14ac:dyDescent="0.3">
      <c r="A384" s="1" t="s">
        <v>262</v>
      </c>
      <c r="B384" s="1" t="s">
        <v>4517</v>
      </c>
      <c r="C384" s="1" t="s">
        <v>2046</v>
      </c>
      <c r="D384" s="1" t="s">
        <v>2091</v>
      </c>
      <c r="E384" s="1" t="s">
        <v>2048</v>
      </c>
      <c r="F384" s="1" t="s">
        <v>311</v>
      </c>
      <c r="G384" s="1" t="s">
        <v>2093</v>
      </c>
      <c r="H384" s="1" t="s">
        <v>2094</v>
      </c>
      <c r="I384" s="1"/>
      <c r="J384" s="1" t="s">
        <v>2094</v>
      </c>
      <c r="K384" s="1"/>
      <c r="L384" s="7"/>
      <c r="M384" s="7" t="s">
        <v>125</v>
      </c>
      <c r="N384" s="7" t="s">
        <v>90</v>
      </c>
      <c r="O384" s="10"/>
      <c r="P384" s="10"/>
      <c r="Q384" s="7"/>
      <c r="R384" s="7"/>
      <c r="S384" s="7" t="s">
        <v>124</v>
      </c>
      <c r="T384" s="10"/>
      <c r="U384" s="11" t="s">
        <v>3937</v>
      </c>
      <c r="V384" s="11" t="s">
        <v>93</v>
      </c>
      <c r="W384" s="11">
        <v>0</v>
      </c>
      <c r="X384" s="11" t="s">
        <v>93</v>
      </c>
      <c r="Y384" s="11"/>
      <c r="Z384" s="12"/>
      <c r="AA384" s="11"/>
      <c r="AB384" s="11"/>
      <c r="AC384" s="1" t="s">
        <v>3938</v>
      </c>
      <c r="AD384" s="1" t="s">
        <v>3939</v>
      </c>
    </row>
    <row r="385" spans="1:30" ht="187.2" x14ac:dyDescent="0.3">
      <c r="A385" s="1" t="s">
        <v>262</v>
      </c>
      <c r="B385" s="1" t="s">
        <v>4517</v>
      </c>
      <c r="C385" s="1" t="s">
        <v>2046</v>
      </c>
      <c r="D385" s="1" t="s">
        <v>2095</v>
      </c>
      <c r="E385" s="1" t="s">
        <v>2048</v>
      </c>
      <c r="F385" s="1" t="s">
        <v>311</v>
      </c>
      <c r="G385" s="1" t="s">
        <v>2097</v>
      </c>
      <c r="H385" s="1" t="s">
        <v>2098</v>
      </c>
      <c r="I385" s="1"/>
      <c r="J385" s="1" t="s">
        <v>2098</v>
      </c>
      <c r="K385" s="1"/>
      <c r="L385" s="7"/>
      <c r="M385" s="7" t="s">
        <v>125</v>
      </c>
      <c r="N385" s="7" t="s">
        <v>90</v>
      </c>
      <c r="O385" s="10"/>
      <c r="P385" s="10"/>
      <c r="Q385" s="7"/>
      <c r="R385" s="7"/>
      <c r="S385" s="7" t="s">
        <v>124</v>
      </c>
      <c r="T385" s="10"/>
      <c r="U385" s="11" t="s">
        <v>3940</v>
      </c>
      <c r="V385" s="11" t="s">
        <v>93</v>
      </c>
      <c r="W385" s="11">
        <v>0</v>
      </c>
      <c r="X385" s="11" t="s">
        <v>93</v>
      </c>
      <c r="Y385" s="11"/>
      <c r="Z385" s="12"/>
      <c r="AA385" s="11"/>
      <c r="AB385" s="11"/>
      <c r="AC385" s="1" t="s">
        <v>3941</v>
      </c>
      <c r="AD385" s="1" t="s">
        <v>3942</v>
      </c>
    </row>
    <row r="386" spans="1:30" ht="187.2" x14ac:dyDescent="0.3">
      <c r="A386" s="1" t="s">
        <v>262</v>
      </c>
      <c r="B386" s="1" t="s">
        <v>4517</v>
      </c>
      <c r="C386" s="1" t="s">
        <v>2046</v>
      </c>
      <c r="D386" s="1" t="s">
        <v>2099</v>
      </c>
      <c r="E386" s="1" t="s">
        <v>2048</v>
      </c>
      <c r="F386" s="1" t="s">
        <v>2101</v>
      </c>
      <c r="G386" s="1" t="s">
        <v>1973</v>
      </c>
      <c r="H386" s="1" t="s">
        <v>2102</v>
      </c>
      <c r="I386" s="1"/>
      <c r="J386" s="1" t="s">
        <v>2102</v>
      </c>
      <c r="K386" s="1"/>
      <c r="L386" s="7"/>
      <c r="M386" s="7" t="s">
        <v>125</v>
      </c>
      <c r="N386" s="7" t="s">
        <v>90</v>
      </c>
      <c r="O386" s="10"/>
      <c r="P386" s="10"/>
      <c r="Q386" s="7"/>
      <c r="R386" s="7"/>
      <c r="S386" s="7" t="s">
        <v>124</v>
      </c>
      <c r="T386" s="10"/>
      <c r="U386" s="11" t="s">
        <v>3943</v>
      </c>
      <c r="V386" s="11" t="s">
        <v>93</v>
      </c>
      <c r="W386" s="11">
        <v>0</v>
      </c>
      <c r="X386" s="11" t="s">
        <v>93</v>
      </c>
      <c r="Y386" s="11"/>
      <c r="Z386" s="12"/>
      <c r="AA386" s="11"/>
      <c r="AB386" s="11"/>
      <c r="AC386" s="1" t="s">
        <v>3944</v>
      </c>
      <c r="AD386" s="1" t="s">
        <v>3945</v>
      </c>
    </row>
    <row r="387" spans="1:30" ht="187.2" x14ac:dyDescent="0.3">
      <c r="A387" s="1" t="s">
        <v>262</v>
      </c>
      <c r="B387" s="1" t="s">
        <v>4517</v>
      </c>
      <c r="C387" s="1" t="s">
        <v>2046</v>
      </c>
      <c r="D387" s="1" t="s">
        <v>2103</v>
      </c>
      <c r="E387" s="1" t="s">
        <v>2048</v>
      </c>
      <c r="F387" s="1" t="s">
        <v>2105</v>
      </c>
      <c r="G387" s="1" t="s">
        <v>2106</v>
      </c>
      <c r="H387" s="1" t="s">
        <v>2107</v>
      </c>
      <c r="I387" s="1" t="s">
        <v>2108</v>
      </c>
      <c r="J387" s="1" t="s">
        <v>2107</v>
      </c>
      <c r="K387" s="1" t="s">
        <v>2109</v>
      </c>
      <c r="L387" s="7"/>
      <c r="M387" s="7" t="s">
        <v>125</v>
      </c>
      <c r="N387" s="7" t="s">
        <v>90</v>
      </c>
      <c r="O387" s="10"/>
      <c r="P387" s="10"/>
      <c r="Q387" s="7"/>
      <c r="R387" s="7"/>
      <c r="S387" s="7" t="s">
        <v>124</v>
      </c>
      <c r="T387" s="10"/>
      <c r="U387" s="11" t="s">
        <v>3946</v>
      </c>
      <c r="V387" s="11" t="s">
        <v>93</v>
      </c>
      <c r="W387" s="11">
        <v>0</v>
      </c>
      <c r="X387" s="11" t="s">
        <v>93</v>
      </c>
      <c r="Y387" s="11"/>
      <c r="Z387" s="12"/>
      <c r="AA387" s="11"/>
      <c r="AB387" s="11"/>
      <c r="AC387" s="1" t="s">
        <v>3947</v>
      </c>
      <c r="AD387" s="1" t="s">
        <v>3948</v>
      </c>
    </row>
    <row r="388" spans="1:30" ht="187.2" x14ac:dyDescent="0.3">
      <c r="A388" s="1" t="s">
        <v>262</v>
      </c>
      <c r="B388" s="1" t="s">
        <v>4517</v>
      </c>
      <c r="C388" s="1" t="s">
        <v>2046</v>
      </c>
      <c r="D388" s="1" t="s">
        <v>2110</v>
      </c>
      <c r="E388" s="1" t="s">
        <v>2048</v>
      </c>
      <c r="F388" s="1" t="s">
        <v>2112</v>
      </c>
      <c r="G388" s="1" t="s">
        <v>1850</v>
      </c>
      <c r="H388" s="1" t="s">
        <v>2113</v>
      </c>
      <c r="I388" s="1"/>
      <c r="J388" s="1" t="s">
        <v>2113</v>
      </c>
      <c r="K388" s="1"/>
      <c r="L388" s="7"/>
      <c r="M388" s="7" t="s">
        <v>125</v>
      </c>
      <c r="N388" s="7" t="s">
        <v>90</v>
      </c>
      <c r="O388" s="10"/>
      <c r="P388" s="10"/>
      <c r="Q388" s="7"/>
      <c r="R388" s="7"/>
      <c r="S388" s="7" t="s">
        <v>124</v>
      </c>
      <c r="T388" s="10"/>
      <c r="U388" s="11" t="s">
        <v>3949</v>
      </c>
      <c r="V388" s="11" t="s">
        <v>93</v>
      </c>
      <c r="W388" s="11">
        <v>0</v>
      </c>
      <c r="X388" s="11" t="s">
        <v>93</v>
      </c>
      <c r="Y388" s="11"/>
      <c r="Z388" s="12"/>
      <c r="AA388" s="11"/>
      <c r="AB388" s="11"/>
      <c r="AC388" s="1" t="s">
        <v>3950</v>
      </c>
      <c r="AD388" s="1" t="s">
        <v>3951</v>
      </c>
    </row>
    <row r="389" spans="1:30" ht="187.2" x14ac:dyDescent="0.3">
      <c r="A389" s="1" t="s">
        <v>270</v>
      </c>
      <c r="B389" s="1" t="s">
        <v>4513</v>
      </c>
      <c r="C389" s="1" t="s">
        <v>2114</v>
      </c>
      <c r="D389" s="1" t="s">
        <v>2115</v>
      </c>
      <c r="E389" s="1" t="s">
        <v>2116</v>
      </c>
      <c r="F389" s="1" t="s">
        <v>2118</v>
      </c>
      <c r="G389" s="1" t="s">
        <v>2119</v>
      </c>
      <c r="H389" s="1" t="s">
        <v>2120</v>
      </c>
      <c r="I389" s="1"/>
      <c r="J389" s="1" t="s">
        <v>2120</v>
      </c>
      <c r="K389" s="1"/>
      <c r="L389" s="7"/>
      <c r="M389" s="7" t="s">
        <v>125</v>
      </c>
      <c r="N389" s="7" t="s">
        <v>90</v>
      </c>
      <c r="O389" s="10"/>
      <c r="P389" s="10"/>
      <c r="Q389" s="7"/>
      <c r="R389" s="7"/>
      <c r="S389" s="7" t="s">
        <v>124</v>
      </c>
      <c r="T389" s="10"/>
      <c r="U389" s="11" t="s">
        <v>3952</v>
      </c>
      <c r="V389" s="11" t="s">
        <v>93</v>
      </c>
      <c r="W389" s="11">
        <v>0</v>
      </c>
      <c r="X389" s="11" t="s">
        <v>93</v>
      </c>
      <c r="Y389" s="11"/>
      <c r="Z389" s="12"/>
      <c r="AA389" s="11"/>
      <c r="AB389" s="11"/>
      <c r="AC389" s="1" t="s">
        <v>3953</v>
      </c>
      <c r="AD389" s="1" t="s">
        <v>3954</v>
      </c>
    </row>
    <row r="390" spans="1:30" ht="187.2" x14ac:dyDescent="0.3">
      <c r="A390" s="1" t="s">
        <v>270</v>
      </c>
      <c r="B390" s="1" t="s">
        <v>4513</v>
      </c>
      <c r="C390" s="1" t="s">
        <v>2114</v>
      </c>
      <c r="D390" s="1" t="s">
        <v>2121</v>
      </c>
      <c r="E390" s="1" t="s">
        <v>2116</v>
      </c>
      <c r="F390" s="1" t="s">
        <v>2123</v>
      </c>
      <c r="G390" s="1" t="s">
        <v>1751</v>
      </c>
      <c r="H390" s="1" t="s">
        <v>2124</v>
      </c>
      <c r="I390" s="1"/>
      <c r="J390" s="1" t="s">
        <v>2124</v>
      </c>
      <c r="K390" s="1"/>
      <c r="L390" s="7"/>
      <c r="M390" s="7" t="s">
        <v>125</v>
      </c>
      <c r="N390" s="7" t="s">
        <v>90</v>
      </c>
      <c r="O390" s="10"/>
      <c r="P390" s="10"/>
      <c r="Q390" s="7"/>
      <c r="R390" s="7"/>
      <c r="S390" s="7" t="s">
        <v>124</v>
      </c>
      <c r="T390" s="10"/>
      <c r="U390" s="11" t="s">
        <v>3955</v>
      </c>
      <c r="V390" s="11" t="s">
        <v>93</v>
      </c>
      <c r="W390" s="11">
        <v>0</v>
      </c>
      <c r="X390" s="11" t="s">
        <v>93</v>
      </c>
      <c r="Y390" s="11"/>
      <c r="Z390" s="12"/>
      <c r="AA390" s="11"/>
      <c r="AB390" s="11"/>
      <c r="AC390" s="1" t="s">
        <v>3956</v>
      </c>
      <c r="AD390" s="1" t="s">
        <v>3957</v>
      </c>
    </row>
    <row r="391" spans="1:30" ht="187.2" x14ac:dyDescent="0.3">
      <c r="A391" s="1" t="s">
        <v>270</v>
      </c>
      <c r="B391" s="1" t="s">
        <v>4513</v>
      </c>
      <c r="C391" s="1" t="s">
        <v>2114</v>
      </c>
      <c r="D391" s="1" t="s">
        <v>2125</v>
      </c>
      <c r="E391" s="1" t="s">
        <v>2116</v>
      </c>
      <c r="F391" s="1" t="s">
        <v>2127</v>
      </c>
      <c r="G391" s="1" t="s">
        <v>2128</v>
      </c>
      <c r="H391" s="1" t="s">
        <v>2129</v>
      </c>
      <c r="I391" s="1"/>
      <c r="J391" s="1" t="s">
        <v>2129</v>
      </c>
      <c r="K391" s="1"/>
      <c r="L391" s="7"/>
      <c r="M391" s="7" t="s">
        <v>125</v>
      </c>
      <c r="N391" s="7" t="s">
        <v>90</v>
      </c>
      <c r="O391" s="10"/>
      <c r="P391" s="10"/>
      <c r="Q391" s="7"/>
      <c r="R391" s="7"/>
      <c r="S391" s="7" t="s">
        <v>124</v>
      </c>
      <c r="T391" s="10"/>
      <c r="U391" s="11" t="s">
        <v>3958</v>
      </c>
      <c r="V391" s="11" t="s">
        <v>93</v>
      </c>
      <c r="W391" s="11">
        <v>0</v>
      </c>
      <c r="X391" s="11" t="s">
        <v>93</v>
      </c>
      <c r="Y391" s="11"/>
      <c r="Z391" s="12"/>
      <c r="AA391" s="11"/>
      <c r="AB391" s="11"/>
      <c r="AC391" s="1" t="s">
        <v>3959</v>
      </c>
      <c r="AD391" s="1" t="s">
        <v>3960</v>
      </c>
    </row>
    <row r="392" spans="1:30" ht="187.2" x14ac:dyDescent="0.3">
      <c r="A392" s="1" t="s">
        <v>270</v>
      </c>
      <c r="B392" s="1" t="s">
        <v>4513</v>
      </c>
      <c r="C392" s="1" t="s">
        <v>2114</v>
      </c>
      <c r="D392" s="1" t="s">
        <v>2130</v>
      </c>
      <c r="E392" s="1" t="s">
        <v>2116</v>
      </c>
      <c r="F392" s="1" t="s">
        <v>567</v>
      </c>
      <c r="G392" s="1" t="s">
        <v>2132</v>
      </c>
      <c r="H392" s="1" t="s">
        <v>2133</v>
      </c>
      <c r="I392" s="1" t="s">
        <v>2134</v>
      </c>
      <c r="J392" s="1" t="s">
        <v>2133</v>
      </c>
      <c r="K392" s="1" t="s">
        <v>2135</v>
      </c>
      <c r="L392" s="7"/>
      <c r="M392" s="7" t="s">
        <v>125</v>
      </c>
      <c r="N392" s="7" t="s">
        <v>90</v>
      </c>
      <c r="O392" s="10"/>
      <c r="P392" s="10"/>
      <c r="Q392" s="7"/>
      <c r="R392" s="7"/>
      <c r="S392" s="7" t="s">
        <v>124</v>
      </c>
      <c r="T392" s="10"/>
      <c r="U392" s="11" t="s">
        <v>3961</v>
      </c>
      <c r="V392" s="11" t="s">
        <v>93</v>
      </c>
      <c r="W392" s="11">
        <v>0</v>
      </c>
      <c r="X392" s="11" t="s">
        <v>93</v>
      </c>
      <c r="Y392" s="11"/>
      <c r="Z392" s="12"/>
      <c r="AA392" s="11"/>
      <c r="AB392" s="11"/>
      <c r="AC392" s="1" t="s">
        <v>3962</v>
      </c>
      <c r="AD392" s="1" t="s">
        <v>3963</v>
      </c>
    </row>
    <row r="393" spans="1:30" ht="187.2" x14ac:dyDescent="0.3">
      <c r="A393" s="1" t="s">
        <v>270</v>
      </c>
      <c r="B393" s="1" t="s">
        <v>4513</v>
      </c>
      <c r="C393" s="1" t="s">
        <v>2114</v>
      </c>
      <c r="D393" s="1" t="s">
        <v>2136</v>
      </c>
      <c r="E393" s="1" t="s">
        <v>2116</v>
      </c>
      <c r="F393" s="1" t="s">
        <v>439</v>
      </c>
      <c r="G393" s="1" t="s">
        <v>892</v>
      </c>
      <c r="H393" s="1" t="s">
        <v>2138</v>
      </c>
      <c r="I393" s="1"/>
      <c r="J393" s="1" t="s">
        <v>2138</v>
      </c>
      <c r="K393" s="1" t="s">
        <v>2139</v>
      </c>
      <c r="L393" s="7"/>
      <c r="M393" s="7" t="s">
        <v>125</v>
      </c>
      <c r="N393" s="7" t="s">
        <v>90</v>
      </c>
      <c r="O393" s="10"/>
      <c r="P393" s="10"/>
      <c r="Q393" s="7"/>
      <c r="R393" s="7"/>
      <c r="S393" s="7" t="s">
        <v>124</v>
      </c>
      <c r="T393" s="10"/>
      <c r="U393" s="11" t="s">
        <v>3964</v>
      </c>
      <c r="V393" s="11" t="s">
        <v>93</v>
      </c>
      <c r="W393" s="11">
        <v>0</v>
      </c>
      <c r="X393" s="11" t="s">
        <v>93</v>
      </c>
      <c r="Y393" s="11"/>
      <c r="Z393" s="12"/>
      <c r="AA393" s="11"/>
      <c r="AB393" s="11"/>
      <c r="AC393" s="1" t="s">
        <v>3965</v>
      </c>
      <c r="AD393" s="1" t="s">
        <v>3966</v>
      </c>
    </row>
    <row r="394" spans="1:30" ht="187.2" x14ac:dyDescent="0.3">
      <c r="A394" s="1" t="s">
        <v>270</v>
      </c>
      <c r="B394" s="1" t="s">
        <v>4513</v>
      </c>
      <c r="C394" s="1" t="s">
        <v>2114</v>
      </c>
      <c r="D394" s="1" t="s">
        <v>2140</v>
      </c>
      <c r="E394" s="1" t="s">
        <v>2116</v>
      </c>
      <c r="F394" s="1" t="s">
        <v>2142</v>
      </c>
      <c r="G394" s="1" t="s">
        <v>2143</v>
      </c>
      <c r="H394" s="1" t="s">
        <v>2144</v>
      </c>
      <c r="I394" s="1"/>
      <c r="J394" s="1" t="s">
        <v>2144</v>
      </c>
      <c r="K394" s="1"/>
      <c r="L394" s="7"/>
      <c r="M394" s="7" t="s">
        <v>125</v>
      </c>
      <c r="N394" s="7" t="s">
        <v>90</v>
      </c>
      <c r="O394" s="10"/>
      <c r="P394" s="10"/>
      <c r="Q394" s="7"/>
      <c r="R394" s="7"/>
      <c r="S394" s="7" t="s">
        <v>124</v>
      </c>
      <c r="T394" s="10"/>
      <c r="U394" s="11" t="s">
        <v>3967</v>
      </c>
      <c r="V394" s="11" t="s">
        <v>93</v>
      </c>
      <c r="W394" s="11">
        <v>0</v>
      </c>
      <c r="X394" s="11" t="s">
        <v>93</v>
      </c>
      <c r="Y394" s="11"/>
      <c r="Z394" s="12"/>
      <c r="AA394" s="11"/>
      <c r="AB394" s="11"/>
      <c r="AC394" s="1" t="s">
        <v>3968</v>
      </c>
      <c r="AD394" s="1" t="s">
        <v>3969</v>
      </c>
    </row>
    <row r="395" spans="1:30" ht="187.2" x14ac:dyDescent="0.3">
      <c r="A395" s="1" t="s">
        <v>270</v>
      </c>
      <c r="B395" s="1" t="s">
        <v>4513</v>
      </c>
      <c r="C395" s="1" t="s">
        <v>2114</v>
      </c>
      <c r="D395" s="1" t="s">
        <v>2145</v>
      </c>
      <c r="E395" s="1" t="s">
        <v>2116</v>
      </c>
      <c r="F395" s="1" t="s">
        <v>2147</v>
      </c>
      <c r="G395" s="1" t="s">
        <v>2148</v>
      </c>
      <c r="H395" s="1" t="s">
        <v>2149</v>
      </c>
      <c r="I395" s="1" t="s">
        <v>2150</v>
      </c>
      <c r="J395" s="1" t="s">
        <v>2149</v>
      </c>
      <c r="K395" s="1"/>
      <c r="L395" s="7"/>
      <c r="M395" s="7" t="s">
        <v>125</v>
      </c>
      <c r="N395" s="7" t="s">
        <v>90</v>
      </c>
      <c r="O395" s="10"/>
      <c r="P395" s="10"/>
      <c r="Q395" s="7"/>
      <c r="R395" s="7"/>
      <c r="S395" s="7" t="s">
        <v>124</v>
      </c>
      <c r="T395" s="10"/>
      <c r="U395" s="11" t="s">
        <v>3970</v>
      </c>
      <c r="V395" s="11" t="s">
        <v>93</v>
      </c>
      <c r="W395" s="11">
        <v>0</v>
      </c>
      <c r="X395" s="11" t="s">
        <v>93</v>
      </c>
      <c r="Y395" s="11"/>
      <c r="Z395" s="12"/>
      <c r="AA395" s="11"/>
      <c r="AB395" s="11"/>
      <c r="AC395" s="1" t="s">
        <v>3971</v>
      </c>
      <c r="AD395" s="1" t="s">
        <v>3972</v>
      </c>
    </row>
    <row r="396" spans="1:30" ht="187.2" x14ac:dyDescent="0.3">
      <c r="A396" s="1" t="s">
        <v>270</v>
      </c>
      <c r="B396" s="1" t="s">
        <v>4513</v>
      </c>
      <c r="C396" s="1" t="s">
        <v>2114</v>
      </c>
      <c r="D396" s="1" t="s">
        <v>2151</v>
      </c>
      <c r="E396" s="1" t="s">
        <v>2116</v>
      </c>
      <c r="F396" s="1" t="s">
        <v>932</v>
      </c>
      <c r="G396" s="1" t="s">
        <v>2153</v>
      </c>
      <c r="H396" s="1" t="s">
        <v>2154</v>
      </c>
      <c r="I396" s="1"/>
      <c r="J396" s="1" t="s">
        <v>2154</v>
      </c>
      <c r="K396" s="1"/>
      <c r="L396" s="7"/>
      <c r="M396" s="7" t="s">
        <v>125</v>
      </c>
      <c r="N396" s="7" t="s">
        <v>90</v>
      </c>
      <c r="O396" s="10"/>
      <c r="P396" s="10"/>
      <c r="Q396" s="7"/>
      <c r="R396" s="7"/>
      <c r="S396" s="7" t="s">
        <v>124</v>
      </c>
      <c r="T396" s="10"/>
      <c r="U396" s="11" t="s">
        <v>3973</v>
      </c>
      <c r="V396" s="11" t="s">
        <v>93</v>
      </c>
      <c r="W396" s="11">
        <v>0</v>
      </c>
      <c r="X396" s="11" t="s">
        <v>93</v>
      </c>
      <c r="Y396" s="11"/>
      <c r="Z396" s="12"/>
      <c r="AA396" s="11"/>
      <c r="AB396" s="11"/>
      <c r="AC396" s="1" t="s">
        <v>3974</v>
      </c>
      <c r="AD396" s="1" t="s">
        <v>3975</v>
      </c>
    </row>
    <row r="397" spans="1:30" ht="187.2" x14ac:dyDescent="0.3">
      <c r="A397" s="1" t="s">
        <v>270</v>
      </c>
      <c r="B397" s="1" t="s">
        <v>4513</v>
      </c>
      <c r="C397" s="1" t="s">
        <v>2114</v>
      </c>
      <c r="D397" s="1" t="s">
        <v>2155</v>
      </c>
      <c r="E397" s="1" t="s">
        <v>2116</v>
      </c>
      <c r="F397" s="1" t="s">
        <v>687</v>
      </c>
      <c r="G397" s="1" t="s">
        <v>2157</v>
      </c>
      <c r="H397" s="1" t="s">
        <v>2158</v>
      </c>
      <c r="I397" s="1" t="s">
        <v>2159</v>
      </c>
      <c r="J397" s="1" t="s">
        <v>2158</v>
      </c>
      <c r="K397" s="1"/>
      <c r="L397" s="7"/>
      <c r="M397" s="7" t="s">
        <v>125</v>
      </c>
      <c r="N397" s="7" t="s">
        <v>90</v>
      </c>
      <c r="O397" s="10"/>
      <c r="P397" s="10"/>
      <c r="Q397" s="7"/>
      <c r="R397" s="7"/>
      <c r="S397" s="7" t="s">
        <v>124</v>
      </c>
      <c r="T397" s="10"/>
      <c r="U397" s="11" t="s">
        <v>3976</v>
      </c>
      <c r="V397" s="11" t="s">
        <v>93</v>
      </c>
      <c r="W397" s="11">
        <v>0</v>
      </c>
      <c r="X397" s="11" t="s">
        <v>93</v>
      </c>
      <c r="Y397" s="11"/>
      <c r="Z397" s="12"/>
      <c r="AA397" s="11"/>
      <c r="AB397" s="11"/>
      <c r="AC397" s="1" t="s">
        <v>3977</v>
      </c>
      <c r="AD397" s="1" t="s">
        <v>3978</v>
      </c>
    </row>
    <row r="398" spans="1:30" ht="187.2" x14ac:dyDescent="0.3">
      <c r="A398" s="1" t="s">
        <v>270</v>
      </c>
      <c r="B398" s="1" t="s">
        <v>4513</v>
      </c>
      <c r="C398" s="1" t="s">
        <v>2114</v>
      </c>
      <c r="D398" s="1" t="s">
        <v>2160</v>
      </c>
      <c r="E398" s="1" t="s">
        <v>2116</v>
      </c>
      <c r="F398" s="1" t="s">
        <v>1924</v>
      </c>
      <c r="G398" s="1" t="s">
        <v>2162</v>
      </c>
      <c r="H398" s="1" t="s">
        <v>2163</v>
      </c>
      <c r="I398" s="1" t="s">
        <v>2164</v>
      </c>
      <c r="J398" s="1" t="s">
        <v>2163</v>
      </c>
      <c r="K398" s="1"/>
      <c r="L398" s="7"/>
      <c r="M398" s="7" t="s">
        <v>125</v>
      </c>
      <c r="N398" s="7" t="s">
        <v>90</v>
      </c>
      <c r="O398" s="10"/>
      <c r="P398" s="10"/>
      <c r="Q398" s="7"/>
      <c r="R398" s="7"/>
      <c r="S398" s="7" t="s">
        <v>124</v>
      </c>
      <c r="T398" s="10"/>
      <c r="U398" s="11" t="s">
        <v>3979</v>
      </c>
      <c r="V398" s="11" t="s">
        <v>93</v>
      </c>
      <c r="W398" s="11">
        <v>0</v>
      </c>
      <c r="X398" s="11" t="s">
        <v>93</v>
      </c>
      <c r="Y398" s="11"/>
      <c r="Z398" s="12"/>
      <c r="AA398" s="11"/>
      <c r="AB398" s="11"/>
      <c r="AC398" s="1" t="s">
        <v>3980</v>
      </c>
      <c r="AD398" s="1" t="s">
        <v>3981</v>
      </c>
    </row>
    <row r="399" spans="1:30" ht="187.2" x14ac:dyDescent="0.3">
      <c r="A399" s="1" t="s">
        <v>270</v>
      </c>
      <c r="B399" s="1" t="s">
        <v>4513</v>
      </c>
      <c r="C399" s="1" t="s">
        <v>2114</v>
      </c>
      <c r="D399" s="1" t="s">
        <v>2165</v>
      </c>
      <c r="E399" s="1" t="s">
        <v>2116</v>
      </c>
      <c r="F399" s="1" t="s">
        <v>458</v>
      </c>
      <c r="G399" s="1" t="s">
        <v>367</v>
      </c>
      <c r="H399" s="1" t="s">
        <v>593</v>
      </c>
      <c r="I399" s="1"/>
      <c r="J399" s="1" t="s">
        <v>593</v>
      </c>
      <c r="K399" s="1" t="s">
        <v>2167</v>
      </c>
      <c r="L399" s="7"/>
      <c r="M399" s="7" t="s">
        <v>125</v>
      </c>
      <c r="N399" s="7" t="s">
        <v>90</v>
      </c>
      <c r="O399" s="10"/>
      <c r="P399" s="10"/>
      <c r="Q399" s="7"/>
      <c r="R399" s="7"/>
      <c r="S399" s="7" t="s">
        <v>124</v>
      </c>
      <c r="T399" s="10"/>
      <c r="U399" s="11" t="s">
        <v>3982</v>
      </c>
      <c r="V399" s="11" t="s">
        <v>93</v>
      </c>
      <c r="W399" s="11">
        <v>0</v>
      </c>
      <c r="X399" s="11" t="s">
        <v>93</v>
      </c>
      <c r="Y399" s="11"/>
      <c r="Z399" s="12"/>
      <c r="AA399" s="11"/>
      <c r="AB399" s="11"/>
      <c r="AC399" s="1" t="s">
        <v>3983</v>
      </c>
      <c r="AD399" s="1" t="s">
        <v>3984</v>
      </c>
    </row>
    <row r="400" spans="1:30" ht="187.2" x14ac:dyDescent="0.3">
      <c r="A400" s="1" t="s">
        <v>270</v>
      </c>
      <c r="B400" s="1" t="s">
        <v>4513</v>
      </c>
      <c r="C400" s="1" t="s">
        <v>2114</v>
      </c>
      <c r="D400" s="1" t="s">
        <v>2168</v>
      </c>
      <c r="E400" s="1" t="s">
        <v>2116</v>
      </c>
      <c r="F400" s="1" t="s">
        <v>458</v>
      </c>
      <c r="G400" s="1" t="s">
        <v>2170</v>
      </c>
      <c r="H400" s="1" t="s">
        <v>2171</v>
      </c>
      <c r="I400" s="1" t="s">
        <v>2172</v>
      </c>
      <c r="J400" s="1" t="s">
        <v>2171</v>
      </c>
      <c r="K400" s="1" t="s">
        <v>2173</v>
      </c>
      <c r="L400" s="7"/>
      <c r="M400" s="7" t="s">
        <v>125</v>
      </c>
      <c r="N400" s="7" t="s">
        <v>90</v>
      </c>
      <c r="O400" s="10"/>
      <c r="P400" s="10"/>
      <c r="Q400" s="7"/>
      <c r="R400" s="7"/>
      <c r="S400" s="7" t="s">
        <v>124</v>
      </c>
      <c r="T400" s="10"/>
      <c r="U400" s="11" t="s">
        <v>3985</v>
      </c>
      <c r="V400" s="11" t="s">
        <v>93</v>
      </c>
      <c r="W400" s="11">
        <v>0</v>
      </c>
      <c r="X400" s="11" t="s">
        <v>93</v>
      </c>
      <c r="Y400" s="11"/>
      <c r="Z400" s="12"/>
      <c r="AA400" s="11"/>
      <c r="AB400" s="11"/>
      <c r="AC400" s="1" t="s">
        <v>3986</v>
      </c>
      <c r="AD400" s="1" t="s">
        <v>3987</v>
      </c>
    </row>
    <row r="401" spans="1:30" ht="187.2" x14ac:dyDescent="0.3">
      <c r="A401" s="1" t="s">
        <v>270</v>
      </c>
      <c r="B401" s="1" t="s">
        <v>4513</v>
      </c>
      <c r="C401" s="1" t="s">
        <v>2114</v>
      </c>
      <c r="D401" s="1" t="s">
        <v>2174</v>
      </c>
      <c r="E401" s="1" t="s">
        <v>2116</v>
      </c>
      <c r="F401" s="1" t="s">
        <v>1168</v>
      </c>
      <c r="G401" s="1" t="s">
        <v>1684</v>
      </c>
      <c r="H401" s="1" t="s">
        <v>2176</v>
      </c>
      <c r="I401" s="1"/>
      <c r="J401" s="1" t="s">
        <v>2176</v>
      </c>
      <c r="K401" s="1"/>
      <c r="L401" s="7"/>
      <c r="M401" s="7" t="s">
        <v>125</v>
      </c>
      <c r="N401" s="7" t="s">
        <v>90</v>
      </c>
      <c r="O401" s="10"/>
      <c r="P401" s="10"/>
      <c r="Q401" s="7"/>
      <c r="R401" s="7"/>
      <c r="S401" s="7" t="s">
        <v>124</v>
      </c>
      <c r="T401" s="10"/>
      <c r="U401" s="11" t="s">
        <v>3988</v>
      </c>
      <c r="V401" s="11" t="s">
        <v>93</v>
      </c>
      <c r="W401" s="11">
        <v>0</v>
      </c>
      <c r="X401" s="11" t="s">
        <v>93</v>
      </c>
      <c r="Y401" s="11"/>
      <c r="Z401" s="12"/>
      <c r="AA401" s="11"/>
      <c r="AB401" s="11"/>
      <c r="AC401" s="1" t="s">
        <v>3989</v>
      </c>
      <c r="AD401" s="1" t="s">
        <v>3990</v>
      </c>
    </row>
    <row r="402" spans="1:30" ht="187.2" x14ac:dyDescent="0.3">
      <c r="A402" s="1" t="s">
        <v>270</v>
      </c>
      <c r="B402" s="1" t="s">
        <v>4513</v>
      </c>
      <c r="C402" s="1" t="s">
        <v>2114</v>
      </c>
      <c r="D402" s="1" t="s">
        <v>2177</v>
      </c>
      <c r="E402" s="1" t="s">
        <v>2116</v>
      </c>
      <c r="F402" s="1" t="s">
        <v>2179</v>
      </c>
      <c r="G402" s="1" t="s">
        <v>2180</v>
      </c>
      <c r="H402" s="1" t="s">
        <v>2181</v>
      </c>
      <c r="I402" s="1" t="s">
        <v>2182</v>
      </c>
      <c r="J402" s="1" t="s">
        <v>2181</v>
      </c>
      <c r="K402" s="1"/>
      <c r="L402" s="7"/>
      <c r="M402" s="7" t="s">
        <v>125</v>
      </c>
      <c r="N402" s="7" t="s">
        <v>90</v>
      </c>
      <c r="O402" s="10"/>
      <c r="P402" s="10"/>
      <c r="Q402" s="7"/>
      <c r="R402" s="7"/>
      <c r="S402" s="7" t="s">
        <v>124</v>
      </c>
      <c r="T402" s="10"/>
      <c r="U402" s="11" t="s">
        <v>3991</v>
      </c>
      <c r="V402" s="11" t="s">
        <v>93</v>
      </c>
      <c r="W402" s="11">
        <v>0</v>
      </c>
      <c r="X402" s="11" t="s">
        <v>93</v>
      </c>
      <c r="Y402" s="11"/>
      <c r="Z402" s="12"/>
      <c r="AA402" s="11"/>
      <c r="AB402" s="11"/>
      <c r="AC402" s="1" t="s">
        <v>3992</v>
      </c>
      <c r="AD402" s="1" t="s">
        <v>3993</v>
      </c>
    </row>
    <row r="403" spans="1:30" ht="187.2" x14ac:dyDescent="0.3">
      <c r="A403" s="1" t="s">
        <v>270</v>
      </c>
      <c r="B403" s="1" t="s">
        <v>4513</v>
      </c>
      <c r="C403" s="1" t="s">
        <v>2114</v>
      </c>
      <c r="D403" s="1" t="s">
        <v>2183</v>
      </c>
      <c r="E403" s="1" t="s">
        <v>2116</v>
      </c>
      <c r="F403" s="1" t="s">
        <v>2185</v>
      </c>
      <c r="G403" s="1" t="s">
        <v>2186</v>
      </c>
      <c r="H403" s="1" t="s">
        <v>2187</v>
      </c>
      <c r="I403" s="1" t="s">
        <v>2188</v>
      </c>
      <c r="J403" s="1" t="s">
        <v>2187</v>
      </c>
      <c r="K403" s="1"/>
      <c r="L403" s="7"/>
      <c r="M403" s="7" t="s">
        <v>125</v>
      </c>
      <c r="N403" s="7" t="s">
        <v>90</v>
      </c>
      <c r="O403" s="10"/>
      <c r="P403" s="10"/>
      <c r="Q403" s="7"/>
      <c r="R403" s="7"/>
      <c r="S403" s="7" t="s">
        <v>124</v>
      </c>
      <c r="T403" s="10"/>
      <c r="U403" s="11" t="s">
        <v>3994</v>
      </c>
      <c r="V403" s="11" t="s">
        <v>93</v>
      </c>
      <c r="W403" s="11">
        <v>0</v>
      </c>
      <c r="X403" s="11" t="s">
        <v>93</v>
      </c>
      <c r="Y403" s="11"/>
      <c r="Z403" s="12"/>
      <c r="AA403" s="11"/>
      <c r="AB403" s="11"/>
      <c r="AC403" s="1" t="s">
        <v>3995</v>
      </c>
      <c r="AD403" s="1" t="s">
        <v>3996</v>
      </c>
    </row>
    <row r="404" spans="1:30" ht="187.2" x14ac:dyDescent="0.3">
      <c r="A404" s="1" t="s">
        <v>270</v>
      </c>
      <c r="B404" s="1" t="s">
        <v>4513</v>
      </c>
      <c r="C404" s="1" t="s">
        <v>2114</v>
      </c>
      <c r="D404" s="1" t="s">
        <v>2189</v>
      </c>
      <c r="E404" s="1" t="s">
        <v>2116</v>
      </c>
      <c r="F404" s="1" t="s">
        <v>2191</v>
      </c>
      <c r="G404" s="1" t="s">
        <v>2192</v>
      </c>
      <c r="H404" s="1" t="s">
        <v>2193</v>
      </c>
      <c r="I404" s="1" t="s">
        <v>2194</v>
      </c>
      <c r="J404" s="1" t="s">
        <v>2193</v>
      </c>
      <c r="K404" s="1"/>
      <c r="L404" s="7"/>
      <c r="M404" s="7" t="s">
        <v>125</v>
      </c>
      <c r="N404" s="7" t="s">
        <v>90</v>
      </c>
      <c r="O404" s="10"/>
      <c r="P404" s="10"/>
      <c r="Q404" s="7"/>
      <c r="R404" s="7"/>
      <c r="S404" s="7" t="s">
        <v>124</v>
      </c>
      <c r="T404" s="10"/>
      <c r="U404" s="11" t="s">
        <v>3997</v>
      </c>
      <c r="V404" s="11" t="s">
        <v>93</v>
      </c>
      <c r="W404" s="11">
        <v>0</v>
      </c>
      <c r="X404" s="11" t="s">
        <v>93</v>
      </c>
      <c r="Y404" s="11"/>
      <c r="Z404" s="12"/>
      <c r="AA404" s="11"/>
      <c r="AB404" s="11"/>
      <c r="AC404" s="1" t="s">
        <v>3998</v>
      </c>
      <c r="AD404" s="1" t="s">
        <v>3999</v>
      </c>
    </row>
    <row r="405" spans="1:30" ht="187.2" x14ac:dyDescent="0.3">
      <c r="A405" s="1" t="s">
        <v>270</v>
      </c>
      <c r="B405" s="1" t="s">
        <v>4513</v>
      </c>
      <c r="C405" s="1" t="s">
        <v>2114</v>
      </c>
      <c r="D405" s="1" t="s">
        <v>2195</v>
      </c>
      <c r="E405" s="1" t="s">
        <v>2116</v>
      </c>
      <c r="F405" s="1" t="s">
        <v>2197</v>
      </c>
      <c r="G405" s="1" t="s">
        <v>2198</v>
      </c>
      <c r="H405" s="1" t="s">
        <v>2199</v>
      </c>
      <c r="I405" s="1"/>
      <c r="J405" s="1" t="s">
        <v>2199</v>
      </c>
      <c r="K405" s="1"/>
      <c r="L405" s="7"/>
      <c r="M405" s="7" t="s">
        <v>125</v>
      </c>
      <c r="N405" s="7" t="s">
        <v>90</v>
      </c>
      <c r="O405" s="10"/>
      <c r="P405" s="10"/>
      <c r="Q405" s="7"/>
      <c r="R405" s="7"/>
      <c r="S405" s="7" t="s">
        <v>124</v>
      </c>
      <c r="T405" s="10"/>
      <c r="U405" s="11" t="s">
        <v>4000</v>
      </c>
      <c r="V405" s="11" t="s">
        <v>93</v>
      </c>
      <c r="W405" s="11">
        <v>0</v>
      </c>
      <c r="X405" s="11" t="s">
        <v>93</v>
      </c>
      <c r="Y405" s="11"/>
      <c r="Z405" s="12"/>
      <c r="AA405" s="11"/>
      <c r="AB405" s="11"/>
      <c r="AC405" s="1" t="s">
        <v>4001</v>
      </c>
      <c r="AD405" s="1" t="s">
        <v>4002</v>
      </c>
    </row>
    <row r="406" spans="1:30" ht="187.2" x14ac:dyDescent="0.3">
      <c r="A406" s="1" t="s">
        <v>270</v>
      </c>
      <c r="B406" s="1" t="s">
        <v>4513</v>
      </c>
      <c r="C406" s="1" t="s">
        <v>2114</v>
      </c>
      <c r="D406" s="1" t="s">
        <v>2200</v>
      </c>
      <c r="E406" s="1" t="s">
        <v>2116</v>
      </c>
      <c r="F406" s="1" t="s">
        <v>2202</v>
      </c>
      <c r="G406" s="1" t="s">
        <v>2203</v>
      </c>
      <c r="H406" s="1" t="s">
        <v>2204</v>
      </c>
      <c r="I406" s="1"/>
      <c r="J406" s="1" t="s">
        <v>2204</v>
      </c>
      <c r="K406" s="1"/>
      <c r="L406" s="7"/>
      <c r="M406" s="7" t="s">
        <v>125</v>
      </c>
      <c r="N406" s="7" t="s">
        <v>90</v>
      </c>
      <c r="O406" s="10"/>
      <c r="P406" s="10"/>
      <c r="Q406" s="7"/>
      <c r="R406" s="7"/>
      <c r="S406" s="7" t="s">
        <v>124</v>
      </c>
      <c r="T406" s="10"/>
      <c r="U406" s="11" t="s">
        <v>4003</v>
      </c>
      <c r="V406" s="11" t="s">
        <v>93</v>
      </c>
      <c r="W406" s="11">
        <v>0</v>
      </c>
      <c r="X406" s="11" t="s">
        <v>93</v>
      </c>
      <c r="Y406" s="11"/>
      <c r="Z406" s="12"/>
      <c r="AA406" s="11"/>
      <c r="AB406" s="11"/>
      <c r="AC406" s="1" t="s">
        <v>4004</v>
      </c>
      <c r="AD406" s="1" t="s">
        <v>4005</v>
      </c>
    </row>
    <row r="407" spans="1:30" ht="187.2" x14ac:dyDescent="0.3">
      <c r="A407" s="1" t="s">
        <v>270</v>
      </c>
      <c r="B407" s="1" t="s">
        <v>4513</v>
      </c>
      <c r="C407" s="1" t="s">
        <v>2114</v>
      </c>
      <c r="D407" s="1" t="s">
        <v>2205</v>
      </c>
      <c r="E407" s="1" t="s">
        <v>2116</v>
      </c>
      <c r="F407" s="1" t="s">
        <v>2207</v>
      </c>
      <c r="G407" s="1" t="s">
        <v>2208</v>
      </c>
      <c r="H407" s="1" t="s">
        <v>2209</v>
      </c>
      <c r="I407" s="1"/>
      <c r="J407" s="1" t="s">
        <v>2209</v>
      </c>
      <c r="K407" s="1"/>
      <c r="L407" s="7"/>
      <c r="M407" s="7" t="s">
        <v>125</v>
      </c>
      <c r="N407" s="7" t="s">
        <v>90</v>
      </c>
      <c r="O407" s="10"/>
      <c r="P407" s="10"/>
      <c r="Q407" s="7"/>
      <c r="R407" s="7"/>
      <c r="S407" s="7" t="s">
        <v>124</v>
      </c>
      <c r="T407" s="10"/>
      <c r="U407" s="11" t="s">
        <v>4006</v>
      </c>
      <c r="V407" s="11" t="s">
        <v>93</v>
      </c>
      <c r="W407" s="11">
        <v>0</v>
      </c>
      <c r="X407" s="11" t="s">
        <v>93</v>
      </c>
      <c r="Y407" s="11"/>
      <c r="Z407" s="12"/>
      <c r="AA407" s="11"/>
      <c r="AB407" s="11"/>
      <c r="AC407" s="1" t="s">
        <v>4007</v>
      </c>
      <c r="AD407" s="1" t="s">
        <v>4008</v>
      </c>
    </row>
    <row r="408" spans="1:30" ht="187.2" x14ac:dyDescent="0.3">
      <c r="A408" s="1" t="s">
        <v>270</v>
      </c>
      <c r="B408" s="1" t="s">
        <v>4513</v>
      </c>
      <c r="C408" s="1" t="s">
        <v>2114</v>
      </c>
      <c r="D408" s="1" t="s">
        <v>2210</v>
      </c>
      <c r="E408" s="1" t="s">
        <v>2116</v>
      </c>
      <c r="F408" s="1" t="s">
        <v>2212</v>
      </c>
      <c r="G408" s="1" t="s">
        <v>380</v>
      </c>
      <c r="H408" s="1" t="s">
        <v>2213</v>
      </c>
      <c r="I408" s="1" t="s">
        <v>2214</v>
      </c>
      <c r="J408" s="1" t="s">
        <v>2213</v>
      </c>
      <c r="K408" s="1"/>
      <c r="L408" s="7"/>
      <c r="M408" s="7" t="s">
        <v>125</v>
      </c>
      <c r="N408" s="7" t="s">
        <v>90</v>
      </c>
      <c r="O408" s="10"/>
      <c r="P408" s="10"/>
      <c r="Q408" s="7"/>
      <c r="R408" s="7"/>
      <c r="S408" s="7" t="s">
        <v>124</v>
      </c>
      <c r="T408" s="10"/>
      <c r="U408" s="11" t="s">
        <v>4009</v>
      </c>
      <c r="V408" s="11" t="s">
        <v>93</v>
      </c>
      <c r="W408" s="11">
        <v>0</v>
      </c>
      <c r="X408" s="11" t="s">
        <v>93</v>
      </c>
      <c r="Y408" s="11"/>
      <c r="Z408" s="12"/>
      <c r="AA408" s="11"/>
      <c r="AB408" s="11"/>
      <c r="AC408" s="1" t="s">
        <v>4010</v>
      </c>
      <c r="AD408" s="1" t="s">
        <v>4011</v>
      </c>
    </row>
    <row r="409" spans="1:30" ht="187.2" x14ac:dyDescent="0.3">
      <c r="A409" s="1" t="s">
        <v>270</v>
      </c>
      <c r="B409" s="1" t="s">
        <v>4513</v>
      </c>
      <c r="C409" s="1" t="s">
        <v>2114</v>
      </c>
      <c r="D409" s="1" t="s">
        <v>2215</v>
      </c>
      <c r="E409" s="1" t="s">
        <v>2116</v>
      </c>
      <c r="F409" s="1" t="s">
        <v>428</v>
      </c>
      <c r="G409" s="1" t="s">
        <v>2217</v>
      </c>
      <c r="H409" s="1" t="s">
        <v>2218</v>
      </c>
      <c r="I409" s="1"/>
      <c r="J409" s="1" t="s">
        <v>2218</v>
      </c>
      <c r="K409" s="1"/>
      <c r="L409" s="7"/>
      <c r="M409" s="7" t="s">
        <v>125</v>
      </c>
      <c r="N409" s="7" t="s">
        <v>90</v>
      </c>
      <c r="O409" s="10"/>
      <c r="P409" s="10"/>
      <c r="Q409" s="7"/>
      <c r="R409" s="7"/>
      <c r="S409" s="7" t="s">
        <v>124</v>
      </c>
      <c r="T409" s="10"/>
      <c r="U409" s="11" t="s">
        <v>4012</v>
      </c>
      <c r="V409" s="11" t="s">
        <v>93</v>
      </c>
      <c r="W409" s="11">
        <v>0</v>
      </c>
      <c r="X409" s="11" t="s">
        <v>93</v>
      </c>
      <c r="Y409" s="11"/>
      <c r="Z409" s="12"/>
      <c r="AA409" s="11"/>
      <c r="AB409" s="11"/>
      <c r="AC409" s="1" t="s">
        <v>4013</v>
      </c>
      <c r="AD409" s="1" t="s">
        <v>4014</v>
      </c>
    </row>
    <row r="410" spans="1:30" ht="187.2" x14ac:dyDescent="0.3">
      <c r="A410" s="1" t="s">
        <v>270</v>
      </c>
      <c r="B410" s="1" t="s">
        <v>4513</v>
      </c>
      <c r="C410" s="1" t="s">
        <v>2114</v>
      </c>
      <c r="D410" s="1" t="s">
        <v>2219</v>
      </c>
      <c r="E410" s="1" t="s">
        <v>2116</v>
      </c>
      <c r="F410" s="1" t="s">
        <v>2221</v>
      </c>
      <c r="G410" s="1" t="s">
        <v>669</v>
      </c>
      <c r="H410" s="1" t="s">
        <v>2222</v>
      </c>
      <c r="I410" s="1"/>
      <c r="J410" s="1" t="s">
        <v>2222</v>
      </c>
      <c r="K410" s="1"/>
      <c r="L410" s="7"/>
      <c r="M410" s="7" t="s">
        <v>125</v>
      </c>
      <c r="N410" s="7" t="s">
        <v>90</v>
      </c>
      <c r="O410" s="10"/>
      <c r="P410" s="10"/>
      <c r="Q410" s="7"/>
      <c r="R410" s="7"/>
      <c r="S410" s="7" t="s">
        <v>124</v>
      </c>
      <c r="T410" s="10"/>
      <c r="U410" s="11" t="s">
        <v>4015</v>
      </c>
      <c r="V410" s="11" t="s">
        <v>93</v>
      </c>
      <c r="W410" s="11">
        <v>0</v>
      </c>
      <c r="X410" s="11" t="s">
        <v>93</v>
      </c>
      <c r="Y410" s="11"/>
      <c r="Z410" s="12"/>
      <c r="AA410" s="11"/>
      <c r="AB410" s="11"/>
      <c r="AC410" s="1" t="s">
        <v>4016</v>
      </c>
      <c r="AD410" s="1" t="s">
        <v>4017</v>
      </c>
    </row>
    <row r="411" spans="1:30" ht="187.2" x14ac:dyDescent="0.3">
      <c r="A411" s="1" t="s">
        <v>270</v>
      </c>
      <c r="B411" s="1" t="s">
        <v>4513</v>
      </c>
      <c r="C411" s="1" t="s">
        <v>2114</v>
      </c>
      <c r="D411" s="1" t="s">
        <v>2223</v>
      </c>
      <c r="E411" s="1" t="s">
        <v>2116</v>
      </c>
      <c r="F411" s="1" t="s">
        <v>2225</v>
      </c>
      <c r="G411" s="1" t="s">
        <v>2226</v>
      </c>
      <c r="H411" s="1" t="s">
        <v>2227</v>
      </c>
      <c r="I411" s="1" t="s">
        <v>2228</v>
      </c>
      <c r="J411" s="1" t="s">
        <v>2227</v>
      </c>
      <c r="K411" s="1"/>
      <c r="L411" s="7"/>
      <c r="M411" s="7" t="s">
        <v>125</v>
      </c>
      <c r="N411" s="7" t="s">
        <v>90</v>
      </c>
      <c r="O411" s="10"/>
      <c r="P411" s="10"/>
      <c r="Q411" s="7"/>
      <c r="R411" s="7"/>
      <c r="S411" s="7" t="s">
        <v>124</v>
      </c>
      <c r="T411" s="10"/>
      <c r="U411" s="11" t="s">
        <v>4018</v>
      </c>
      <c r="V411" s="11" t="s">
        <v>93</v>
      </c>
      <c r="W411" s="11">
        <v>0</v>
      </c>
      <c r="X411" s="11" t="s">
        <v>93</v>
      </c>
      <c r="Y411" s="11"/>
      <c r="Z411" s="12"/>
      <c r="AA411" s="11"/>
      <c r="AB411" s="11"/>
      <c r="AC411" s="1" t="s">
        <v>4019</v>
      </c>
      <c r="AD411" s="1" t="s">
        <v>4020</v>
      </c>
    </row>
    <row r="412" spans="1:30" ht="187.2" x14ac:dyDescent="0.3">
      <c r="A412" s="1" t="s">
        <v>270</v>
      </c>
      <c r="B412" s="1" t="s">
        <v>4513</v>
      </c>
      <c r="C412" s="1" t="s">
        <v>2114</v>
      </c>
      <c r="D412" s="1" t="s">
        <v>2229</v>
      </c>
      <c r="E412" s="1" t="s">
        <v>2116</v>
      </c>
      <c r="F412" s="1" t="s">
        <v>932</v>
      </c>
      <c r="G412" s="1" t="s">
        <v>2231</v>
      </c>
      <c r="H412" s="1" t="s">
        <v>2232</v>
      </c>
      <c r="I412" s="1"/>
      <c r="J412" s="1" t="s">
        <v>2232</v>
      </c>
      <c r="K412" s="1" t="s">
        <v>2233</v>
      </c>
      <c r="L412" s="7"/>
      <c r="M412" s="7" t="s">
        <v>125</v>
      </c>
      <c r="N412" s="7" t="s">
        <v>90</v>
      </c>
      <c r="O412" s="10"/>
      <c r="P412" s="10"/>
      <c r="Q412" s="7"/>
      <c r="R412" s="7"/>
      <c r="S412" s="7" t="s">
        <v>124</v>
      </c>
      <c r="T412" s="10"/>
      <c r="U412" s="11" t="s">
        <v>4021</v>
      </c>
      <c r="V412" s="11" t="s">
        <v>93</v>
      </c>
      <c r="W412" s="11">
        <v>0</v>
      </c>
      <c r="X412" s="11" t="s">
        <v>93</v>
      </c>
      <c r="Y412" s="11"/>
      <c r="Z412" s="12"/>
      <c r="AA412" s="11"/>
      <c r="AB412" s="11"/>
      <c r="AC412" s="1" t="s">
        <v>4022</v>
      </c>
      <c r="AD412" s="1" t="s">
        <v>4023</v>
      </c>
    </row>
    <row r="413" spans="1:30" ht="187.2" x14ac:dyDescent="0.3">
      <c r="A413" s="1" t="s">
        <v>270</v>
      </c>
      <c r="B413" s="1" t="s">
        <v>4513</v>
      </c>
      <c r="C413" s="1" t="s">
        <v>2114</v>
      </c>
      <c r="D413" s="1" t="s">
        <v>2234</v>
      </c>
      <c r="E413" s="1" t="s">
        <v>2116</v>
      </c>
      <c r="F413" s="1" t="s">
        <v>2236</v>
      </c>
      <c r="G413" s="1" t="s">
        <v>2237</v>
      </c>
      <c r="H413" s="1" t="s">
        <v>2238</v>
      </c>
      <c r="I413" s="1"/>
      <c r="J413" s="1" t="s">
        <v>2238</v>
      </c>
      <c r="K413" s="1"/>
      <c r="L413" s="7"/>
      <c r="M413" s="7" t="s">
        <v>125</v>
      </c>
      <c r="N413" s="7" t="s">
        <v>90</v>
      </c>
      <c r="O413" s="10"/>
      <c r="P413" s="10"/>
      <c r="Q413" s="7"/>
      <c r="R413" s="7"/>
      <c r="S413" s="7" t="s">
        <v>124</v>
      </c>
      <c r="T413" s="10"/>
      <c r="U413" s="11" t="s">
        <v>4024</v>
      </c>
      <c r="V413" s="11" t="s">
        <v>93</v>
      </c>
      <c r="W413" s="11">
        <v>0</v>
      </c>
      <c r="X413" s="11" t="s">
        <v>93</v>
      </c>
      <c r="Y413" s="11"/>
      <c r="Z413" s="12"/>
      <c r="AA413" s="11"/>
      <c r="AB413" s="11"/>
      <c r="AC413" s="1" t="s">
        <v>4025</v>
      </c>
      <c r="AD413" s="1" t="s">
        <v>4026</v>
      </c>
    </row>
    <row r="414" spans="1:30" ht="187.2" x14ac:dyDescent="0.3">
      <c r="A414" s="1" t="s">
        <v>270</v>
      </c>
      <c r="B414" s="1" t="s">
        <v>4513</v>
      </c>
      <c r="C414" s="1" t="s">
        <v>2114</v>
      </c>
      <c r="D414" s="1" t="s">
        <v>2239</v>
      </c>
      <c r="E414" s="1" t="s">
        <v>2116</v>
      </c>
      <c r="F414" s="1" t="s">
        <v>2241</v>
      </c>
      <c r="G414" s="1" t="s">
        <v>2242</v>
      </c>
      <c r="H414" s="1" t="s">
        <v>2243</v>
      </c>
      <c r="I414" s="1" t="s">
        <v>2244</v>
      </c>
      <c r="J414" s="1" t="s">
        <v>2243</v>
      </c>
      <c r="K414" s="1" t="s">
        <v>2245</v>
      </c>
      <c r="L414" s="7"/>
      <c r="M414" s="7" t="s">
        <v>125</v>
      </c>
      <c r="N414" s="7" t="s">
        <v>90</v>
      </c>
      <c r="O414" s="10"/>
      <c r="P414" s="10"/>
      <c r="Q414" s="7"/>
      <c r="R414" s="7"/>
      <c r="S414" s="7" t="s">
        <v>124</v>
      </c>
      <c r="T414" s="10"/>
      <c r="U414" s="11" t="s">
        <v>4027</v>
      </c>
      <c r="V414" s="11" t="s">
        <v>93</v>
      </c>
      <c r="W414" s="11">
        <v>0</v>
      </c>
      <c r="X414" s="11" t="s">
        <v>93</v>
      </c>
      <c r="Y414" s="11"/>
      <c r="Z414" s="12"/>
      <c r="AA414" s="11"/>
      <c r="AB414" s="11"/>
      <c r="AC414" s="1" t="s">
        <v>4028</v>
      </c>
      <c r="AD414" s="1" t="s">
        <v>4029</v>
      </c>
    </row>
    <row r="415" spans="1:30" ht="187.2" x14ac:dyDescent="0.3">
      <c r="A415" s="1" t="s">
        <v>270</v>
      </c>
      <c r="B415" s="1" t="s">
        <v>4513</v>
      </c>
      <c r="C415" s="1" t="s">
        <v>2114</v>
      </c>
      <c r="D415" s="1" t="s">
        <v>2246</v>
      </c>
      <c r="E415" s="1" t="s">
        <v>2116</v>
      </c>
      <c r="F415" s="1" t="s">
        <v>2248</v>
      </c>
      <c r="G415" s="1" t="s">
        <v>2249</v>
      </c>
      <c r="H415" s="1" t="s">
        <v>2250</v>
      </c>
      <c r="I415" s="1"/>
      <c r="J415" s="1" t="s">
        <v>2250</v>
      </c>
      <c r="K415" s="1" t="s">
        <v>990</v>
      </c>
      <c r="L415" s="7"/>
      <c r="M415" s="7" t="s">
        <v>125</v>
      </c>
      <c r="N415" s="7" t="s">
        <v>90</v>
      </c>
      <c r="O415" s="10"/>
      <c r="P415" s="10"/>
      <c r="Q415" s="7"/>
      <c r="R415" s="7"/>
      <c r="S415" s="7" t="s">
        <v>124</v>
      </c>
      <c r="T415" s="10"/>
      <c r="U415" s="11" t="s">
        <v>4030</v>
      </c>
      <c r="V415" s="11" t="s">
        <v>93</v>
      </c>
      <c r="W415" s="11">
        <v>0</v>
      </c>
      <c r="X415" s="11" t="s">
        <v>93</v>
      </c>
      <c r="Y415" s="11"/>
      <c r="Z415" s="12"/>
      <c r="AA415" s="11"/>
      <c r="AB415" s="11"/>
      <c r="AC415" s="1" t="s">
        <v>4031</v>
      </c>
      <c r="AD415" s="1" t="s">
        <v>4032</v>
      </c>
    </row>
    <row r="416" spans="1:30" ht="187.2" x14ac:dyDescent="0.3">
      <c r="A416" s="1" t="s">
        <v>270</v>
      </c>
      <c r="B416" s="1" t="s">
        <v>4513</v>
      </c>
      <c r="C416" s="1" t="s">
        <v>2114</v>
      </c>
      <c r="D416" s="1" t="s">
        <v>2251</v>
      </c>
      <c r="E416" s="1" t="s">
        <v>2116</v>
      </c>
      <c r="F416" s="1" t="s">
        <v>2253</v>
      </c>
      <c r="G416" s="1" t="s">
        <v>2254</v>
      </c>
      <c r="H416" s="1"/>
      <c r="I416" s="1"/>
      <c r="J416" s="1"/>
      <c r="K416" s="1"/>
      <c r="L416" s="7"/>
      <c r="M416" s="7" t="s">
        <v>125</v>
      </c>
      <c r="N416" s="7" t="s">
        <v>90</v>
      </c>
      <c r="O416" s="10"/>
      <c r="P416" s="10"/>
      <c r="Q416" s="7"/>
      <c r="R416" s="7"/>
      <c r="S416" s="7" t="s">
        <v>124</v>
      </c>
      <c r="T416" s="10"/>
      <c r="U416" s="11" t="s">
        <v>4033</v>
      </c>
      <c r="V416" s="11" t="s">
        <v>93</v>
      </c>
      <c r="W416" s="11">
        <v>0</v>
      </c>
      <c r="X416" s="11" t="s">
        <v>93</v>
      </c>
      <c r="Y416" s="11"/>
      <c r="Z416" s="12"/>
      <c r="AA416" s="11"/>
      <c r="AB416" s="11"/>
      <c r="AC416" s="1" t="s">
        <v>4034</v>
      </c>
      <c r="AD416" s="1" t="s">
        <v>4035</v>
      </c>
    </row>
    <row r="417" spans="1:30" ht="187.2" x14ac:dyDescent="0.3">
      <c r="A417" s="1" t="s">
        <v>270</v>
      </c>
      <c r="B417" s="1" t="s">
        <v>4513</v>
      </c>
      <c r="C417" s="1" t="s">
        <v>2114</v>
      </c>
      <c r="D417" s="1" t="s">
        <v>2255</v>
      </c>
      <c r="E417" s="1" t="s">
        <v>2116</v>
      </c>
      <c r="F417" s="1" t="s">
        <v>2257</v>
      </c>
      <c r="G417" s="1" t="s">
        <v>2258</v>
      </c>
      <c r="H417" s="1" t="s">
        <v>2259</v>
      </c>
      <c r="I417" s="1" t="s">
        <v>2260</v>
      </c>
      <c r="J417" s="1" t="s">
        <v>2259</v>
      </c>
      <c r="K417" s="1"/>
      <c r="L417" s="7"/>
      <c r="M417" s="7" t="s">
        <v>125</v>
      </c>
      <c r="N417" s="7" t="s">
        <v>90</v>
      </c>
      <c r="O417" s="10"/>
      <c r="P417" s="10"/>
      <c r="Q417" s="7"/>
      <c r="R417" s="7"/>
      <c r="S417" s="7" t="s">
        <v>124</v>
      </c>
      <c r="T417" s="10"/>
      <c r="U417" s="11" t="s">
        <v>4036</v>
      </c>
      <c r="V417" s="11" t="s">
        <v>93</v>
      </c>
      <c r="W417" s="11">
        <v>0</v>
      </c>
      <c r="X417" s="11" t="s">
        <v>93</v>
      </c>
      <c r="Y417" s="11"/>
      <c r="Z417" s="12"/>
      <c r="AA417" s="11"/>
      <c r="AB417" s="11"/>
      <c r="AC417" s="1" t="s">
        <v>4037</v>
      </c>
      <c r="AD417" s="1" t="s">
        <v>4038</v>
      </c>
    </row>
    <row r="418" spans="1:30" ht="187.2" x14ac:dyDescent="0.3">
      <c r="A418" s="1" t="s">
        <v>270</v>
      </c>
      <c r="B418" s="1" t="s">
        <v>4513</v>
      </c>
      <c r="C418" s="1" t="s">
        <v>2114</v>
      </c>
      <c r="D418" s="1" t="s">
        <v>2261</v>
      </c>
      <c r="E418" s="1" t="s">
        <v>2116</v>
      </c>
      <c r="F418" s="1" t="s">
        <v>311</v>
      </c>
      <c r="G418" s="1" t="s">
        <v>312</v>
      </c>
      <c r="H418" s="1" t="s">
        <v>296</v>
      </c>
      <c r="I418" s="1"/>
      <c r="J418" s="1" t="s">
        <v>296</v>
      </c>
      <c r="K418" s="1"/>
      <c r="L418" s="7"/>
      <c r="M418" s="7" t="s">
        <v>125</v>
      </c>
      <c r="N418" s="7" t="s">
        <v>90</v>
      </c>
      <c r="O418" s="10"/>
      <c r="P418" s="10"/>
      <c r="Q418" s="7"/>
      <c r="R418" s="7"/>
      <c r="S418" s="7" t="s">
        <v>124</v>
      </c>
      <c r="T418" s="10"/>
      <c r="U418" s="11" t="s">
        <v>4039</v>
      </c>
      <c r="V418" s="11" t="s">
        <v>93</v>
      </c>
      <c r="W418" s="11">
        <v>0</v>
      </c>
      <c r="X418" s="11" t="s">
        <v>93</v>
      </c>
      <c r="Y418" s="11"/>
      <c r="Z418" s="12"/>
      <c r="AA418" s="11"/>
      <c r="AB418" s="11"/>
      <c r="AC418" s="1" t="s">
        <v>4040</v>
      </c>
      <c r="AD418" s="1" t="s">
        <v>4041</v>
      </c>
    </row>
    <row r="419" spans="1:30" ht="187.2" x14ac:dyDescent="0.3">
      <c r="A419" s="1" t="s">
        <v>270</v>
      </c>
      <c r="B419" s="1" t="s">
        <v>4513</v>
      </c>
      <c r="C419" s="1" t="s">
        <v>2114</v>
      </c>
      <c r="D419" s="1" t="s">
        <v>2263</v>
      </c>
      <c r="E419" s="1" t="s">
        <v>2116</v>
      </c>
      <c r="F419" s="1" t="s">
        <v>2265</v>
      </c>
      <c r="G419" s="1" t="s">
        <v>1269</v>
      </c>
      <c r="H419" s="1" t="s">
        <v>2266</v>
      </c>
      <c r="I419" s="1" t="s">
        <v>2267</v>
      </c>
      <c r="J419" s="1" t="s">
        <v>2266</v>
      </c>
      <c r="K419" s="1"/>
      <c r="L419" s="7"/>
      <c r="M419" s="7" t="s">
        <v>125</v>
      </c>
      <c r="N419" s="7" t="s">
        <v>90</v>
      </c>
      <c r="O419" s="10"/>
      <c r="P419" s="10"/>
      <c r="Q419" s="7"/>
      <c r="R419" s="7"/>
      <c r="S419" s="7" t="s">
        <v>124</v>
      </c>
      <c r="T419" s="10"/>
      <c r="U419" s="11" t="s">
        <v>4042</v>
      </c>
      <c r="V419" s="11" t="s">
        <v>93</v>
      </c>
      <c r="W419" s="11">
        <v>0</v>
      </c>
      <c r="X419" s="11" t="s">
        <v>93</v>
      </c>
      <c r="Y419" s="11"/>
      <c r="Z419" s="12"/>
      <c r="AA419" s="11"/>
      <c r="AB419" s="11"/>
      <c r="AC419" s="1" t="s">
        <v>4043</v>
      </c>
      <c r="AD419" s="1" t="s">
        <v>4044</v>
      </c>
    </row>
    <row r="420" spans="1:30" ht="187.2" x14ac:dyDescent="0.3">
      <c r="A420" s="1" t="s">
        <v>270</v>
      </c>
      <c r="B420" s="1" t="s">
        <v>4513</v>
      </c>
      <c r="C420" s="1" t="s">
        <v>2114</v>
      </c>
      <c r="D420" s="1" t="s">
        <v>2268</v>
      </c>
      <c r="E420" s="1" t="s">
        <v>2116</v>
      </c>
      <c r="F420" s="1" t="s">
        <v>677</v>
      </c>
      <c r="G420" s="1" t="s">
        <v>2270</v>
      </c>
      <c r="H420" s="1" t="s">
        <v>2271</v>
      </c>
      <c r="I420" s="1" t="s">
        <v>2272</v>
      </c>
      <c r="J420" s="1" t="s">
        <v>2271</v>
      </c>
      <c r="K420" s="1" t="s">
        <v>2273</v>
      </c>
      <c r="L420" s="7"/>
      <c r="M420" s="7" t="s">
        <v>125</v>
      </c>
      <c r="N420" s="7" t="s">
        <v>90</v>
      </c>
      <c r="O420" s="10"/>
      <c r="P420" s="10"/>
      <c r="Q420" s="7"/>
      <c r="R420" s="7"/>
      <c r="S420" s="7" t="s">
        <v>124</v>
      </c>
      <c r="T420" s="10"/>
      <c r="U420" s="11" t="s">
        <v>4045</v>
      </c>
      <c r="V420" s="11" t="s">
        <v>93</v>
      </c>
      <c r="W420" s="11">
        <v>0</v>
      </c>
      <c r="X420" s="11" t="s">
        <v>93</v>
      </c>
      <c r="Y420" s="11"/>
      <c r="Z420" s="12"/>
      <c r="AA420" s="11"/>
      <c r="AB420" s="11"/>
      <c r="AC420" s="1" t="s">
        <v>4046</v>
      </c>
      <c r="AD420" s="1" t="s">
        <v>4047</v>
      </c>
    </row>
    <row r="421" spans="1:30" ht="187.2" x14ac:dyDescent="0.3">
      <c r="A421" s="1" t="s">
        <v>270</v>
      </c>
      <c r="B421" s="1" t="s">
        <v>4513</v>
      </c>
      <c r="C421" s="1" t="s">
        <v>2114</v>
      </c>
      <c r="D421" s="1" t="s">
        <v>2274</v>
      </c>
      <c r="E421" s="1" t="s">
        <v>2116</v>
      </c>
      <c r="F421" s="1" t="s">
        <v>2276</v>
      </c>
      <c r="G421" s="1" t="s">
        <v>2277</v>
      </c>
      <c r="H421" s="1" t="s">
        <v>2278</v>
      </c>
      <c r="I421" s="1"/>
      <c r="J421" s="1" t="s">
        <v>2278</v>
      </c>
      <c r="K421" s="1"/>
      <c r="L421" s="7"/>
      <c r="M421" s="7" t="s">
        <v>125</v>
      </c>
      <c r="N421" s="7" t="s">
        <v>90</v>
      </c>
      <c r="O421" s="10"/>
      <c r="P421" s="10"/>
      <c r="Q421" s="7"/>
      <c r="R421" s="7"/>
      <c r="S421" s="7" t="s">
        <v>124</v>
      </c>
      <c r="T421" s="10"/>
      <c r="U421" s="11" t="s">
        <v>4048</v>
      </c>
      <c r="V421" s="11" t="s">
        <v>93</v>
      </c>
      <c r="W421" s="11">
        <v>0</v>
      </c>
      <c r="X421" s="11" t="s">
        <v>93</v>
      </c>
      <c r="Y421" s="11"/>
      <c r="Z421" s="12"/>
      <c r="AA421" s="11"/>
      <c r="AB421" s="11"/>
      <c r="AC421" s="1" t="s">
        <v>4049</v>
      </c>
      <c r="AD421" s="1" t="s">
        <v>4050</v>
      </c>
    </row>
    <row r="422" spans="1:30" ht="187.2" x14ac:dyDescent="0.3">
      <c r="A422" s="1" t="s">
        <v>270</v>
      </c>
      <c r="B422" s="1" t="s">
        <v>4513</v>
      </c>
      <c r="C422" s="1" t="s">
        <v>2114</v>
      </c>
      <c r="D422" s="1" t="s">
        <v>2279</v>
      </c>
      <c r="E422" s="1" t="s">
        <v>2116</v>
      </c>
      <c r="F422" s="1" t="s">
        <v>334</v>
      </c>
      <c r="G422" s="1" t="s">
        <v>2281</v>
      </c>
      <c r="H422" s="1" t="s">
        <v>2282</v>
      </c>
      <c r="I422" s="1"/>
      <c r="J422" s="1" t="s">
        <v>2282</v>
      </c>
      <c r="K422" s="1"/>
      <c r="L422" s="7"/>
      <c r="M422" s="7" t="s">
        <v>125</v>
      </c>
      <c r="N422" s="7" t="s">
        <v>90</v>
      </c>
      <c r="O422" s="10"/>
      <c r="P422" s="10"/>
      <c r="Q422" s="7"/>
      <c r="R422" s="7"/>
      <c r="S422" s="7" t="s">
        <v>124</v>
      </c>
      <c r="T422" s="10"/>
      <c r="U422" s="11" t="s">
        <v>4051</v>
      </c>
      <c r="V422" s="11" t="s">
        <v>93</v>
      </c>
      <c r="W422" s="11">
        <v>0</v>
      </c>
      <c r="X422" s="11" t="s">
        <v>93</v>
      </c>
      <c r="Y422" s="11"/>
      <c r="Z422" s="12"/>
      <c r="AA422" s="11"/>
      <c r="AB422" s="11"/>
      <c r="AC422" s="1" t="s">
        <v>4052</v>
      </c>
      <c r="AD422" s="1" t="s">
        <v>4053</v>
      </c>
    </row>
    <row r="423" spans="1:30" ht="187.2" x14ac:dyDescent="0.3">
      <c r="A423" s="1" t="s">
        <v>270</v>
      </c>
      <c r="B423" s="1" t="s">
        <v>4513</v>
      </c>
      <c r="C423" s="1" t="s">
        <v>2114</v>
      </c>
      <c r="D423" s="1" t="s">
        <v>2283</v>
      </c>
      <c r="E423" s="1" t="s">
        <v>2116</v>
      </c>
      <c r="F423" s="1" t="s">
        <v>2285</v>
      </c>
      <c r="G423" s="1" t="s">
        <v>2286</v>
      </c>
      <c r="H423" s="1"/>
      <c r="I423" s="1"/>
      <c r="J423" s="1"/>
      <c r="K423" s="1"/>
      <c r="L423" s="7"/>
      <c r="M423" s="7" t="s">
        <v>125</v>
      </c>
      <c r="N423" s="7" t="s">
        <v>90</v>
      </c>
      <c r="O423" s="10"/>
      <c r="P423" s="10"/>
      <c r="Q423" s="7"/>
      <c r="R423" s="7"/>
      <c r="S423" s="7" t="s">
        <v>124</v>
      </c>
      <c r="T423" s="10"/>
      <c r="U423" s="11" t="s">
        <v>4054</v>
      </c>
      <c r="V423" s="11" t="s">
        <v>93</v>
      </c>
      <c r="W423" s="11">
        <v>0</v>
      </c>
      <c r="X423" s="11" t="s">
        <v>93</v>
      </c>
      <c r="Y423" s="11"/>
      <c r="Z423" s="12"/>
      <c r="AA423" s="11"/>
      <c r="AB423" s="11"/>
      <c r="AC423" s="1" t="s">
        <v>4055</v>
      </c>
      <c r="AD423" s="1" t="s">
        <v>4056</v>
      </c>
    </row>
    <row r="424" spans="1:30" ht="187.2" x14ac:dyDescent="0.3">
      <c r="A424" s="1" t="s">
        <v>270</v>
      </c>
      <c r="B424" s="1" t="s">
        <v>4513</v>
      </c>
      <c r="C424" s="1" t="s">
        <v>2114</v>
      </c>
      <c r="D424" s="1" t="s">
        <v>2287</v>
      </c>
      <c r="E424" s="1" t="s">
        <v>2116</v>
      </c>
      <c r="F424" s="1" t="s">
        <v>658</v>
      </c>
      <c r="G424" s="1" t="s">
        <v>2289</v>
      </c>
      <c r="H424" s="1" t="s">
        <v>2290</v>
      </c>
      <c r="I424" s="1"/>
      <c r="J424" s="1" t="s">
        <v>2290</v>
      </c>
      <c r="K424" s="1"/>
      <c r="L424" s="7"/>
      <c r="M424" s="7" t="s">
        <v>125</v>
      </c>
      <c r="N424" s="7" t="s">
        <v>90</v>
      </c>
      <c r="O424" s="10"/>
      <c r="P424" s="10"/>
      <c r="Q424" s="7"/>
      <c r="R424" s="7"/>
      <c r="S424" s="7" t="s">
        <v>124</v>
      </c>
      <c r="T424" s="10"/>
      <c r="U424" s="11" t="s">
        <v>4057</v>
      </c>
      <c r="V424" s="11" t="s">
        <v>93</v>
      </c>
      <c r="W424" s="11">
        <v>0</v>
      </c>
      <c r="X424" s="11" t="s">
        <v>93</v>
      </c>
      <c r="Y424" s="11"/>
      <c r="Z424" s="12"/>
      <c r="AA424" s="11"/>
      <c r="AB424" s="11"/>
      <c r="AC424" s="1" t="s">
        <v>4058</v>
      </c>
      <c r="AD424" s="1" t="s">
        <v>4059</v>
      </c>
    </row>
    <row r="425" spans="1:30" ht="187.2" x14ac:dyDescent="0.3">
      <c r="A425" s="1" t="s">
        <v>270</v>
      </c>
      <c r="B425" s="1" t="s">
        <v>4513</v>
      </c>
      <c r="C425" s="1" t="s">
        <v>2114</v>
      </c>
      <c r="D425" s="1" t="s">
        <v>2291</v>
      </c>
      <c r="E425" s="1" t="s">
        <v>2116</v>
      </c>
      <c r="F425" s="1" t="s">
        <v>2293</v>
      </c>
      <c r="G425" s="1" t="s">
        <v>823</v>
      </c>
      <c r="H425" s="1" t="s">
        <v>2294</v>
      </c>
      <c r="I425" s="1"/>
      <c r="J425" s="1" t="s">
        <v>2294</v>
      </c>
      <c r="K425" s="1"/>
      <c r="L425" s="7"/>
      <c r="M425" s="7" t="s">
        <v>125</v>
      </c>
      <c r="N425" s="7" t="s">
        <v>90</v>
      </c>
      <c r="O425" s="10"/>
      <c r="P425" s="10"/>
      <c r="Q425" s="7"/>
      <c r="R425" s="7"/>
      <c r="S425" s="7" t="s">
        <v>124</v>
      </c>
      <c r="T425" s="10"/>
      <c r="U425" s="11" t="s">
        <v>4060</v>
      </c>
      <c r="V425" s="11" t="s">
        <v>93</v>
      </c>
      <c r="W425" s="11">
        <v>0</v>
      </c>
      <c r="X425" s="11" t="s">
        <v>93</v>
      </c>
      <c r="Y425" s="11"/>
      <c r="Z425" s="12"/>
      <c r="AA425" s="11"/>
      <c r="AB425" s="11"/>
      <c r="AC425" s="1" t="s">
        <v>4061</v>
      </c>
      <c r="AD425" s="1" t="s">
        <v>4062</v>
      </c>
    </row>
    <row r="426" spans="1:30" ht="187.2" x14ac:dyDescent="0.3">
      <c r="A426" s="1" t="s">
        <v>292</v>
      </c>
      <c r="B426" s="1" t="s">
        <v>4521</v>
      </c>
      <c r="C426" s="1" t="s">
        <v>2295</v>
      </c>
      <c r="D426" s="1" t="s">
        <v>2296</v>
      </c>
      <c r="E426" s="1" t="s">
        <v>2297</v>
      </c>
      <c r="F426" s="1" t="s">
        <v>2299</v>
      </c>
      <c r="G426" s="1" t="s">
        <v>2300</v>
      </c>
      <c r="H426" s="1" t="s">
        <v>2301</v>
      </c>
      <c r="I426" s="1"/>
      <c r="J426" s="1" t="s">
        <v>2301</v>
      </c>
      <c r="K426" s="1"/>
      <c r="L426" s="7"/>
      <c r="M426" s="7" t="s">
        <v>125</v>
      </c>
      <c r="N426" s="7" t="s">
        <v>90</v>
      </c>
      <c r="O426" s="10"/>
      <c r="P426" s="10"/>
      <c r="Q426" s="7"/>
      <c r="R426" s="7"/>
      <c r="S426" s="7" t="s">
        <v>124</v>
      </c>
      <c r="T426" s="10"/>
      <c r="U426" s="11" t="s">
        <v>4063</v>
      </c>
      <c r="V426" s="11" t="s">
        <v>93</v>
      </c>
      <c r="W426" s="11">
        <v>0</v>
      </c>
      <c r="X426" s="11" t="s">
        <v>93</v>
      </c>
      <c r="Y426" s="11"/>
      <c r="Z426" s="12"/>
      <c r="AA426" s="11"/>
      <c r="AB426" s="11"/>
      <c r="AC426" s="1" t="s">
        <v>4064</v>
      </c>
      <c r="AD426" s="1" t="s">
        <v>4065</v>
      </c>
    </row>
    <row r="427" spans="1:30" ht="187.2" x14ac:dyDescent="0.3">
      <c r="A427" s="1" t="s">
        <v>292</v>
      </c>
      <c r="B427" s="1" t="s">
        <v>4521</v>
      </c>
      <c r="C427" s="1" t="s">
        <v>2295</v>
      </c>
      <c r="D427" s="1" t="s">
        <v>2302</v>
      </c>
      <c r="E427" s="1" t="s">
        <v>2297</v>
      </c>
      <c r="F427" s="1" t="s">
        <v>687</v>
      </c>
      <c r="G427" s="1" t="s">
        <v>2304</v>
      </c>
      <c r="H427" s="1" t="s">
        <v>2305</v>
      </c>
      <c r="I427" s="1"/>
      <c r="J427" s="1" t="s">
        <v>2305</v>
      </c>
      <c r="K427" s="1"/>
      <c r="L427" s="7"/>
      <c r="M427" s="7" t="s">
        <v>125</v>
      </c>
      <c r="N427" s="7" t="s">
        <v>90</v>
      </c>
      <c r="O427" s="10"/>
      <c r="P427" s="10"/>
      <c r="Q427" s="7"/>
      <c r="R427" s="7"/>
      <c r="S427" s="7" t="s">
        <v>124</v>
      </c>
      <c r="T427" s="10"/>
      <c r="U427" s="11" t="s">
        <v>4066</v>
      </c>
      <c r="V427" s="11" t="s">
        <v>93</v>
      </c>
      <c r="W427" s="11">
        <v>0</v>
      </c>
      <c r="X427" s="11" t="s">
        <v>93</v>
      </c>
      <c r="Y427" s="11"/>
      <c r="Z427" s="12"/>
      <c r="AA427" s="11"/>
      <c r="AB427" s="11"/>
      <c r="AC427" s="1" t="s">
        <v>4067</v>
      </c>
      <c r="AD427" s="1" t="s">
        <v>4068</v>
      </c>
    </row>
    <row r="428" spans="1:30" ht="187.2" x14ac:dyDescent="0.3">
      <c r="A428" s="1" t="s">
        <v>292</v>
      </c>
      <c r="B428" s="1" t="s">
        <v>4521</v>
      </c>
      <c r="C428" s="1" t="s">
        <v>2295</v>
      </c>
      <c r="D428" s="1" t="s">
        <v>2306</v>
      </c>
      <c r="E428" s="1" t="s">
        <v>2297</v>
      </c>
      <c r="F428" s="1" t="s">
        <v>1016</v>
      </c>
      <c r="G428" s="1" t="s">
        <v>2186</v>
      </c>
      <c r="H428" s="1" t="s">
        <v>2308</v>
      </c>
      <c r="I428" s="1"/>
      <c r="J428" s="1" t="s">
        <v>2308</v>
      </c>
      <c r="K428" s="1"/>
      <c r="L428" s="7"/>
      <c r="M428" s="7" t="s">
        <v>125</v>
      </c>
      <c r="N428" s="7" t="s">
        <v>90</v>
      </c>
      <c r="O428" s="10"/>
      <c r="P428" s="10"/>
      <c r="Q428" s="7"/>
      <c r="R428" s="7"/>
      <c r="S428" s="7" t="s">
        <v>124</v>
      </c>
      <c r="T428" s="10"/>
      <c r="U428" s="11" t="s">
        <v>4069</v>
      </c>
      <c r="V428" s="11" t="s">
        <v>93</v>
      </c>
      <c r="W428" s="11">
        <v>0</v>
      </c>
      <c r="X428" s="11" t="s">
        <v>93</v>
      </c>
      <c r="Y428" s="11"/>
      <c r="Z428" s="12"/>
      <c r="AA428" s="11"/>
      <c r="AB428" s="11"/>
      <c r="AC428" s="1" t="s">
        <v>4070</v>
      </c>
      <c r="AD428" s="1" t="s">
        <v>4071</v>
      </c>
    </row>
    <row r="429" spans="1:30" ht="187.2" x14ac:dyDescent="0.3">
      <c r="A429" s="1" t="s">
        <v>292</v>
      </c>
      <c r="B429" s="1" t="s">
        <v>4521</v>
      </c>
      <c r="C429" s="1" t="s">
        <v>2295</v>
      </c>
      <c r="D429" s="1" t="s">
        <v>2309</v>
      </c>
      <c r="E429" s="1" t="s">
        <v>2297</v>
      </c>
      <c r="F429" s="1" t="s">
        <v>1016</v>
      </c>
      <c r="G429" s="1" t="s">
        <v>939</v>
      </c>
      <c r="H429" s="1" t="s">
        <v>2311</v>
      </c>
      <c r="I429" s="1" t="s">
        <v>2312</v>
      </c>
      <c r="J429" s="1" t="s">
        <v>2311</v>
      </c>
      <c r="K429" s="1" t="s">
        <v>2313</v>
      </c>
      <c r="L429" s="7"/>
      <c r="M429" s="7" t="s">
        <v>125</v>
      </c>
      <c r="N429" s="7" t="s">
        <v>90</v>
      </c>
      <c r="O429" s="10"/>
      <c r="P429" s="10"/>
      <c r="Q429" s="7"/>
      <c r="R429" s="7"/>
      <c r="S429" s="7" t="s">
        <v>124</v>
      </c>
      <c r="T429" s="10"/>
      <c r="U429" s="11" t="s">
        <v>4072</v>
      </c>
      <c r="V429" s="11" t="s">
        <v>93</v>
      </c>
      <c r="W429" s="11">
        <v>0</v>
      </c>
      <c r="X429" s="11" t="s">
        <v>93</v>
      </c>
      <c r="Y429" s="11"/>
      <c r="Z429" s="12"/>
      <c r="AA429" s="11"/>
      <c r="AB429" s="11"/>
      <c r="AC429" s="1" t="s">
        <v>4073</v>
      </c>
      <c r="AD429" s="1" t="s">
        <v>4074</v>
      </c>
    </row>
    <row r="430" spans="1:30" ht="187.2" x14ac:dyDescent="0.3">
      <c r="A430" s="1" t="s">
        <v>292</v>
      </c>
      <c r="B430" s="1" t="s">
        <v>4521</v>
      </c>
      <c r="C430" s="1" t="s">
        <v>2295</v>
      </c>
      <c r="D430" s="1" t="s">
        <v>2314</v>
      </c>
      <c r="E430" s="1" t="s">
        <v>2297</v>
      </c>
      <c r="F430" s="1" t="s">
        <v>1016</v>
      </c>
      <c r="G430" s="1" t="s">
        <v>2316</v>
      </c>
      <c r="H430" s="1" t="s">
        <v>2317</v>
      </c>
      <c r="I430" s="1"/>
      <c r="J430" s="1" t="s">
        <v>2317</v>
      </c>
      <c r="K430" s="1"/>
      <c r="L430" s="7"/>
      <c r="M430" s="7" t="s">
        <v>125</v>
      </c>
      <c r="N430" s="7" t="s">
        <v>90</v>
      </c>
      <c r="O430" s="10"/>
      <c r="P430" s="10"/>
      <c r="Q430" s="7"/>
      <c r="R430" s="7"/>
      <c r="S430" s="7" t="s">
        <v>124</v>
      </c>
      <c r="T430" s="10"/>
      <c r="U430" s="11" t="s">
        <v>4075</v>
      </c>
      <c r="V430" s="11" t="s">
        <v>93</v>
      </c>
      <c r="W430" s="11">
        <v>0</v>
      </c>
      <c r="X430" s="11" t="s">
        <v>93</v>
      </c>
      <c r="Y430" s="11"/>
      <c r="Z430" s="12"/>
      <c r="AA430" s="11"/>
      <c r="AB430" s="11"/>
      <c r="AC430" s="1" t="s">
        <v>4076</v>
      </c>
      <c r="AD430" s="1" t="s">
        <v>4077</v>
      </c>
    </row>
    <row r="431" spans="1:30" ht="187.2" x14ac:dyDescent="0.3">
      <c r="A431" s="1" t="s">
        <v>292</v>
      </c>
      <c r="B431" s="1" t="s">
        <v>4521</v>
      </c>
      <c r="C431" s="1" t="s">
        <v>2295</v>
      </c>
      <c r="D431" s="1" t="s">
        <v>2318</v>
      </c>
      <c r="E431" s="1" t="s">
        <v>2297</v>
      </c>
      <c r="F431" s="1" t="s">
        <v>458</v>
      </c>
      <c r="G431" s="1" t="s">
        <v>2320</v>
      </c>
      <c r="H431" s="1" t="s">
        <v>2321</v>
      </c>
      <c r="I431" s="1"/>
      <c r="J431" s="1" t="s">
        <v>2321</v>
      </c>
      <c r="K431" s="1"/>
      <c r="L431" s="7"/>
      <c r="M431" s="7" t="s">
        <v>125</v>
      </c>
      <c r="N431" s="7" t="s">
        <v>90</v>
      </c>
      <c r="O431" s="10"/>
      <c r="P431" s="10"/>
      <c r="Q431" s="7"/>
      <c r="R431" s="7"/>
      <c r="S431" s="7" t="s">
        <v>124</v>
      </c>
      <c r="T431" s="10"/>
      <c r="U431" s="11" t="s">
        <v>4078</v>
      </c>
      <c r="V431" s="11" t="s">
        <v>93</v>
      </c>
      <c r="W431" s="11">
        <v>0</v>
      </c>
      <c r="X431" s="11" t="s">
        <v>93</v>
      </c>
      <c r="Y431" s="11"/>
      <c r="Z431" s="12"/>
      <c r="AA431" s="11"/>
      <c r="AB431" s="11"/>
      <c r="AC431" s="1" t="s">
        <v>4079</v>
      </c>
      <c r="AD431" s="1" t="s">
        <v>4080</v>
      </c>
    </row>
    <row r="432" spans="1:30" ht="187.2" x14ac:dyDescent="0.3">
      <c r="A432" s="1" t="s">
        <v>292</v>
      </c>
      <c r="B432" s="1" t="s">
        <v>4521</v>
      </c>
      <c r="C432" s="1" t="s">
        <v>2295</v>
      </c>
      <c r="D432" s="1" t="s">
        <v>2322</v>
      </c>
      <c r="E432" s="1" t="s">
        <v>2297</v>
      </c>
      <c r="F432" s="1" t="s">
        <v>2324</v>
      </c>
      <c r="G432" s="1" t="s">
        <v>2325</v>
      </c>
      <c r="H432" s="1" t="s">
        <v>2326</v>
      </c>
      <c r="I432" s="1"/>
      <c r="J432" s="1" t="s">
        <v>2326</v>
      </c>
      <c r="K432" s="1" t="s">
        <v>2327</v>
      </c>
      <c r="L432" s="7"/>
      <c r="M432" s="7" t="s">
        <v>125</v>
      </c>
      <c r="N432" s="7" t="s">
        <v>90</v>
      </c>
      <c r="O432" s="10"/>
      <c r="P432" s="10"/>
      <c r="Q432" s="7"/>
      <c r="R432" s="7"/>
      <c r="S432" s="7" t="s">
        <v>124</v>
      </c>
      <c r="T432" s="10"/>
      <c r="U432" s="11" t="s">
        <v>4081</v>
      </c>
      <c r="V432" s="11" t="s">
        <v>93</v>
      </c>
      <c r="W432" s="11">
        <v>0</v>
      </c>
      <c r="X432" s="11" t="s">
        <v>93</v>
      </c>
      <c r="Y432" s="11"/>
      <c r="Z432" s="12"/>
      <c r="AA432" s="11"/>
      <c r="AB432" s="11"/>
      <c r="AC432" s="1" t="s">
        <v>4082</v>
      </c>
      <c r="AD432" s="1" t="s">
        <v>4083</v>
      </c>
    </row>
    <row r="433" spans="1:30" ht="187.2" x14ac:dyDescent="0.3">
      <c r="A433" s="1" t="s">
        <v>292</v>
      </c>
      <c r="B433" s="1" t="s">
        <v>4521</v>
      </c>
      <c r="C433" s="1" t="s">
        <v>2295</v>
      </c>
      <c r="D433" s="1" t="s">
        <v>2328</v>
      </c>
      <c r="E433" s="1" t="s">
        <v>2297</v>
      </c>
      <c r="F433" s="1" t="s">
        <v>2330</v>
      </c>
      <c r="G433" s="1" t="s">
        <v>2331</v>
      </c>
      <c r="H433" s="1" t="s">
        <v>2332</v>
      </c>
      <c r="I433" s="1"/>
      <c r="J433" s="1" t="s">
        <v>2332</v>
      </c>
      <c r="K433" s="1"/>
      <c r="L433" s="7"/>
      <c r="M433" s="7" t="s">
        <v>125</v>
      </c>
      <c r="N433" s="7" t="s">
        <v>90</v>
      </c>
      <c r="O433" s="10"/>
      <c r="P433" s="10"/>
      <c r="Q433" s="7"/>
      <c r="R433" s="7"/>
      <c r="S433" s="7" t="s">
        <v>124</v>
      </c>
      <c r="T433" s="10"/>
      <c r="U433" s="11" t="s">
        <v>4084</v>
      </c>
      <c r="V433" s="11" t="s">
        <v>93</v>
      </c>
      <c r="W433" s="11">
        <v>0</v>
      </c>
      <c r="X433" s="11" t="s">
        <v>93</v>
      </c>
      <c r="Y433" s="11"/>
      <c r="Z433" s="12"/>
      <c r="AA433" s="11"/>
      <c r="AB433" s="11"/>
      <c r="AC433" s="1" t="s">
        <v>4085</v>
      </c>
      <c r="AD433" s="1" t="s">
        <v>4086</v>
      </c>
    </row>
    <row r="434" spans="1:30" ht="187.2" x14ac:dyDescent="0.3">
      <c r="A434" s="1" t="s">
        <v>292</v>
      </c>
      <c r="B434" s="1" t="s">
        <v>4521</v>
      </c>
      <c r="C434" s="1" t="s">
        <v>2295</v>
      </c>
      <c r="D434" s="1" t="s">
        <v>2333</v>
      </c>
      <c r="E434" s="1" t="s">
        <v>2297</v>
      </c>
      <c r="F434" s="1" t="s">
        <v>2335</v>
      </c>
      <c r="G434" s="1" t="s">
        <v>1401</v>
      </c>
      <c r="H434" s="1" t="s">
        <v>2336</v>
      </c>
      <c r="I434" s="1"/>
      <c r="J434" s="1" t="s">
        <v>2336</v>
      </c>
      <c r="K434" s="1"/>
      <c r="L434" s="7"/>
      <c r="M434" s="7" t="s">
        <v>125</v>
      </c>
      <c r="N434" s="7" t="s">
        <v>90</v>
      </c>
      <c r="O434" s="10"/>
      <c r="P434" s="10"/>
      <c r="Q434" s="7"/>
      <c r="R434" s="7"/>
      <c r="S434" s="7" t="s">
        <v>124</v>
      </c>
      <c r="T434" s="10"/>
      <c r="U434" s="11" t="s">
        <v>4087</v>
      </c>
      <c r="V434" s="11" t="s">
        <v>93</v>
      </c>
      <c r="W434" s="11">
        <v>0</v>
      </c>
      <c r="X434" s="11" t="s">
        <v>93</v>
      </c>
      <c r="Y434" s="11"/>
      <c r="Z434" s="12"/>
      <c r="AA434" s="11"/>
      <c r="AB434" s="11"/>
      <c r="AC434" s="1" t="s">
        <v>4088</v>
      </c>
      <c r="AD434" s="1" t="s">
        <v>4089</v>
      </c>
    </row>
    <row r="435" spans="1:30" ht="187.2" x14ac:dyDescent="0.3">
      <c r="A435" s="1" t="s">
        <v>292</v>
      </c>
      <c r="B435" s="1" t="s">
        <v>4521</v>
      </c>
      <c r="C435" s="1" t="s">
        <v>2295</v>
      </c>
      <c r="D435" s="1" t="s">
        <v>2337</v>
      </c>
      <c r="E435" s="1" t="s">
        <v>2297</v>
      </c>
      <c r="F435" s="1" t="s">
        <v>2339</v>
      </c>
      <c r="G435" s="1" t="s">
        <v>2340</v>
      </c>
      <c r="H435" s="1" t="s">
        <v>2341</v>
      </c>
      <c r="I435" s="1"/>
      <c r="J435" s="1" t="s">
        <v>2341</v>
      </c>
      <c r="K435" s="1" t="s">
        <v>2342</v>
      </c>
      <c r="L435" s="7"/>
      <c r="M435" s="7" t="s">
        <v>125</v>
      </c>
      <c r="N435" s="7" t="s">
        <v>90</v>
      </c>
      <c r="O435" s="10"/>
      <c r="P435" s="10"/>
      <c r="Q435" s="7"/>
      <c r="R435" s="7"/>
      <c r="S435" s="7" t="s">
        <v>124</v>
      </c>
      <c r="T435" s="10"/>
      <c r="U435" s="11" t="s">
        <v>4090</v>
      </c>
      <c r="V435" s="11" t="s">
        <v>93</v>
      </c>
      <c r="W435" s="11">
        <v>0</v>
      </c>
      <c r="X435" s="11" t="s">
        <v>93</v>
      </c>
      <c r="Y435" s="11"/>
      <c r="Z435" s="12"/>
      <c r="AA435" s="11"/>
      <c r="AB435" s="11"/>
      <c r="AC435" s="1" t="s">
        <v>4091</v>
      </c>
      <c r="AD435" s="1" t="s">
        <v>4092</v>
      </c>
    </row>
    <row r="436" spans="1:30" ht="187.2" x14ac:dyDescent="0.3">
      <c r="A436" s="1" t="s">
        <v>292</v>
      </c>
      <c r="B436" s="1" t="s">
        <v>4521</v>
      </c>
      <c r="C436" s="1" t="s">
        <v>2295</v>
      </c>
      <c r="D436" s="1" t="s">
        <v>2343</v>
      </c>
      <c r="E436" s="1" t="s">
        <v>2297</v>
      </c>
      <c r="F436" s="1" t="s">
        <v>2345</v>
      </c>
      <c r="G436" s="1" t="s">
        <v>1725</v>
      </c>
      <c r="H436" s="1" t="s">
        <v>2346</v>
      </c>
      <c r="I436" s="1"/>
      <c r="J436" s="1" t="s">
        <v>2346</v>
      </c>
      <c r="K436" s="1"/>
      <c r="L436" s="7"/>
      <c r="M436" s="7" t="s">
        <v>125</v>
      </c>
      <c r="N436" s="7" t="s">
        <v>90</v>
      </c>
      <c r="O436" s="10"/>
      <c r="P436" s="10"/>
      <c r="Q436" s="7"/>
      <c r="R436" s="7"/>
      <c r="S436" s="7" t="s">
        <v>124</v>
      </c>
      <c r="T436" s="10"/>
      <c r="U436" s="11" t="s">
        <v>4093</v>
      </c>
      <c r="V436" s="11" t="s">
        <v>93</v>
      </c>
      <c r="W436" s="11">
        <v>0</v>
      </c>
      <c r="X436" s="11" t="s">
        <v>93</v>
      </c>
      <c r="Y436" s="11"/>
      <c r="Z436" s="12"/>
      <c r="AA436" s="11"/>
      <c r="AB436" s="11"/>
      <c r="AC436" s="1" t="s">
        <v>4094</v>
      </c>
      <c r="AD436" s="1" t="s">
        <v>4095</v>
      </c>
    </row>
    <row r="437" spans="1:30" ht="187.2" x14ac:dyDescent="0.3">
      <c r="A437" s="1" t="s">
        <v>292</v>
      </c>
      <c r="B437" s="1" t="s">
        <v>4521</v>
      </c>
      <c r="C437" s="1" t="s">
        <v>2295</v>
      </c>
      <c r="D437" s="1" t="s">
        <v>2347</v>
      </c>
      <c r="E437" s="1" t="s">
        <v>2297</v>
      </c>
      <c r="F437" s="1" t="s">
        <v>1532</v>
      </c>
      <c r="G437" s="1" t="s">
        <v>2349</v>
      </c>
      <c r="H437" s="1"/>
      <c r="I437" s="1"/>
      <c r="J437" s="1"/>
      <c r="K437" s="1"/>
      <c r="L437" s="7"/>
      <c r="M437" s="7" t="s">
        <v>125</v>
      </c>
      <c r="N437" s="7" t="s">
        <v>90</v>
      </c>
      <c r="O437" s="10"/>
      <c r="P437" s="10"/>
      <c r="Q437" s="7"/>
      <c r="R437" s="7"/>
      <c r="S437" s="7" t="s">
        <v>124</v>
      </c>
      <c r="T437" s="10"/>
      <c r="U437" s="11" t="s">
        <v>4096</v>
      </c>
      <c r="V437" s="11" t="s">
        <v>93</v>
      </c>
      <c r="W437" s="11">
        <v>0</v>
      </c>
      <c r="X437" s="11" t="s">
        <v>93</v>
      </c>
      <c r="Y437" s="11"/>
      <c r="Z437" s="12"/>
      <c r="AA437" s="11"/>
      <c r="AB437" s="11"/>
      <c r="AC437" s="1" t="s">
        <v>4097</v>
      </c>
      <c r="AD437" s="1" t="s">
        <v>4098</v>
      </c>
    </row>
    <row r="438" spans="1:30" ht="187.2" x14ac:dyDescent="0.3">
      <c r="A438" s="1" t="s">
        <v>292</v>
      </c>
      <c r="B438" s="1" t="s">
        <v>4521</v>
      </c>
      <c r="C438" s="1" t="s">
        <v>2295</v>
      </c>
      <c r="D438" s="1" t="s">
        <v>2350</v>
      </c>
      <c r="E438" s="1" t="s">
        <v>2297</v>
      </c>
      <c r="F438" s="1" t="s">
        <v>2352</v>
      </c>
      <c r="G438" s="1" t="s">
        <v>2353</v>
      </c>
      <c r="H438" s="1" t="s">
        <v>2354</v>
      </c>
      <c r="I438" s="1"/>
      <c r="J438" s="1" t="s">
        <v>2354</v>
      </c>
      <c r="K438" s="1"/>
      <c r="L438" s="7"/>
      <c r="M438" s="7" t="s">
        <v>125</v>
      </c>
      <c r="N438" s="7" t="s">
        <v>90</v>
      </c>
      <c r="O438" s="10"/>
      <c r="P438" s="10"/>
      <c r="Q438" s="7"/>
      <c r="R438" s="7"/>
      <c r="S438" s="7" t="s">
        <v>124</v>
      </c>
      <c r="T438" s="10"/>
      <c r="U438" s="11" t="s">
        <v>4099</v>
      </c>
      <c r="V438" s="11" t="s">
        <v>93</v>
      </c>
      <c r="W438" s="11">
        <v>0</v>
      </c>
      <c r="X438" s="11" t="s">
        <v>93</v>
      </c>
      <c r="Y438" s="11"/>
      <c r="Z438" s="12"/>
      <c r="AA438" s="11"/>
      <c r="AB438" s="11"/>
      <c r="AC438" s="1" t="s">
        <v>4100</v>
      </c>
      <c r="AD438" s="1" t="s">
        <v>4101</v>
      </c>
    </row>
    <row r="439" spans="1:30" ht="187.2" x14ac:dyDescent="0.3">
      <c r="A439" s="1" t="s">
        <v>292</v>
      </c>
      <c r="B439" s="1" t="s">
        <v>4521</v>
      </c>
      <c r="C439" s="1" t="s">
        <v>2295</v>
      </c>
      <c r="D439" s="1" t="s">
        <v>2355</v>
      </c>
      <c r="E439" s="1" t="s">
        <v>2297</v>
      </c>
      <c r="F439" s="1" t="s">
        <v>2357</v>
      </c>
      <c r="G439" s="1" t="s">
        <v>2358</v>
      </c>
      <c r="H439" s="1" t="s">
        <v>2359</v>
      </c>
      <c r="I439" s="1"/>
      <c r="J439" s="1" t="s">
        <v>2359</v>
      </c>
      <c r="K439" s="1"/>
      <c r="L439" s="7"/>
      <c r="M439" s="7" t="s">
        <v>125</v>
      </c>
      <c r="N439" s="7" t="s">
        <v>90</v>
      </c>
      <c r="O439" s="10"/>
      <c r="P439" s="10"/>
      <c r="Q439" s="7"/>
      <c r="R439" s="7"/>
      <c r="S439" s="7" t="s">
        <v>124</v>
      </c>
      <c r="T439" s="10"/>
      <c r="U439" s="11" t="s">
        <v>4102</v>
      </c>
      <c r="V439" s="11" t="s">
        <v>93</v>
      </c>
      <c r="W439" s="11">
        <v>0</v>
      </c>
      <c r="X439" s="11" t="s">
        <v>93</v>
      </c>
      <c r="Y439" s="11"/>
      <c r="Z439" s="12"/>
      <c r="AA439" s="11"/>
      <c r="AB439" s="11"/>
      <c r="AC439" s="1" t="s">
        <v>4103</v>
      </c>
      <c r="AD439" s="1" t="s">
        <v>4104</v>
      </c>
    </row>
    <row r="440" spans="1:30" ht="187.2" x14ac:dyDescent="0.3">
      <c r="A440" s="1" t="s">
        <v>292</v>
      </c>
      <c r="B440" s="1" t="s">
        <v>4521</v>
      </c>
      <c r="C440" s="1" t="s">
        <v>2295</v>
      </c>
      <c r="D440" s="1" t="s">
        <v>2360</v>
      </c>
      <c r="E440" s="1" t="s">
        <v>2297</v>
      </c>
      <c r="F440" s="1" t="s">
        <v>305</v>
      </c>
      <c r="G440" s="1" t="s">
        <v>1595</v>
      </c>
      <c r="H440" s="1"/>
      <c r="I440" s="1"/>
      <c r="J440" s="1"/>
      <c r="K440" s="1"/>
      <c r="L440" s="7"/>
      <c r="M440" s="7" t="s">
        <v>125</v>
      </c>
      <c r="N440" s="7" t="s">
        <v>90</v>
      </c>
      <c r="O440" s="10"/>
      <c r="P440" s="10"/>
      <c r="Q440" s="7"/>
      <c r="R440" s="7"/>
      <c r="S440" s="7" t="s">
        <v>124</v>
      </c>
      <c r="T440" s="10"/>
      <c r="U440" s="11" t="s">
        <v>4105</v>
      </c>
      <c r="V440" s="11" t="s">
        <v>93</v>
      </c>
      <c r="W440" s="11">
        <v>0</v>
      </c>
      <c r="X440" s="11" t="s">
        <v>93</v>
      </c>
      <c r="Y440" s="11"/>
      <c r="Z440" s="12"/>
      <c r="AA440" s="11"/>
      <c r="AB440" s="11"/>
      <c r="AC440" s="1" t="s">
        <v>4106</v>
      </c>
      <c r="AD440" s="1" t="s">
        <v>4107</v>
      </c>
    </row>
    <row r="441" spans="1:30" ht="187.2" x14ac:dyDescent="0.3">
      <c r="A441" s="1" t="s">
        <v>292</v>
      </c>
      <c r="B441" s="1" t="s">
        <v>4521</v>
      </c>
      <c r="C441" s="1" t="s">
        <v>2295</v>
      </c>
      <c r="D441" s="1" t="s">
        <v>2362</v>
      </c>
      <c r="E441" s="1" t="s">
        <v>2297</v>
      </c>
      <c r="F441" s="1" t="s">
        <v>2364</v>
      </c>
      <c r="G441" s="1" t="s">
        <v>546</v>
      </c>
      <c r="H441" s="1" t="s">
        <v>2365</v>
      </c>
      <c r="I441" s="1"/>
      <c r="J441" s="1" t="s">
        <v>2365</v>
      </c>
      <c r="K441" s="1"/>
      <c r="L441" s="7"/>
      <c r="M441" s="7" t="s">
        <v>125</v>
      </c>
      <c r="N441" s="7" t="s">
        <v>90</v>
      </c>
      <c r="O441" s="10"/>
      <c r="P441" s="10"/>
      <c r="Q441" s="7"/>
      <c r="R441" s="7"/>
      <c r="S441" s="7" t="s">
        <v>124</v>
      </c>
      <c r="T441" s="10"/>
      <c r="U441" s="11" t="s">
        <v>4108</v>
      </c>
      <c r="V441" s="11" t="s">
        <v>93</v>
      </c>
      <c r="W441" s="11">
        <v>0</v>
      </c>
      <c r="X441" s="11" t="s">
        <v>93</v>
      </c>
      <c r="Y441" s="11"/>
      <c r="Z441" s="12"/>
      <c r="AA441" s="11"/>
      <c r="AB441" s="11"/>
      <c r="AC441" s="1" t="s">
        <v>4109</v>
      </c>
      <c r="AD441" s="1" t="s">
        <v>4110</v>
      </c>
    </row>
    <row r="442" spans="1:30" ht="187.2" x14ac:dyDescent="0.3">
      <c r="A442" s="1" t="s">
        <v>292</v>
      </c>
      <c r="B442" s="1" t="s">
        <v>4521</v>
      </c>
      <c r="C442" s="1" t="s">
        <v>2295</v>
      </c>
      <c r="D442" s="1" t="s">
        <v>2366</v>
      </c>
      <c r="E442" s="1" t="s">
        <v>2297</v>
      </c>
      <c r="F442" s="1" t="s">
        <v>2368</v>
      </c>
      <c r="G442" s="1" t="s">
        <v>2369</v>
      </c>
      <c r="H442" s="1" t="s">
        <v>2370</v>
      </c>
      <c r="I442" s="1"/>
      <c r="J442" s="1" t="s">
        <v>2370</v>
      </c>
      <c r="K442" s="1"/>
      <c r="L442" s="7"/>
      <c r="M442" s="7" t="s">
        <v>125</v>
      </c>
      <c r="N442" s="7" t="s">
        <v>90</v>
      </c>
      <c r="O442" s="10"/>
      <c r="P442" s="10"/>
      <c r="Q442" s="7"/>
      <c r="R442" s="7"/>
      <c r="S442" s="7" t="s">
        <v>124</v>
      </c>
      <c r="T442" s="10"/>
      <c r="U442" s="11" t="s">
        <v>4111</v>
      </c>
      <c r="V442" s="11" t="s">
        <v>93</v>
      </c>
      <c r="W442" s="11">
        <v>0</v>
      </c>
      <c r="X442" s="11" t="s">
        <v>93</v>
      </c>
      <c r="Y442" s="11"/>
      <c r="Z442" s="12"/>
      <c r="AA442" s="11"/>
      <c r="AB442" s="11"/>
      <c r="AC442" s="1" t="s">
        <v>4112</v>
      </c>
      <c r="AD442" s="1" t="s">
        <v>4113</v>
      </c>
    </row>
    <row r="443" spans="1:30" ht="187.2" x14ac:dyDescent="0.3">
      <c r="A443" s="1" t="s">
        <v>292</v>
      </c>
      <c r="B443" s="1" t="s">
        <v>4521</v>
      </c>
      <c r="C443" s="1" t="s">
        <v>2295</v>
      </c>
      <c r="D443" s="1" t="s">
        <v>2371</v>
      </c>
      <c r="E443" s="1" t="s">
        <v>2297</v>
      </c>
      <c r="F443" s="1" t="s">
        <v>2373</v>
      </c>
      <c r="G443" s="1" t="s">
        <v>2374</v>
      </c>
      <c r="H443" s="1" t="s">
        <v>2375</v>
      </c>
      <c r="I443" s="1"/>
      <c r="J443" s="1" t="s">
        <v>2375</v>
      </c>
      <c r="K443" s="1"/>
      <c r="L443" s="7"/>
      <c r="M443" s="7" t="s">
        <v>125</v>
      </c>
      <c r="N443" s="7" t="s">
        <v>90</v>
      </c>
      <c r="O443" s="10"/>
      <c r="P443" s="10"/>
      <c r="Q443" s="7"/>
      <c r="R443" s="7"/>
      <c r="S443" s="7" t="s">
        <v>124</v>
      </c>
      <c r="T443" s="10"/>
      <c r="U443" s="11" t="s">
        <v>4114</v>
      </c>
      <c r="V443" s="11" t="s">
        <v>93</v>
      </c>
      <c r="W443" s="11">
        <v>0</v>
      </c>
      <c r="X443" s="11" t="s">
        <v>93</v>
      </c>
      <c r="Y443" s="11"/>
      <c r="Z443" s="12"/>
      <c r="AA443" s="11"/>
      <c r="AB443" s="11"/>
      <c r="AC443" s="1" t="s">
        <v>4115</v>
      </c>
      <c r="AD443" s="1" t="s">
        <v>4116</v>
      </c>
    </row>
    <row r="444" spans="1:30" ht="187.2" x14ac:dyDescent="0.3">
      <c r="A444" s="1" t="s">
        <v>292</v>
      </c>
      <c r="B444" s="1" t="s">
        <v>4521</v>
      </c>
      <c r="C444" s="1" t="s">
        <v>2295</v>
      </c>
      <c r="D444" s="1" t="s">
        <v>2376</v>
      </c>
      <c r="E444" s="1" t="s">
        <v>2297</v>
      </c>
      <c r="F444" s="1" t="s">
        <v>272</v>
      </c>
      <c r="G444" s="1" t="s">
        <v>1357</v>
      </c>
      <c r="H444" s="1" t="s">
        <v>717</v>
      </c>
      <c r="I444" s="1"/>
      <c r="J444" s="1" t="s">
        <v>717</v>
      </c>
      <c r="K444" s="1"/>
      <c r="L444" s="7"/>
      <c r="M444" s="7" t="s">
        <v>125</v>
      </c>
      <c r="N444" s="7" t="s">
        <v>90</v>
      </c>
      <c r="O444" s="10"/>
      <c r="P444" s="10"/>
      <c r="Q444" s="7"/>
      <c r="R444" s="7"/>
      <c r="S444" s="7" t="s">
        <v>124</v>
      </c>
      <c r="T444" s="10"/>
      <c r="U444" s="11" t="s">
        <v>4117</v>
      </c>
      <c r="V444" s="11" t="s">
        <v>93</v>
      </c>
      <c r="W444" s="11">
        <v>0</v>
      </c>
      <c r="X444" s="11" t="s">
        <v>93</v>
      </c>
      <c r="Y444" s="11"/>
      <c r="Z444" s="12"/>
      <c r="AA444" s="11"/>
      <c r="AB444" s="11"/>
      <c r="AC444" s="1" t="s">
        <v>4118</v>
      </c>
      <c r="AD444" s="1" t="s">
        <v>4119</v>
      </c>
    </row>
    <row r="445" spans="1:30" ht="187.2" x14ac:dyDescent="0.3">
      <c r="A445" s="1" t="s">
        <v>292</v>
      </c>
      <c r="B445" s="1" t="s">
        <v>4521</v>
      </c>
      <c r="C445" s="1" t="s">
        <v>2295</v>
      </c>
      <c r="D445" s="1" t="s">
        <v>2378</v>
      </c>
      <c r="E445" s="1" t="s">
        <v>2297</v>
      </c>
      <c r="F445" s="1" t="s">
        <v>2380</v>
      </c>
      <c r="G445" s="1" t="s">
        <v>1315</v>
      </c>
      <c r="H445" s="1" t="s">
        <v>2381</v>
      </c>
      <c r="I445" s="1"/>
      <c r="J445" s="1" t="s">
        <v>2381</v>
      </c>
      <c r="K445" s="1"/>
      <c r="L445" s="7"/>
      <c r="M445" s="7" t="s">
        <v>125</v>
      </c>
      <c r="N445" s="7" t="s">
        <v>90</v>
      </c>
      <c r="O445" s="10"/>
      <c r="P445" s="10"/>
      <c r="Q445" s="7"/>
      <c r="R445" s="7"/>
      <c r="S445" s="7" t="s">
        <v>124</v>
      </c>
      <c r="T445" s="10"/>
      <c r="U445" s="11" t="s">
        <v>4120</v>
      </c>
      <c r="V445" s="11" t="s">
        <v>93</v>
      </c>
      <c r="W445" s="11">
        <v>0</v>
      </c>
      <c r="X445" s="11" t="s">
        <v>93</v>
      </c>
      <c r="Y445" s="11"/>
      <c r="Z445" s="12"/>
      <c r="AA445" s="11"/>
      <c r="AB445" s="11"/>
      <c r="AC445" s="1" t="s">
        <v>4121</v>
      </c>
      <c r="AD445" s="1" t="s">
        <v>4122</v>
      </c>
    </row>
    <row r="446" spans="1:30" ht="187.2" x14ac:dyDescent="0.3">
      <c r="A446" s="1" t="s">
        <v>292</v>
      </c>
      <c r="B446" s="1" t="s">
        <v>4521</v>
      </c>
      <c r="C446" s="1" t="s">
        <v>2295</v>
      </c>
      <c r="D446" s="1" t="s">
        <v>2382</v>
      </c>
      <c r="E446" s="1" t="s">
        <v>2297</v>
      </c>
      <c r="F446" s="1" t="s">
        <v>2384</v>
      </c>
      <c r="G446" s="1" t="s">
        <v>2385</v>
      </c>
      <c r="H446" s="1" t="s">
        <v>2386</v>
      </c>
      <c r="I446" s="1"/>
      <c r="J446" s="1" t="s">
        <v>2386</v>
      </c>
      <c r="K446" s="1"/>
      <c r="L446" s="7"/>
      <c r="M446" s="7" t="s">
        <v>125</v>
      </c>
      <c r="N446" s="7" t="s">
        <v>90</v>
      </c>
      <c r="O446" s="10"/>
      <c r="P446" s="10"/>
      <c r="Q446" s="7"/>
      <c r="R446" s="7"/>
      <c r="S446" s="7" t="s">
        <v>124</v>
      </c>
      <c r="T446" s="10"/>
      <c r="U446" s="11" t="s">
        <v>4123</v>
      </c>
      <c r="V446" s="11" t="s">
        <v>93</v>
      </c>
      <c r="W446" s="11">
        <v>0</v>
      </c>
      <c r="X446" s="11" t="s">
        <v>93</v>
      </c>
      <c r="Y446" s="11"/>
      <c r="Z446" s="12"/>
      <c r="AA446" s="11"/>
      <c r="AB446" s="11"/>
      <c r="AC446" s="1" t="s">
        <v>4124</v>
      </c>
      <c r="AD446" s="1" t="s">
        <v>4125</v>
      </c>
    </row>
    <row r="447" spans="1:30" ht="187.2" x14ac:dyDescent="0.3">
      <c r="A447" s="1" t="s">
        <v>292</v>
      </c>
      <c r="B447" s="1" t="s">
        <v>4521</v>
      </c>
      <c r="C447" s="1" t="s">
        <v>2295</v>
      </c>
      <c r="D447" s="1" t="s">
        <v>2387</v>
      </c>
      <c r="E447" s="1" t="s">
        <v>2297</v>
      </c>
      <c r="F447" s="1" t="s">
        <v>2389</v>
      </c>
      <c r="G447" s="1" t="s">
        <v>2390</v>
      </c>
      <c r="H447" s="1" t="s">
        <v>2391</v>
      </c>
      <c r="I447" s="1"/>
      <c r="J447" s="1" t="s">
        <v>2391</v>
      </c>
      <c r="K447" s="1"/>
      <c r="L447" s="7"/>
      <c r="M447" s="7" t="s">
        <v>125</v>
      </c>
      <c r="N447" s="7" t="s">
        <v>90</v>
      </c>
      <c r="O447" s="10"/>
      <c r="P447" s="10"/>
      <c r="Q447" s="7"/>
      <c r="R447" s="7"/>
      <c r="S447" s="7" t="s">
        <v>124</v>
      </c>
      <c r="T447" s="10"/>
      <c r="U447" s="11" t="s">
        <v>4126</v>
      </c>
      <c r="V447" s="11" t="s">
        <v>93</v>
      </c>
      <c r="W447" s="11">
        <v>0</v>
      </c>
      <c r="X447" s="11" t="s">
        <v>93</v>
      </c>
      <c r="Y447" s="11"/>
      <c r="Z447" s="12"/>
      <c r="AA447" s="11"/>
      <c r="AB447" s="11"/>
      <c r="AC447" s="1" t="s">
        <v>4127</v>
      </c>
      <c r="AD447" s="1" t="s">
        <v>4128</v>
      </c>
    </row>
    <row r="448" spans="1:30" ht="187.2" x14ac:dyDescent="0.3">
      <c r="A448" s="1" t="s">
        <v>292</v>
      </c>
      <c r="B448" s="1" t="s">
        <v>4521</v>
      </c>
      <c r="C448" s="1" t="s">
        <v>2295</v>
      </c>
      <c r="D448" s="1" t="s">
        <v>2392</v>
      </c>
      <c r="E448" s="1" t="s">
        <v>2297</v>
      </c>
      <c r="F448" s="1" t="s">
        <v>1562</v>
      </c>
      <c r="G448" s="1" t="s">
        <v>241</v>
      </c>
      <c r="H448" s="1"/>
      <c r="I448" s="1"/>
      <c r="J448" s="1"/>
      <c r="K448" s="1"/>
      <c r="L448" s="7"/>
      <c r="M448" s="7" t="s">
        <v>125</v>
      </c>
      <c r="N448" s="7" t="s">
        <v>90</v>
      </c>
      <c r="O448" s="10"/>
      <c r="P448" s="10"/>
      <c r="Q448" s="7"/>
      <c r="R448" s="7"/>
      <c r="S448" s="7" t="s">
        <v>124</v>
      </c>
      <c r="T448" s="10"/>
      <c r="U448" s="11" t="s">
        <v>4129</v>
      </c>
      <c r="V448" s="11" t="s">
        <v>93</v>
      </c>
      <c r="W448" s="11">
        <v>0</v>
      </c>
      <c r="X448" s="11" t="s">
        <v>93</v>
      </c>
      <c r="Y448" s="11"/>
      <c r="Z448" s="12"/>
      <c r="AA448" s="11"/>
      <c r="AB448" s="11"/>
      <c r="AC448" s="1" t="s">
        <v>4130</v>
      </c>
      <c r="AD448" s="1" t="s">
        <v>4131</v>
      </c>
    </row>
    <row r="449" spans="1:30" ht="187.2" x14ac:dyDescent="0.3">
      <c r="A449" s="1" t="s">
        <v>292</v>
      </c>
      <c r="B449" s="1" t="s">
        <v>4521</v>
      </c>
      <c r="C449" s="1" t="s">
        <v>2394</v>
      </c>
      <c r="D449" s="1" t="s">
        <v>2395</v>
      </c>
      <c r="E449" s="1" t="s">
        <v>2396</v>
      </c>
      <c r="F449" s="1" t="s">
        <v>2398</v>
      </c>
      <c r="G449" s="1" t="s">
        <v>2399</v>
      </c>
      <c r="H449" s="1" t="s">
        <v>2400</v>
      </c>
      <c r="I449" s="1"/>
      <c r="J449" s="1" t="s">
        <v>2400</v>
      </c>
      <c r="K449" s="1"/>
      <c r="L449" s="7"/>
      <c r="M449" s="7" t="s">
        <v>125</v>
      </c>
      <c r="N449" s="7" t="s">
        <v>90</v>
      </c>
      <c r="O449" s="10"/>
      <c r="P449" s="10"/>
      <c r="Q449" s="7"/>
      <c r="R449" s="7"/>
      <c r="S449" s="7" t="s">
        <v>124</v>
      </c>
      <c r="T449" s="10"/>
      <c r="U449" s="11" t="s">
        <v>4132</v>
      </c>
      <c r="V449" s="11" t="s">
        <v>93</v>
      </c>
      <c r="W449" s="11">
        <v>0</v>
      </c>
      <c r="X449" s="11" t="s">
        <v>93</v>
      </c>
      <c r="Y449" s="11"/>
      <c r="Z449" s="12"/>
      <c r="AA449" s="11"/>
      <c r="AB449" s="11"/>
      <c r="AC449" s="1" t="s">
        <v>4133</v>
      </c>
      <c r="AD449" s="1" t="s">
        <v>4134</v>
      </c>
    </row>
    <row r="450" spans="1:30" ht="187.2" x14ac:dyDescent="0.3">
      <c r="A450" s="1" t="s">
        <v>292</v>
      </c>
      <c r="B450" s="1" t="s">
        <v>4521</v>
      </c>
      <c r="C450" s="1" t="s">
        <v>2394</v>
      </c>
      <c r="D450" s="1" t="s">
        <v>2401</v>
      </c>
      <c r="E450" s="1" t="s">
        <v>2396</v>
      </c>
      <c r="F450" s="1" t="s">
        <v>2403</v>
      </c>
      <c r="G450" s="1" t="s">
        <v>2404</v>
      </c>
      <c r="H450" s="1" t="s">
        <v>2405</v>
      </c>
      <c r="I450" s="1" t="s">
        <v>2406</v>
      </c>
      <c r="J450" s="1" t="s">
        <v>2405</v>
      </c>
      <c r="K450" s="1"/>
      <c r="L450" s="7"/>
      <c r="M450" s="7" t="s">
        <v>125</v>
      </c>
      <c r="N450" s="7" t="s">
        <v>90</v>
      </c>
      <c r="O450" s="10"/>
      <c r="P450" s="10"/>
      <c r="Q450" s="7"/>
      <c r="R450" s="7"/>
      <c r="S450" s="7" t="s">
        <v>124</v>
      </c>
      <c r="T450" s="10"/>
      <c r="U450" s="11" t="s">
        <v>4135</v>
      </c>
      <c r="V450" s="11" t="s">
        <v>93</v>
      </c>
      <c r="W450" s="11">
        <v>0</v>
      </c>
      <c r="X450" s="11" t="s">
        <v>93</v>
      </c>
      <c r="Y450" s="11"/>
      <c r="Z450" s="12"/>
      <c r="AA450" s="11"/>
      <c r="AB450" s="11"/>
      <c r="AC450" s="1" t="s">
        <v>4136</v>
      </c>
      <c r="AD450" s="1" t="s">
        <v>4137</v>
      </c>
    </row>
    <row r="451" spans="1:30" ht="187.2" x14ac:dyDescent="0.3">
      <c r="A451" s="1" t="s">
        <v>292</v>
      </c>
      <c r="B451" s="1" t="s">
        <v>4521</v>
      </c>
      <c r="C451" s="1" t="s">
        <v>2394</v>
      </c>
      <c r="D451" s="1" t="s">
        <v>2407</v>
      </c>
      <c r="E451" s="1" t="s">
        <v>2396</v>
      </c>
      <c r="F451" s="1" t="s">
        <v>2409</v>
      </c>
      <c r="G451" s="1" t="s">
        <v>759</v>
      </c>
      <c r="H451" s="1" t="s">
        <v>2410</v>
      </c>
      <c r="I451" s="1"/>
      <c r="J451" s="1" t="s">
        <v>2410</v>
      </c>
      <c r="K451" s="1"/>
      <c r="L451" s="7"/>
      <c r="M451" s="7" t="s">
        <v>125</v>
      </c>
      <c r="N451" s="7" t="s">
        <v>90</v>
      </c>
      <c r="O451" s="10"/>
      <c r="P451" s="10"/>
      <c r="Q451" s="7"/>
      <c r="R451" s="7"/>
      <c r="S451" s="7" t="s">
        <v>124</v>
      </c>
      <c r="T451" s="10"/>
      <c r="U451" s="11" t="s">
        <v>4138</v>
      </c>
      <c r="V451" s="11" t="s">
        <v>93</v>
      </c>
      <c r="W451" s="11">
        <v>0</v>
      </c>
      <c r="X451" s="11" t="s">
        <v>93</v>
      </c>
      <c r="Y451" s="11"/>
      <c r="Z451" s="12"/>
      <c r="AA451" s="11"/>
      <c r="AB451" s="11"/>
      <c r="AC451" s="1" t="s">
        <v>4139</v>
      </c>
      <c r="AD451" s="1" t="s">
        <v>4140</v>
      </c>
    </row>
    <row r="452" spans="1:30" ht="187.2" x14ac:dyDescent="0.3">
      <c r="A452" s="1" t="s">
        <v>292</v>
      </c>
      <c r="B452" s="1" t="s">
        <v>4521</v>
      </c>
      <c r="C452" s="1" t="s">
        <v>2394</v>
      </c>
      <c r="D452" s="1" t="s">
        <v>2411</v>
      </c>
      <c r="E452" s="1" t="s">
        <v>2396</v>
      </c>
      <c r="F452" s="1" t="s">
        <v>2413</v>
      </c>
      <c r="G452" s="1" t="s">
        <v>2414</v>
      </c>
      <c r="H452" s="1" t="s">
        <v>2415</v>
      </c>
      <c r="I452" s="1"/>
      <c r="J452" s="1" t="s">
        <v>2415</v>
      </c>
      <c r="K452" s="1"/>
      <c r="L452" s="7"/>
      <c r="M452" s="7" t="s">
        <v>125</v>
      </c>
      <c r="N452" s="7" t="s">
        <v>90</v>
      </c>
      <c r="O452" s="10"/>
      <c r="P452" s="10"/>
      <c r="Q452" s="7"/>
      <c r="R452" s="7"/>
      <c r="S452" s="7" t="s">
        <v>124</v>
      </c>
      <c r="T452" s="10"/>
      <c r="U452" s="11" t="s">
        <v>4141</v>
      </c>
      <c r="V452" s="11" t="s">
        <v>93</v>
      </c>
      <c r="W452" s="11">
        <v>0</v>
      </c>
      <c r="X452" s="11" t="s">
        <v>93</v>
      </c>
      <c r="Y452" s="11"/>
      <c r="Z452" s="12"/>
      <c r="AA452" s="11"/>
      <c r="AB452" s="11"/>
      <c r="AC452" s="1" t="s">
        <v>4142</v>
      </c>
      <c r="AD452" s="1" t="s">
        <v>4143</v>
      </c>
    </row>
    <row r="453" spans="1:30" ht="187.2" x14ac:dyDescent="0.3">
      <c r="A453" s="1" t="s">
        <v>292</v>
      </c>
      <c r="B453" s="1" t="s">
        <v>4521</v>
      </c>
      <c r="C453" s="1" t="s">
        <v>2394</v>
      </c>
      <c r="D453" s="1" t="s">
        <v>2416</v>
      </c>
      <c r="E453" s="1" t="s">
        <v>2396</v>
      </c>
      <c r="F453" s="1" t="s">
        <v>1016</v>
      </c>
      <c r="G453" s="1" t="s">
        <v>1620</v>
      </c>
      <c r="H453" s="1" t="s">
        <v>2418</v>
      </c>
      <c r="I453" s="1"/>
      <c r="J453" s="1" t="s">
        <v>2418</v>
      </c>
      <c r="K453" s="1"/>
      <c r="L453" s="7"/>
      <c r="M453" s="7" t="s">
        <v>125</v>
      </c>
      <c r="N453" s="7" t="s">
        <v>90</v>
      </c>
      <c r="O453" s="10"/>
      <c r="P453" s="10"/>
      <c r="Q453" s="7"/>
      <c r="R453" s="7"/>
      <c r="S453" s="7" t="s">
        <v>124</v>
      </c>
      <c r="T453" s="10"/>
      <c r="U453" s="11" t="s">
        <v>4144</v>
      </c>
      <c r="V453" s="11" t="s">
        <v>93</v>
      </c>
      <c r="W453" s="11">
        <v>0</v>
      </c>
      <c r="X453" s="11" t="s">
        <v>93</v>
      </c>
      <c r="Y453" s="11"/>
      <c r="Z453" s="12"/>
      <c r="AA453" s="11"/>
      <c r="AB453" s="11"/>
      <c r="AC453" s="1" t="s">
        <v>4145</v>
      </c>
      <c r="AD453" s="1" t="s">
        <v>4146</v>
      </c>
    </row>
    <row r="454" spans="1:30" ht="187.2" x14ac:dyDescent="0.3">
      <c r="A454" s="1" t="s">
        <v>292</v>
      </c>
      <c r="B454" s="1" t="s">
        <v>4521</v>
      </c>
      <c r="C454" s="1" t="s">
        <v>2394</v>
      </c>
      <c r="D454" s="1" t="s">
        <v>2419</v>
      </c>
      <c r="E454" s="1" t="s">
        <v>2396</v>
      </c>
      <c r="F454" s="1" t="s">
        <v>444</v>
      </c>
      <c r="G454" s="1" t="s">
        <v>2421</v>
      </c>
      <c r="H454" s="1"/>
      <c r="I454" s="1"/>
      <c r="J454" s="1"/>
      <c r="K454" s="1"/>
      <c r="L454" s="7"/>
      <c r="M454" s="7" t="s">
        <v>125</v>
      </c>
      <c r="N454" s="7" t="s">
        <v>90</v>
      </c>
      <c r="O454" s="10"/>
      <c r="P454" s="10"/>
      <c r="Q454" s="7"/>
      <c r="R454" s="7"/>
      <c r="S454" s="7" t="s">
        <v>124</v>
      </c>
      <c r="T454" s="10"/>
      <c r="U454" s="11" t="s">
        <v>4147</v>
      </c>
      <c r="V454" s="11" t="s">
        <v>93</v>
      </c>
      <c r="W454" s="11">
        <v>0</v>
      </c>
      <c r="X454" s="11" t="s">
        <v>93</v>
      </c>
      <c r="Y454" s="11"/>
      <c r="Z454" s="12"/>
      <c r="AA454" s="11"/>
      <c r="AB454" s="11"/>
      <c r="AC454" s="1" t="s">
        <v>4148</v>
      </c>
      <c r="AD454" s="1" t="s">
        <v>4149</v>
      </c>
    </row>
    <row r="455" spans="1:30" ht="187.2" x14ac:dyDescent="0.3">
      <c r="A455" s="1" t="s">
        <v>292</v>
      </c>
      <c r="B455" s="1" t="s">
        <v>4521</v>
      </c>
      <c r="C455" s="1" t="s">
        <v>2394</v>
      </c>
      <c r="D455" s="1" t="s">
        <v>2422</v>
      </c>
      <c r="E455" s="1" t="s">
        <v>2396</v>
      </c>
      <c r="F455" s="1" t="s">
        <v>2424</v>
      </c>
      <c r="G455" s="1" t="s">
        <v>994</v>
      </c>
      <c r="H455" s="1" t="s">
        <v>2425</v>
      </c>
      <c r="I455" s="1"/>
      <c r="J455" s="1" t="s">
        <v>2425</v>
      </c>
      <c r="K455" s="1"/>
      <c r="L455" s="7"/>
      <c r="M455" s="7" t="s">
        <v>125</v>
      </c>
      <c r="N455" s="7" t="s">
        <v>90</v>
      </c>
      <c r="O455" s="10"/>
      <c r="P455" s="10"/>
      <c r="Q455" s="7"/>
      <c r="R455" s="7"/>
      <c r="S455" s="7" t="s">
        <v>124</v>
      </c>
      <c r="T455" s="10"/>
      <c r="U455" s="11" t="s">
        <v>4150</v>
      </c>
      <c r="V455" s="11" t="s">
        <v>93</v>
      </c>
      <c r="W455" s="11">
        <v>0</v>
      </c>
      <c r="X455" s="11" t="s">
        <v>93</v>
      </c>
      <c r="Y455" s="11"/>
      <c r="Z455" s="12"/>
      <c r="AA455" s="11"/>
      <c r="AB455" s="11"/>
      <c r="AC455" s="1" t="s">
        <v>4151</v>
      </c>
      <c r="AD455" s="1" t="s">
        <v>4152</v>
      </c>
    </row>
    <row r="456" spans="1:30" ht="187.2" x14ac:dyDescent="0.3">
      <c r="A456" s="1" t="s">
        <v>292</v>
      </c>
      <c r="B456" s="1" t="s">
        <v>4521</v>
      </c>
      <c r="C456" s="1" t="s">
        <v>2394</v>
      </c>
      <c r="D456" s="1" t="s">
        <v>2426</v>
      </c>
      <c r="E456" s="1" t="s">
        <v>2396</v>
      </c>
      <c r="F456" s="1" t="s">
        <v>630</v>
      </c>
      <c r="G456" s="1" t="s">
        <v>2428</v>
      </c>
      <c r="H456" s="1" t="s">
        <v>2429</v>
      </c>
      <c r="I456" s="1"/>
      <c r="J456" s="1" t="s">
        <v>2429</v>
      </c>
      <c r="K456" s="1"/>
      <c r="L456" s="7"/>
      <c r="M456" s="7" t="s">
        <v>125</v>
      </c>
      <c r="N456" s="7" t="s">
        <v>90</v>
      </c>
      <c r="O456" s="10"/>
      <c r="P456" s="10"/>
      <c r="Q456" s="7"/>
      <c r="R456" s="7"/>
      <c r="S456" s="7" t="s">
        <v>124</v>
      </c>
      <c r="T456" s="10"/>
      <c r="U456" s="11" t="s">
        <v>4153</v>
      </c>
      <c r="V456" s="11" t="s">
        <v>93</v>
      </c>
      <c r="W456" s="11">
        <v>0</v>
      </c>
      <c r="X456" s="11" t="s">
        <v>93</v>
      </c>
      <c r="Y456" s="11"/>
      <c r="Z456" s="12"/>
      <c r="AA456" s="11"/>
      <c r="AB456" s="11"/>
      <c r="AC456" s="1" t="s">
        <v>4154</v>
      </c>
      <c r="AD456" s="1" t="s">
        <v>4155</v>
      </c>
    </row>
    <row r="457" spans="1:30" ht="187.2" x14ac:dyDescent="0.3">
      <c r="A457" s="1" t="s">
        <v>292</v>
      </c>
      <c r="B457" s="1" t="s">
        <v>4521</v>
      </c>
      <c r="C457" s="1" t="s">
        <v>2394</v>
      </c>
      <c r="D457" s="1" t="s">
        <v>2430</v>
      </c>
      <c r="E457" s="1" t="s">
        <v>2396</v>
      </c>
      <c r="F457" s="1" t="s">
        <v>789</v>
      </c>
      <c r="G457" s="1" t="s">
        <v>226</v>
      </c>
      <c r="H457" s="1" t="s">
        <v>2432</v>
      </c>
      <c r="I457" s="1"/>
      <c r="J457" s="1" t="s">
        <v>2432</v>
      </c>
      <c r="K457" s="1"/>
      <c r="L457" s="7"/>
      <c r="M457" s="7" t="s">
        <v>125</v>
      </c>
      <c r="N457" s="7" t="s">
        <v>90</v>
      </c>
      <c r="O457" s="10"/>
      <c r="P457" s="10"/>
      <c r="Q457" s="7"/>
      <c r="R457" s="7"/>
      <c r="S457" s="7" t="s">
        <v>124</v>
      </c>
      <c r="T457" s="10"/>
      <c r="U457" s="11" t="s">
        <v>4156</v>
      </c>
      <c r="V457" s="11" t="s">
        <v>93</v>
      </c>
      <c r="W457" s="11">
        <v>0</v>
      </c>
      <c r="X457" s="11" t="s">
        <v>93</v>
      </c>
      <c r="Y457" s="11"/>
      <c r="Z457" s="12"/>
      <c r="AA457" s="11"/>
      <c r="AB457" s="11"/>
      <c r="AC457" s="1" t="s">
        <v>4157</v>
      </c>
      <c r="AD457" s="1" t="s">
        <v>4158</v>
      </c>
    </row>
    <row r="458" spans="1:30" ht="187.2" x14ac:dyDescent="0.3">
      <c r="A458" s="1" t="s">
        <v>292</v>
      </c>
      <c r="B458" s="1" t="s">
        <v>4521</v>
      </c>
      <c r="C458" s="1" t="s">
        <v>2394</v>
      </c>
      <c r="D458" s="1" t="s">
        <v>2433</v>
      </c>
      <c r="E458" s="1" t="s">
        <v>2396</v>
      </c>
      <c r="F458" s="1" t="s">
        <v>2435</v>
      </c>
      <c r="G458" s="1" t="s">
        <v>2436</v>
      </c>
      <c r="H458" s="1" t="s">
        <v>2437</v>
      </c>
      <c r="I458" s="1" t="s">
        <v>2438</v>
      </c>
      <c r="J458" s="1" t="s">
        <v>2437</v>
      </c>
      <c r="K458" s="1"/>
      <c r="L458" s="7"/>
      <c r="M458" s="7" t="s">
        <v>125</v>
      </c>
      <c r="N458" s="7" t="s">
        <v>90</v>
      </c>
      <c r="O458" s="10"/>
      <c r="P458" s="10"/>
      <c r="Q458" s="7"/>
      <c r="R458" s="7"/>
      <c r="S458" s="7" t="s">
        <v>124</v>
      </c>
      <c r="T458" s="10"/>
      <c r="U458" s="11" t="s">
        <v>4159</v>
      </c>
      <c r="V458" s="11" t="s">
        <v>93</v>
      </c>
      <c r="W458" s="11">
        <v>0</v>
      </c>
      <c r="X458" s="11" t="s">
        <v>93</v>
      </c>
      <c r="Y458" s="11"/>
      <c r="Z458" s="12"/>
      <c r="AA458" s="11"/>
      <c r="AB458" s="11"/>
      <c r="AC458" s="1" t="s">
        <v>4160</v>
      </c>
      <c r="AD458" s="1" t="s">
        <v>4161</v>
      </c>
    </row>
    <row r="459" spans="1:30" ht="187.2" x14ac:dyDescent="0.3">
      <c r="A459" s="1" t="s">
        <v>292</v>
      </c>
      <c r="B459" s="1" t="s">
        <v>4521</v>
      </c>
      <c r="C459" s="1" t="s">
        <v>2394</v>
      </c>
      <c r="D459" s="1" t="s">
        <v>2439</v>
      </c>
      <c r="E459" s="1" t="s">
        <v>2396</v>
      </c>
      <c r="F459" s="1" t="s">
        <v>2435</v>
      </c>
      <c r="G459" s="1" t="s">
        <v>2441</v>
      </c>
      <c r="H459" s="1" t="s">
        <v>2442</v>
      </c>
      <c r="I459" s="1" t="s">
        <v>2443</v>
      </c>
      <c r="J459" s="1" t="s">
        <v>2442</v>
      </c>
      <c r="K459" s="1"/>
      <c r="L459" s="7"/>
      <c r="M459" s="7" t="s">
        <v>125</v>
      </c>
      <c r="N459" s="7" t="s">
        <v>90</v>
      </c>
      <c r="O459" s="10"/>
      <c r="P459" s="10"/>
      <c r="Q459" s="7"/>
      <c r="R459" s="7"/>
      <c r="S459" s="7" t="s">
        <v>124</v>
      </c>
      <c r="T459" s="10"/>
      <c r="U459" s="11" t="s">
        <v>4162</v>
      </c>
      <c r="V459" s="11" t="s">
        <v>93</v>
      </c>
      <c r="W459" s="11">
        <v>0</v>
      </c>
      <c r="X459" s="11" t="s">
        <v>93</v>
      </c>
      <c r="Y459" s="11"/>
      <c r="Z459" s="12"/>
      <c r="AA459" s="11"/>
      <c r="AB459" s="11"/>
      <c r="AC459" s="1" t="s">
        <v>4163</v>
      </c>
      <c r="AD459" s="1" t="s">
        <v>4164</v>
      </c>
    </row>
    <row r="460" spans="1:30" ht="187.2" x14ac:dyDescent="0.3">
      <c r="A460" s="1" t="s">
        <v>292</v>
      </c>
      <c r="B460" s="1" t="s">
        <v>4521</v>
      </c>
      <c r="C460" s="1" t="s">
        <v>2394</v>
      </c>
      <c r="D460" s="1" t="s">
        <v>2444</v>
      </c>
      <c r="E460" s="1" t="s">
        <v>2396</v>
      </c>
      <c r="F460" s="1" t="s">
        <v>720</v>
      </c>
      <c r="G460" s="1" t="s">
        <v>2446</v>
      </c>
      <c r="H460" s="1" t="s">
        <v>2447</v>
      </c>
      <c r="I460" s="1"/>
      <c r="J460" s="1" t="s">
        <v>2447</v>
      </c>
      <c r="K460" s="1"/>
      <c r="L460" s="7"/>
      <c r="M460" s="7" t="s">
        <v>125</v>
      </c>
      <c r="N460" s="7" t="s">
        <v>90</v>
      </c>
      <c r="O460" s="10"/>
      <c r="P460" s="10"/>
      <c r="Q460" s="7"/>
      <c r="R460" s="7"/>
      <c r="S460" s="7" t="s">
        <v>124</v>
      </c>
      <c r="T460" s="10"/>
      <c r="U460" s="11" t="s">
        <v>4165</v>
      </c>
      <c r="V460" s="11" t="s">
        <v>93</v>
      </c>
      <c r="W460" s="11">
        <v>0</v>
      </c>
      <c r="X460" s="11" t="s">
        <v>93</v>
      </c>
      <c r="Y460" s="11"/>
      <c r="Z460" s="12"/>
      <c r="AA460" s="11"/>
      <c r="AB460" s="11"/>
      <c r="AC460" s="1" t="s">
        <v>4166</v>
      </c>
      <c r="AD460" s="1" t="s">
        <v>4167</v>
      </c>
    </row>
    <row r="461" spans="1:30" ht="187.2" x14ac:dyDescent="0.3">
      <c r="A461" s="1" t="s">
        <v>292</v>
      </c>
      <c r="B461" s="1" t="s">
        <v>4521</v>
      </c>
      <c r="C461" s="1" t="s">
        <v>2394</v>
      </c>
      <c r="D461" s="1" t="s">
        <v>2448</v>
      </c>
      <c r="E461" s="1" t="s">
        <v>2396</v>
      </c>
      <c r="F461" s="1" t="s">
        <v>2450</v>
      </c>
      <c r="G461" s="1" t="s">
        <v>259</v>
      </c>
      <c r="H461" s="1" t="s">
        <v>2451</v>
      </c>
      <c r="I461" s="1"/>
      <c r="J461" s="1" t="s">
        <v>2451</v>
      </c>
      <c r="K461" s="1"/>
      <c r="L461" s="7"/>
      <c r="M461" s="7" t="s">
        <v>125</v>
      </c>
      <c r="N461" s="7" t="s">
        <v>90</v>
      </c>
      <c r="O461" s="10"/>
      <c r="P461" s="10"/>
      <c r="Q461" s="7"/>
      <c r="R461" s="7"/>
      <c r="S461" s="7" t="s">
        <v>124</v>
      </c>
      <c r="T461" s="10"/>
      <c r="U461" s="11" t="s">
        <v>4168</v>
      </c>
      <c r="V461" s="11" t="s">
        <v>93</v>
      </c>
      <c r="W461" s="11">
        <v>0</v>
      </c>
      <c r="X461" s="11" t="s">
        <v>93</v>
      </c>
      <c r="Y461" s="11"/>
      <c r="Z461" s="12"/>
      <c r="AA461" s="11"/>
      <c r="AB461" s="11"/>
      <c r="AC461" s="1" t="s">
        <v>4169</v>
      </c>
      <c r="AD461" s="1" t="s">
        <v>4170</v>
      </c>
    </row>
    <row r="462" spans="1:30" ht="187.2" x14ac:dyDescent="0.3">
      <c r="A462" s="1" t="s">
        <v>292</v>
      </c>
      <c r="B462" s="1" t="s">
        <v>4521</v>
      </c>
      <c r="C462" s="1" t="s">
        <v>2394</v>
      </c>
      <c r="D462" s="1" t="s">
        <v>2452</v>
      </c>
      <c r="E462" s="1" t="s">
        <v>2396</v>
      </c>
      <c r="F462" s="1" t="s">
        <v>1121</v>
      </c>
      <c r="G462" s="1" t="s">
        <v>2454</v>
      </c>
      <c r="H462" s="1" t="s">
        <v>2455</v>
      </c>
      <c r="I462" s="1" t="s">
        <v>2456</v>
      </c>
      <c r="J462" s="1" t="s">
        <v>2455</v>
      </c>
      <c r="K462" s="1"/>
      <c r="L462" s="7"/>
      <c r="M462" s="7" t="s">
        <v>125</v>
      </c>
      <c r="N462" s="7" t="s">
        <v>90</v>
      </c>
      <c r="O462" s="10"/>
      <c r="P462" s="10"/>
      <c r="Q462" s="7"/>
      <c r="R462" s="7"/>
      <c r="S462" s="7" t="s">
        <v>124</v>
      </c>
      <c r="T462" s="10"/>
      <c r="U462" s="11" t="s">
        <v>4171</v>
      </c>
      <c r="V462" s="11" t="s">
        <v>93</v>
      </c>
      <c r="W462" s="11">
        <v>0</v>
      </c>
      <c r="X462" s="11" t="s">
        <v>93</v>
      </c>
      <c r="Y462" s="11"/>
      <c r="Z462" s="12"/>
      <c r="AA462" s="11"/>
      <c r="AB462" s="11"/>
      <c r="AC462" s="1" t="s">
        <v>4172</v>
      </c>
      <c r="AD462" s="1" t="s">
        <v>4173</v>
      </c>
    </row>
    <row r="463" spans="1:30" ht="187.2" x14ac:dyDescent="0.3">
      <c r="A463" s="1" t="s">
        <v>292</v>
      </c>
      <c r="B463" s="1" t="s">
        <v>4521</v>
      </c>
      <c r="C463" s="1" t="s">
        <v>2394</v>
      </c>
      <c r="D463" s="1" t="s">
        <v>2457</v>
      </c>
      <c r="E463" s="1" t="s">
        <v>2396</v>
      </c>
      <c r="F463" s="1" t="s">
        <v>2459</v>
      </c>
      <c r="G463" s="1" t="s">
        <v>1037</v>
      </c>
      <c r="H463" s="1" t="s">
        <v>2460</v>
      </c>
      <c r="I463" s="1"/>
      <c r="J463" s="1" t="s">
        <v>2460</v>
      </c>
      <c r="K463" s="1"/>
      <c r="L463" s="7"/>
      <c r="M463" s="7" t="s">
        <v>125</v>
      </c>
      <c r="N463" s="7" t="s">
        <v>90</v>
      </c>
      <c r="O463" s="10"/>
      <c r="P463" s="10"/>
      <c r="Q463" s="7"/>
      <c r="R463" s="7"/>
      <c r="S463" s="7" t="s">
        <v>124</v>
      </c>
      <c r="T463" s="10"/>
      <c r="U463" s="11" t="s">
        <v>4174</v>
      </c>
      <c r="V463" s="11" t="s">
        <v>93</v>
      </c>
      <c r="W463" s="11">
        <v>0</v>
      </c>
      <c r="X463" s="11" t="s">
        <v>93</v>
      </c>
      <c r="Y463" s="11"/>
      <c r="Z463" s="12"/>
      <c r="AA463" s="11"/>
      <c r="AB463" s="11"/>
      <c r="AC463" s="1" t="s">
        <v>4175</v>
      </c>
      <c r="AD463" s="1" t="s">
        <v>4176</v>
      </c>
    </row>
    <row r="464" spans="1:30" ht="187.2" x14ac:dyDescent="0.3">
      <c r="A464" s="1" t="s">
        <v>292</v>
      </c>
      <c r="B464" s="1" t="s">
        <v>4514</v>
      </c>
      <c r="C464" s="1" t="s">
        <v>2461</v>
      </c>
      <c r="D464" s="1" t="s">
        <v>2462</v>
      </c>
      <c r="E464" s="1" t="s">
        <v>2463</v>
      </c>
      <c r="F464" s="1" t="s">
        <v>697</v>
      </c>
      <c r="G464" s="1" t="s">
        <v>2465</v>
      </c>
      <c r="H464" s="1" t="s">
        <v>2466</v>
      </c>
      <c r="I464" s="1"/>
      <c r="J464" s="1" t="s">
        <v>2466</v>
      </c>
      <c r="K464" s="1"/>
      <c r="L464" s="7"/>
      <c r="M464" s="7" t="s">
        <v>125</v>
      </c>
      <c r="N464" s="7" t="s">
        <v>90</v>
      </c>
      <c r="O464" s="10"/>
      <c r="P464" s="10"/>
      <c r="Q464" s="7"/>
      <c r="R464" s="7"/>
      <c r="S464" s="7" t="s">
        <v>124</v>
      </c>
      <c r="T464" s="10"/>
      <c r="U464" s="11" t="s">
        <v>4177</v>
      </c>
      <c r="V464" s="11" t="s">
        <v>93</v>
      </c>
      <c r="W464" s="11">
        <v>0</v>
      </c>
      <c r="X464" s="11" t="s">
        <v>93</v>
      </c>
      <c r="Y464" s="11"/>
      <c r="Z464" s="12"/>
      <c r="AA464" s="11"/>
      <c r="AB464" s="11"/>
      <c r="AC464" s="1" t="s">
        <v>4178</v>
      </c>
      <c r="AD464" s="1" t="s">
        <v>4179</v>
      </c>
    </row>
    <row r="465" spans="1:30" ht="187.2" x14ac:dyDescent="0.3">
      <c r="A465" s="1" t="s">
        <v>292</v>
      </c>
      <c r="B465" s="1" t="s">
        <v>4514</v>
      </c>
      <c r="C465" s="1" t="s">
        <v>2461</v>
      </c>
      <c r="D465" s="1" t="s">
        <v>2467</v>
      </c>
      <c r="E465" s="1" t="s">
        <v>2463</v>
      </c>
      <c r="F465" s="1" t="s">
        <v>697</v>
      </c>
      <c r="G465" s="1" t="s">
        <v>2469</v>
      </c>
      <c r="H465" s="1" t="s">
        <v>2470</v>
      </c>
      <c r="I465" s="1" t="s">
        <v>2471</v>
      </c>
      <c r="J465" s="1" t="s">
        <v>2470</v>
      </c>
      <c r="K465" s="1"/>
      <c r="L465" s="7"/>
      <c r="M465" s="7" t="s">
        <v>125</v>
      </c>
      <c r="N465" s="7" t="s">
        <v>90</v>
      </c>
      <c r="O465" s="10"/>
      <c r="P465" s="10"/>
      <c r="Q465" s="7"/>
      <c r="R465" s="7"/>
      <c r="S465" s="7" t="s">
        <v>124</v>
      </c>
      <c r="T465" s="10"/>
      <c r="U465" s="11" t="s">
        <v>4180</v>
      </c>
      <c r="V465" s="11" t="s">
        <v>93</v>
      </c>
      <c r="W465" s="11">
        <v>0</v>
      </c>
      <c r="X465" s="11" t="s">
        <v>93</v>
      </c>
      <c r="Y465" s="11"/>
      <c r="Z465" s="12"/>
      <c r="AA465" s="11"/>
      <c r="AB465" s="11"/>
      <c r="AC465" s="1" t="s">
        <v>4181</v>
      </c>
      <c r="AD465" s="1" t="s">
        <v>4182</v>
      </c>
    </row>
    <row r="466" spans="1:30" ht="187.2" x14ac:dyDescent="0.3">
      <c r="A466" s="1" t="s">
        <v>292</v>
      </c>
      <c r="B466" s="1" t="s">
        <v>4514</v>
      </c>
      <c r="C466" s="1" t="s">
        <v>2461</v>
      </c>
      <c r="D466" s="1" t="s">
        <v>2472</v>
      </c>
      <c r="E466" s="1" t="s">
        <v>2463</v>
      </c>
      <c r="F466" s="1" t="s">
        <v>416</v>
      </c>
      <c r="G466" s="1" t="s">
        <v>2474</v>
      </c>
      <c r="H466" s="1" t="s">
        <v>2475</v>
      </c>
      <c r="I466" s="1" t="s">
        <v>401</v>
      </c>
      <c r="J466" s="1" t="s">
        <v>2475</v>
      </c>
      <c r="K466" s="1"/>
      <c r="L466" s="7"/>
      <c r="M466" s="7" t="s">
        <v>125</v>
      </c>
      <c r="N466" s="7" t="s">
        <v>90</v>
      </c>
      <c r="O466" s="10"/>
      <c r="P466" s="10"/>
      <c r="Q466" s="7"/>
      <c r="R466" s="7"/>
      <c r="S466" s="7" t="s">
        <v>124</v>
      </c>
      <c r="T466" s="10"/>
      <c r="U466" s="11" t="s">
        <v>4183</v>
      </c>
      <c r="V466" s="11" t="s">
        <v>93</v>
      </c>
      <c r="W466" s="11">
        <v>0</v>
      </c>
      <c r="X466" s="11" t="s">
        <v>93</v>
      </c>
      <c r="Y466" s="11"/>
      <c r="Z466" s="12"/>
      <c r="AA466" s="11"/>
      <c r="AB466" s="11"/>
      <c r="AC466" s="1" t="s">
        <v>4184</v>
      </c>
      <c r="AD466" s="1" t="s">
        <v>4185</v>
      </c>
    </row>
    <row r="467" spans="1:30" ht="187.2" x14ac:dyDescent="0.3">
      <c r="A467" s="1" t="s">
        <v>292</v>
      </c>
      <c r="B467" s="1" t="s">
        <v>4514</v>
      </c>
      <c r="C467" s="1" t="s">
        <v>2461</v>
      </c>
      <c r="D467" s="1" t="s">
        <v>2476</v>
      </c>
      <c r="E467" s="1" t="s">
        <v>2463</v>
      </c>
      <c r="F467" s="1" t="s">
        <v>658</v>
      </c>
      <c r="G467" s="1" t="s">
        <v>1653</v>
      </c>
      <c r="H467" s="1" t="s">
        <v>2478</v>
      </c>
      <c r="I467" s="1"/>
      <c r="J467" s="1" t="s">
        <v>2478</v>
      </c>
      <c r="K467" s="1" t="s">
        <v>2479</v>
      </c>
      <c r="L467" s="7"/>
      <c r="M467" s="7" t="s">
        <v>125</v>
      </c>
      <c r="N467" s="7" t="s">
        <v>90</v>
      </c>
      <c r="O467" s="10"/>
      <c r="P467" s="10"/>
      <c r="Q467" s="7"/>
      <c r="R467" s="7"/>
      <c r="S467" s="7" t="s">
        <v>124</v>
      </c>
      <c r="T467" s="10"/>
      <c r="U467" s="11" t="s">
        <v>4186</v>
      </c>
      <c r="V467" s="11" t="s">
        <v>93</v>
      </c>
      <c r="W467" s="11">
        <v>0</v>
      </c>
      <c r="X467" s="11" t="s">
        <v>93</v>
      </c>
      <c r="Y467" s="11"/>
      <c r="Z467" s="12"/>
      <c r="AA467" s="11"/>
      <c r="AB467" s="11"/>
      <c r="AC467" s="1" t="s">
        <v>4187</v>
      </c>
      <c r="AD467" s="1" t="s">
        <v>4188</v>
      </c>
    </row>
    <row r="468" spans="1:30" ht="187.2" x14ac:dyDescent="0.3">
      <c r="A468" s="1" t="s">
        <v>270</v>
      </c>
      <c r="B468" s="1" t="s">
        <v>4519</v>
      </c>
      <c r="C468" s="1" t="s">
        <v>2480</v>
      </c>
      <c r="D468" s="1" t="s">
        <v>2481</v>
      </c>
      <c r="E468" s="1" t="s">
        <v>2482</v>
      </c>
      <c r="F468" s="1" t="s">
        <v>2484</v>
      </c>
      <c r="G468" s="1" t="s">
        <v>2485</v>
      </c>
      <c r="H468" s="1" t="s">
        <v>2486</v>
      </c>
      <c r="I468" s="1" t="s">
        <v>2487</v>
      </c>
      <c r="J468" s="1" t="s">
        <v>2486</v>
      </c>
      <c r="K468" s="1"/>
      <c r="L468" s="7"/>
      <c r="M468" s="7" t="s">
        <v>125</v>
      </c>
      <c r="N468" s="7" t="s">
        <v>90</v>
      </c>
      <c r="O468" s="10"/>
      <c r="P468" s="10"/>
      <c r="Q468" s="7"/>
      <c r="R468" s="7"/>
      <c r="S468" s="7" t="s">
        <v>124</v>
      </c>
      <c r="T468" s="10"/>
      <c r="U468" s="11" t="s">
        <v>4189</v>
      </c>
      <c r="V468" s="11" t="s">
        <v>93</v>
      </c>
      <c r="W468" s="11">
        <v>0</v>
      </c>
      <c r="X468" s="11" t="s">
        <v>93</v>
      </c>
      <c r="Y468" s="11"/>
      <c r="Z468" s="12"/>
      <c r="AA468" s="11"/>
      <c r="AB468" s="11"/>
      <c r="AC468" s="1" t="s">
        <v>4190</v>
      </c>
      <c r="AD468" s="1" t="s">
        <v>4191</v>
      </c>
    </row>
    <row r="469" spans="1:30" ht="187.2" x14ac:dyDescent="0.3">
      <c r="A469" s="1" t="s">
        <v>270</v>
      </c>
      <c r="B469" s="1" t="s">
        <v>4519</v>
      </c>
      <c r="C469" s="1" t="s">
        <v>2480</v>
      </c>
      <c r="D469" s="1" t="s">
        <v>2488</v>
      </c>
      <c r="E469" s="1" t="s">
        <v>2482</v>
      </c>
      <c r="F469" s="1" t="s">
        <v>1063</v>
      </c>
      <c r="G469" s="1" t="s">
        <v>2490</v>
      </c>
      <c r="H469" s="1" t="s">
        <v>2491</v>
      </c>
      <c r="I469" s="1"/>
      <c r="J469" s="1" t="s">
        <v>2491</v>
      </c>
      <c r="K469" s="1" t="s">
        <v>2492</v>
      </c>
      <c r="L469" s="7"/>
      <c r="M469" s="7" t="s">
        <v>125</v>
      </c>
      <c r="N469" s="7" t="s">
        <v>90</v>
      </c>
      <c r="O469" s="10"/>
      <c r="P469" s="10"/>
      <c r="Q469" s="7"/>
      <c r="R469" s="7"/>
      <c r="S469" s="7" t="s">
        <v>124</v>
      </c>
      <c r="T469" s="10"/>
      <c r="U469" s="11" t="s">
        <v>4192</v>
      </c>
      <c r="V469" s="11" t="s">
        <v>93</v>
      </c>
      <c r="W469" s="11">
        <v>0</v>
      </c>
      <c r="X469" s="11" t="s">
        <v>93</v>
      </c>
      <c r="Y469" s="11"/>
      <c r="Z469" s="12"/>
      <c r="AA469" s="11"/>
      <c r="AB469" s="11"/>
      <c r="AC469" s="1" t="s">
        <v>4193</v>
      </c>
      <c r="AD469" s="1" t="s">
        <v>4194</v>
      </c>
    </row>
    <row r="470" spans="1:30" ht="187.2" x14ac:dyDescent="0.3">
      <c r="A470" s="1" t="s">
        <v>270</v>
      </c>
      <c r="B470" s="1" t="s">
        <v>4519</v>
      </c>
      <c r="C470" s="1" t="s">
        <v>2480</v>
      </c>
      <c r="D470" s="1" t="s">
        <v>2493</v>
      </c>
      <c r="E470" s="1" t="s">
        <v>2482</v>
      </c>
      <c r="F470" s="1" t="s">
        <v>299</v>
      </c>
      <c r="G470" s="1" t="s">
        <v>1684</v>
      </c>
      <c r="H470" s="1" t="s">
        <v>2495</v>
      </c>
      <c r="I470" s="1"/>
      <c r="J470" s="1" t="s">
        <v>2495</v>
      </c>
      <c r="K470" s="1"/>
      <c r="L470" s="7"/>
      <c r="M470" s="7" t="s">
        <v>125</v>
      </c>
      <c r="N470" s="7" t="s">
        <v>90</v>
      </c>
      <c r="O470" s="10"/>
      <c r="P470" s="10"/>
      <c r="Q470" s="7"/>
      <c r="R470" s="7"/>
      <c r="S470" s="7" t="s">
        <v>124</v>
      </c>
      <c r="T470" s="10"/>
      <c r="U470" s="11" t="s">
        <v>4195</v>
      </c>
      <c r="V470" s="11" t="s">
        <v>93</v>
      </c>
      <c r="W470" s="11">
        <v>0</v>
      </c>
      <c r="X470" s="11" t="s">
        <v>93</v>
      </c>
      <c r="Y470" s="11"/>
      <c r="Z470" s="12"/>
      <c r="AA470" s="11"/>
      <c r="AB470" s="11"/>
      <c r="AC470" s="1" t="s">
        <v>4196</v>
      </c>
      <c r="AD470" s="1" t="s">
        <v>4197</v>
      </c>
    </row>
    <row r="471" spans="1:30" ht="187.2" x14ac:dyDescent="0.3">
      <c r="A471" s="1" t="s">
        <v>270</v>
      </c>
      <c r="B471" s="1" t="s">
        <v>4519</v>
      </c>
      <c r="C471" s="1" t="s">
        <v>2480</v>
      </c>
      <c r="D471" s="1" t="s">
        <v>2496</v>
      </c>
      <c r="E471" s="1" t="s">
        <v>2482</v>
      </c>
      <c r="F471" s="1" t="s">
        <v>334</v>
      </c>
      <c r="G471" s="1" t="s">
        <v>2498</v>
      </c>
      <c r="H471" s="1" t="s">
        <v>2499</v>
      </c>
      <c r="I471" s="1"/>
      <c r="J471" s="1" t="s">
        <v>2499</v>
      </c>
      <c r="K471" s="1"/>
      <c r="L471" s="7"/>
      <c r="M471" s="7" t="s">
        <v>125</v>
      </c>
      <c r="N471" s="7" t="s">
        <v>90</v>
      </c>
      <c r="O471" s="10"/>
      <c r="P471" s="10"/>
      <c r="Q471" s="7"/>
      <c r="R471" s="7"/>
      <c r="S471" s="7" t="s">
        <v>124</v>
      </c>
      <c r="T471" s="10"/>
      <c r="U471" s="11" t="s">
        <v>4198</v>
      </c>
      <c r="V471" s="11" t="s">
        <v>93</v>
      </c>
      <c r="W471" s="11">
        <v>0</v>
      </c>
      <c r="X471" s="11" t="s">
        <v>93</v>
      </c>
      <c r="Y471" s="11"/>
      <c r="Z471" s="12"/>
      <c r="AA471" s="11"/>
      <c r="AB471" s="11"/>
      <c r="AC471" s="1" t="s">
        <v>4199</v>
      </c>
      <c r="AD471" s="1" t="s">
        <v>4200</v>
      </c>
    </row>
    <row r="472" spans="1:30" ht="187.2" x14ac:dyDescent="0.3">
      <c r="A472" s="1" t="s">
        <v>262</v>
      </c>
      <c r="B472" s="1" t="s">
        <v>4518</v>
      </c>
      <c r="C472" s="1" t="s">
        <v>2500</v>
      </c>
      <c r="D472" s="1" t="s">
        <v>2501</v>
      </c>
      <c r="E472" s="1" t="s">
        <v>2502</v>
      </c>
      <c r="F472" s="1" t="s">
        <v>2504</v>
      </c>
      <c r="G472" s="1" t="s">
        <v>2505</v>
      </c>
      <c r="H472" s="1"/>
      <c r="I472" s="1"/>
      <c r="J472" s="1"/>
      <c r="K472" s="1"/>
      <c r="L472" s="7"/>
      <c r="M472" s="7" t="s">
        <v>125</v>
      </c>
      <c r="N472" s="7" t="s">
        <v>90</v>
      </c>
      <c r="O472" s="10"/>
      <c r="P472" s="10"/>
      <c r="Q472" s="7"/>
      <c r="R472" s="7"/>
      <c r="S472" s="7" t="s">
        <v>124</v>
      </c>
      <c r="T472" s="10"/>
      <c r="U472" s="11" t="s">
        <v>4201</v>
      </c>
      <c r="V472" s="11" t="s">
        <v>93</v>
      </c>
      <c r="W472" s="11">
        <v>0</v>
      </c>
      <c r="X472" s="11" t="s">
        <v>93</v>
      </c>
      <c r="Y472" s="11"/>
      <c r="Z472" s="12"/>
      <c r="AA472" s="11"/>
      <c r="AB472" s="11"/>
      <c r="AC472" s="1" t="s">
        <v>4202</v>
      </c>
      <c r="AD472" s="1" t="s">
        <v>4203</v>
      </c>
    </row>
    <row r="473" spans="1:30" ht="187.2" x14ac:dyDescent="0.3">
      <c r="A473" s="1" t="s">
        <v>262</v>
      </c>
      <c r="B473" s="1" t="s">
        <v>4518</v>
      </c>
      <c r="C473" s="1" t="s">
        <v>2500</v>
      </c>
      <c r="D473" s="1" t="s">
        <v>2506</v>
      </c>
      <c r="E473" s="1" t="s">
        <v>2502</v>
      </c>
      <c r="F473" s="1"/>
      <c r="G473" s="1"/>
      <c r="H473" s="1"/>
      <c r="I473" s="1"/>
      <c r="J473" s="1"/>
      <c r="K473" s="1"/>
      <c r="L473" s="7"/>
      <c r="M473" s="7" t="s">
        <v>125</v>
      </c>
      <c r="N473" s="7" t="s">
        <v>90</v>
      </c>
      <c r="O473" s="10"/>
      <c r="P473" s="10"/>
      <c r="Q473" s="7"/>
      <c r="R473" s="7"/>
      <c r="S473" s="7" t="s">
        <v>124</v>
      </c>
      <c r="T473" s="10"/>
      <c r="U473" s="11" t="s">
        <v>4204</v>
      </c>
      <c r="V473" s="11" t="s">
        <v>93</v>
      </c>
      <c r="W473" s="11">
        <v>0</v>
      </c>
      <c r="X473" s="11" t="s">
        <v>93</v>
      </c>
      <c r="Y473" s="11"/>
      <c r="Z473" s="12"/>
      <c r="AA473" s="11"/>
      <c r="AB473" s="11"/>
      <c r="AC473" s="1" t="s">
        <v>4205</v>
      </c>
      <c r="AD473" s="1" t="s">
        <v>4206</v>
      </c>
    </row>
    <row r="474" spans="1:30" ht="187.2" x14ac:dyDescent="0.3">
      <c r="A474" s="1" t="s">
        <v>262</v>
      </c>
      <c r="B474" s="1" t="s">
        <v>4518</v>
      </c>
      <c r="C474" s="1" t="s">
        <v>2500</v>
      </c>
      <c r="D474" s="1" t="s">
        <v>2508</v>
      </c>
      <c r="E474" s="1" t="s">
        <v>2502</v>
      </c>
      <c r="F474" s="1" t="s">
        <v>2510</v>
      </c>
      <c r="G474" s="1" t="s">
        <v>2511</v>
      </c>
      <c r="H474" s="1" t="s">
        <v>2512</v>
      </c>
      <c r="I474" s="1" t="s">
        <v>2513</v>
      </c>
      <c r="J474" s="1" t="s">
        <v>2512</v>
      </c>
      <c r="K474" s="1"/>
      <c r="L474" s="7"/>
      <c r="M474" s="7" t="s">
        <v>125</v>
      </c>
      <c r="N474" s="7" t="s">
        <v>90</v>
      </c>
      <c r="O474" s="10"/>
      <c r="P474" s="10"/>
      <c r="Q474" s="7"/>
      <c r="R474" s="7"/>
      <c r="S474" s="7" t="s">
        <v>124</v>
      </c>
      <c r="T474" s="10"/>
      <c r="U474" s="11" t="s">
        <v>4207</v>
      </c>
      <c r="V474" s="11" t="s">
        <v>93</v>
      </c>
      <c r="W474" s="11">
        <v>0</v>
      </c>
      <c r="X474" s="11" t="s">
        <v>93</v>
      </c>
      <c r="Y474" s="11"/>
      <c r="Z474" s="12"/>
      <c r="AA474" s="11"/>
      <c r="AB474" s="11"/>
      <c r="AC474" s="1" t="s">
        <v>4208</v>
      </c>
      <c r="AD474" s="1" t="s">
        <v>4209</v>
      </c>
    </row>
    <row r="475" spans="1:30" ht="187.2" x14ac:dyDescent="0.3">
      <c r="A475" s="1" t="s">
        <v>262</v>
      </c>
      <c r="B475" s="1" t="s">
        <v>4518</v>
      </c>
      <c r="C475" s="1" t="s">
        <v>2500</v>
      </c>
      <c r="D475" s="1" t="s">
        <v>2514</v>
      </c>
      <c r="E475" s="1" t="s">
        <v>2502</v>
      </c>
      <c r="F475" s="1" t="s">
        <v>439</v>
      </c>
      <c r="G475" s="1" t="s">
        <v>2516</v>
      </c>
      <c r="H475" s="1" t="s">
        <v>2517</v>
      </c>
      <c r="I475" s="1" t="s">
        <v>2518</v>
      </c>
      <c r="J475" s="1" t="s">
        <v>2517</v>
      </c>
      <c r="K475" s="1"/>
      <c r="L475" s="7"/>
      <c r="M475" s="7" t="s">
        <v>125</v>
      </c>
      <c r="N475" s="7" t="s">
        <v>90</v>
      </c>
      <c r="O475" s="10"/>
      <c r="P475" s="10"/>
      <c r="Q475" s="7"/>
      <c r="R475" s="7"/>
      <c r="S475" s="7" t="s">
        <v>124</v>
      </c>
      <c r="T475" s="10"/>
      <c r="U475" s="11" t="s">
        <v>4210</v>
      </c>
      <c r="V475" s="11" t="s">
        <v>93</v>
      </c>
      <c r="W475" s="11">
        <v>0</v>
      </c>
      <c r="X475" s="11" t="s">
        <v>93</v>
      </c>
      <c r="Y475" s="11"/>
      <c r="Z475" s="12"/>
      <c r="AA475" s="11"/>
      <c r="AB475" s="11"/>
      <c r="AC475" s="1" t="s">
        <v>4211</v>
      </c>
      <c r="AD475" s="1" t="s">
        <v>4212</v>
      </c>
    </row>
    <row r="476" spans="1:30" ht="187.2" x14ac:dyDescent="0.3">
      <c r="A476" s="1" t="s">
        <v>262</v>
      </c>
      <c r="B476" s="1" t="s">
        <v>4518</v>
      </c>
      <c r="C476" s="1" t="s">
        <v>2500</v>
      </c>
      <c r="D476" s="1" t="s">
        <v>2519</v>
      </c>
      <c r="E476" s="1" t="s">
        <v>2502</v>
      </c>
      <c r="F476" s="1" t="s">
        <v>2521</v>
      </c>
      <c r="G476" s="1" t="s">
        <v>289</v>
      </c>
      <c r="H476" s="1" t="s">
        <v>2522</v>
      </c>
      <c r="I476" s="1"/>
      <c r="J476" s="1" t="s">
        <v>2522</v>
      </c>
      <c r="K476" s="1"/>
      <c r="L476" s="7"/>
      <c r="M476" s="7" t="s">
        <v>125</v>
      </c>
      <c r="N476" s="7" t="s">
        <v>90</v>
      </c>
      <c r="O476" s="10"/>
      <c r="P476" s="10"/>
      <c r="Q476" s="7"/>
      <c r="R476" s="7"/>
      <c r="S476" s="7" t="s">
        <v>124</v>
      </c>
      <c r="T476" s="10"/>
      <c r="U476" s="11" t="s">
        <v>4213</v>
      </c>
      <c r="V476" s="11" t="s">
        <v>93</v>
      </c>
      <c r="W476" s="11">
        <v>0</v>
      </c>
      <c r="X476" s="11" t="s">
        <v>93</v>
      </c>
      <c r="Y476" s="11"/>
      <c r="Z476" s="12"/>
      <c r="AA476" s="11"/>
      <c r="AB476" s="11"/>
      <c r="AC476" s="1" t="s">
        <v>4214</v>
      </c>
      <c r="AD476" s="1" t="s">
        <v>4215</v>
      </c>
    </row>
    <row r="477" spans="1:30" ht="187.2" x14ac:dyDescent="0.3">
      <c r="A477" s="1" t="s">
        <v>262</v>
      </c>
      <c r="B477" s="1" t="s">
        <v>4518</v>
      </c>
      <c r="C477" s="1" t="s">
        <v>2500</v>
      </c>
      <c r="D477" s="1" t="s">
        <v>2523</v>
      </c>
      <c r="E477" s="1" t="s">
        <v>2502</v>
      </c>
      <c r="F477" s="1" t="s">
        <v>406</v>
      </c>
      <c r="G477" s="1" t="s">
        <v>2525</v>
      </c>
      <c r="H477" s="1" t="s">
        <v>2526</v>
      </c>
      <c r="I477" s="1"/>
      <c r="J477" s="1" t="s">
        <v>2526</v>
      </c>
      <c r="K477" s="1"/>
      <c r="L477" s="7"/>
      <c r="M477" s="7" t="s">
        <v>125</v>
      </c>
      <c r="N477" s="7" t="s">
        <v>90</v>
      </c>
      <c r="O477" s="10"/>
      <c r="P477" s="10"/>
      <c r="Q477" s="7"/>
      <c r="R477" s="7"/>
      <c r="S477" s="7" t="s">
        <v>124</v>
      </c>
      <c r="T477" s="10"/>
      <c r="U477" s="11" t="s">
        <v>4216</v>
      </c>
      <c r="V477" s="11" t="s">
        <v>93</v>
      </c>
      <c r="W477" s="11">
        <v>0</v>
      </c>
      <c r="X477" s="11" t="s">
        <v>93</v>
      </c>
      <c r="Y477" s="11"/>
      <c r="Z477" s="12"/>
      <c r="AA477" s="11"/>
      <c r="AB477" s="11"/>
      <c r="AC477" s="1" t="s">
        <v>4217</v>
      </c>
      <c r="AD477" s="1" t="s">
        <v>4218</v>
      </c>
    </row>
    <row r="478" spans="1:30" ht="187.2" x14ac:dyDescent="0.3">
      <c r="A478" s="1" t="s">
        <v>262</v>
      </c>
      <c r="B478" s="1" t="s">
        <v>4518</v>
      </c>
      <c r="C478" s="1" t="s">
        <v>2500</v>
      </c>
      <c r="D478" s="1" t="s">
        <v>2527</v>
      </c>
      <c r="E478" s="1" t="s">
        <v>2502</v>
      </c>
      <c r="F478" s="1" t="s">
        <v>2529</v>
      </c>
      <c r="G478" s="1" t="s">
        <v>1433</v>
      </c>
      <c r="H478" s="1" t="s">
        <v>2530</v>
      </c>
      <c r="I478" s="1"/>
      <c r="J478" s="1" t="s">
        <v>2530</v>
      </c>
      <c r="K478" s="1"/>
      <c r="L478" s="7"/>
      <c r="M478" s="7" t="s">
        <v>125</v>
      </c>
      <c r="N478" s="7" t="s">
        <v>90</v>
      </c>
      <c r="O478" s="10"/>
      <c r="P478" s="10"/>
      <c r="Q478" s="7"/>
      <c r="R478" s="7"/>
      <c r="S478" s="7" t="s">
        <v>124</v>
      </c>
      <c r="T478" s="10"/>
      <c r="U478" s="11" t="s">
        <v>4219</v>
      </c>
      <c r="V478" s="11" t="s">
        <v>93</v>
      </c>
      <c r="W478" s="11">
        <v>0</v>
      </c>
      <c r="X478" s="11" t="s">
        <v>93</v>
      </c>
      <c r="Y478" s="11"/>
      <c r="Z478" s="12"/>
      <c r="AA478" s="11"/>
      <c r="AB478" s="11"/>
      <c r="AC478" s="1" t="s">
        <v>4220</v>
      </c>
      <c r="AD478" s="1" t="s">
        <v>4221</v>
      </c>
    </row>
    <row r="479" spans="1:30" ht="187.2" x14ac:dyDescent="0.3">
      <c r="A479" s="1" t="s">
        <v>262</v>
      </c>
      <c r="B479" s="1" t="s">
        <v>4518</v>
      </c>
      <c r="C479" s="1" t="s">
        <v>2500</v>
      </c>
      <c r="D479" s="1" t="s">
        <v>2531</v>
      </c>
      <c r="E479" s="1" t="s">
        <v>2502</v>
      </c>
      <c r="F479" s="1" t="s">
        <v>620</v>
      </c>
      <c r="G479" s="1" t="s">
        <v>2533</v>
      </c>
      <c r="H479" s="1" t="s">
        <v>2534</v>
      </c>
      <c r="I479" s="1" t="s">
        <v>2535</v>
      </c>
      <c r="J479" s="1" t="s">
        <v>2534</v>
      </c>
      <c r="K479" s="1"/>
      <c r="L479" s="7"/>
      <c r="M479" s="7" t="s">
        <v>125</v>
      </c>
      <c r="N479" s="7" t="s">
        <v>90</v>
      </c>
      <c r="O479" s="10"/>
      <c r="P479" s="10"/>
      <c r="Q479" s="7"/>
      <c r="R479" s="7"/>
      <c r="S479" s="7" t="s">
        <v>124</v>
      </c>
      <c r="T479" s="10"/>
      <c r="U479" s="11" t="s">
        <v>4222</v>
      </c>
      <c r="V479" s="11" t="s">
        <v>93</v>
      </c>
      <c r="W479" s="11">
        <v>0</v>
      </c>
      <c r="X479" s="11" t="s">
        <v>93</v>
      </c>
      <c r="Y479" s="11"/>
      <c r="Z479" s="12"/>
      <c r="AA479" s="11"/>
      <c r="AB479" s="11"/>
      <c r="AC479" s="1" t="s">
        <v>4223</v>
      </c>
      <c r="AD479" s="1" t="s">
        <v>4224</v>
      </c>
    </row>
    <row r="480" spans="1:30" ht="187.2" x14ac:dyDescent="0.3">
      <c r="A480" s="1" t="s">
        <v>262</v>
      </c>
      <c r="B480" s="1" t="s">
        <v>4518</v>
      </c>
      <c r="C480" s="1" t="s">
        <v>2500</v>
      </c>
      <c r="D480" s="1" t="s">
        <v>2536</v>
      </c>
      <c r="E480" s="1" t="s">
        <v>2502</v>
      </c>
      <c r="F480" s="1" t="s">
        <v>2538</v>
      </c>
      <c r="G480" s="1" t="s">
        <v>1297</v>
      </c>
      <c r="H480" s="1" t="s">
        <v>2539</v>
      </c>
      <c r="I480" s="1"/>
      <c r="J480" s="1" t="s">
        <v>2539</v>
      </c>
      <c r="K480" s="1"/>
      <c r="L480" s="7"/>
      <c r="M480" s="7" t="s">
        <v>125</v>
      </c>
      <c r="N480" s="7" t="s">
        <v>90</v>
      </c>
      <c r="O480" s="10"/>
      <c r="P480" s="10"/>
      <c r="Q480" s="7"/>
      <c r="R480" s="7"/>
      <c r="S480" s="7" t="s">
        <v>124</v>
      </c>
      <c r="T480" s="10"/>
      <c r="U480" s="11" t="s">
        <v>4225</v>
      </c>
      <c r="V480" s="11" t="s">
        <v>93</v>
      </c>
      <c r="W480" s="11">
        <v>0</v>
      </c>
      <c r="X480" s="11" t="s">
        <v>93</v>
      </c>
      <c r="Y480" s="11"/>
      <c r="Z480" s="12"/>
      <c r="AA480" s="11"/>
      <c r="AB480" s="11"/>
      <c r="AC480" s="1" t="s">
        <v>4226</v>
      </c>
      <c r="AD480" s="1" t="s">
        <v>4227</v>
      </c>
    </row>
    <row r="481" spans="1:30" ht="187.2" x14ac:dyDescent="0.3">
      <c r="A481" s="1" t="s">
        <v>262</v>
      </c>
      <c r="B481" s="1" t="s">
        <v>4518</v>
      </c>
      <c r="C481" s="1" t="s">
        <v>2500</v>
      </c>
      <c r="D481" s="1" t="s">
        <v>2540</v>
      </c>
      <c r="E481" s="1" t="s">
        <v>2502</v>
      </c>
      <c r="F481" s="1" t="s">
        <v>2542</v>
      </c>
      <c r="G481" s="1" t="s">
        <v>2543</v>
      </c>
      <c r="H481" s="1" t="s">
        <v>2544</v>
      </c>
      <c r="I481" s="1"/>
      <c r="J481" s="1" t="s">
        <v>2544</v>
      </c>
      <c r="K481" s="1"/>
      <c r="L481" s="7"/>
      <c r="M481" s="7" t="s">
        <v>125</v>
      </c>
      <c r="N481" s="7" t="s">
        <v>90</v>
      </c>
      <c r="O481" s="10"/>
      <c r="P481" s="10"/>
      <c r="Q481" s="7"/>
      <c r="R481" s="7"/>
      <c r="S481" s="7" t="s">
        <v>124</v>
      </c>
      <c r="T481" s="10"/>
      <c r="U481" s="11" t="s">
        <v>4228</v>
      </c>
      <c r="V481" s="11" t="s">
        <v>93</v>
      </c>
      <c r="W481" s="11">
        <v>0</v>
      </c>
      <c r="X481" s="11" t="s">
        <v>93</v>
      </c>
      <c r="Y481" s="11"/>
      <c r="Z481" s="12"/>
      <c r="AA481" s="11"/>
      <c r="AB481" s="11"/>
      <c r="AC481" s="1" t="s">
        <v>4229</v>
      </c>
      <c r="AD481" s="1" t="s">
        <v>4230</v>
      </c>
    </row>
    <row r="482" spans="1:30" ht="187.2" x14ac:dyDescent="0.3">
      <c r="A482" s="1" t="s">
        <v>262</v>
      </c>
      <c r="B482" s="1" t="s">
        <v>4518</v>
      </c>
      <c r="C482" s="1" t="s">
        <v>2500</v>
      </c>
      <c r="D482" s="1" t="s">
        <v>2545</v>
      </c>
      <c r="E482" s="1" t="s">
        <v>2502</v>
      </c>
      <c r="F482" s="1" t="s">
        <v>2547</v>
      </c>
      <c r="G482" s="1" t="s">
        <v>2548</v>
      </c>
      <c r="H482" s="1" t="s">
        <v>2549</v>
      </c>
      <c r="I482" s="1"/>
      <c r="J482" s="1" t="s">
        <v>2549</v>
      </c>
      <c r="K482" s="1"/>
      <c r="L482" s="7"/>
      <c r="M482" s="7" t="s">
        <v>125</v>
      </c>
      <c r="N482" s="7" t="s">
        <v>90</v>
      </c>
      <c r="O482" s="10"/>
      <c r="P482" s="10"/>
      <c r="Q482" s="7"/>
      <c r="R482" s="7"/>
      <c r="S482" s="7" t="s">
        <v>124</v>
      </c>
      <c r="T482" s="10"/>
      <c r="U482" s="11" t="s">
        <v>4231</v>
      </c>
      <c r="V482" s="11" t="s">
        <v>93</v>
      </c>
      <c r="W482" s="11">
        <v>0</v>
      </c>
      <c r="X482" s="11" t="s">
        <v>93</v>
      </c>
      <c r="Y482" s="11"/>
      <c r="Z482" s="12"/>
      <c r="AA482" s="11"/>
      <c r="AB482" s="11"/>
      <c r="AC482" s="1" t="s">
        <v>4232</v>
      </c>
      <c r="AD482" s="1" t="s">
        <v>4233</v>
      </c>
    </row>
    <row r="483" spans="1:30" ht="187.2" x14ac:dyDescent="0.3">
      <c r="A483" s="1" t="s">
        <v>262</v>
      </c>
      <c r="B483" s="1" t="s">
        <v>4518</v>
      </c>
      <c r="C483" s="1" t="s">
        <v>2500</v>
      </c>
      <c r="D483" s="1" t="s">
        <v>2550</v>
      </c>
      <c r="E483" s="1" t="s">
        <v>2502</v>
      </c>
      <c r="F483" s="1" t="s">
        <v>668</v>
      </c>
      <c r="G483" s="1" t="s">
        <v>2552</v>
      </c>
      <c r="H483" s="1" t="s">
        <v>2553</v>
      </c>
      <c r="I483" s="1"/>
      <c r="J483" s="1" t="s">
        <v>2553</v>
      </c>
      <c r="K483" s="1"/>
      <c r="L483" s="7"/>
      <c r="M483" s="7" t="s">
        <v>125</v>
      </c>
      <c r="N483" s="7" t="s">
        <v>90</v>
      </c>
      <c r="O483" s="10"/>
      <c r="P483" s="10"/>
      <c r="Q483" s="7"/>
      <c r="R483" s="7"/>
      <c r="S483" s="7" t="s">
        <v>124</v>
      </c>
      <c r="T483" s="10"/>
      <c r="U483" s="11" t="s">
        <v>4234</v>
      </c>
      <c r="V483" s="11" t="s">
        <v>93</v>
      </c>
      <c r="W483" s="11">
        <v>0</v>
      </c>
      <c r="X483" s="11" t="s">
        <v>93</v>
      </c>
      <c r="Y483" s="11"/>
      <c r="Z483" s="12"/>
      <c r="AA483" s="11"/>
      <c r="AB483" s="11"/>
      <c r="AC483" s="1" t="s">
        <v>4235</v>
      </c>
      <c r="AD483" s="1" t="s">
        <v>4236</v>
      </c>
    </row>
    <row r="484" spans="1:30" ht="187.2" x14ac:dyDescent="0.3">
      <c r="A484" s="1" t="s">
        <v>262</v>
      </c>
      <c r="B484" s="1" t="s">
        <v>4517</v>
      </c>
      <c r="C484" s="1" t="s">
        <v>2554</v>
      </c>
      <c r="D484" s="1" t="s">
        <v>2555</v>
      </c>
      <c r="E484" s="1" t="s">
        <v>2556</v>
      </c>
      <c r="F484" s="1" t="s">
        <v>2558</v>
      </c>
      <c r="G484" s="1" t="s">
        <v>2559</v>
      </c>
      <c r="H484" s="1" t="s">
        <v>2560</v>
      </c>
      <c r="I484" s="1" t="s">
        <v>2561</v>
      </c>
      <c r="J484" s="1" t="s">
        <v>2560</v>
      </c>
      <c r="K484" s="1"/>
      <c r="L484" s="7"/>
      <c r="M484" s="7" t="s">
        <v>125</v>
      </c>
      <c r="N484" s="7" t="s">
        <v>90</v>
      </c>
      <c r="O484" s="10"/>
      <c r="P484" s="10"/>
      <c r="Q484" s="7"/>
      <c r="R484" s="7"/>
      <c r="S484" s="7" t="s">
        <v>124</v>
      </c>
      <c r="T484" s="10"/>
      <c r="U484" s="11" t="s">
        <v>4237</v>
      </c>
      <c r="V484" s="11" t="s">
        <v>93</v>
      </c>
      <c r="W484" s="11">
        <v>0</v>
      </c>
      <c r="X484" s="11" t="s">
        <v>93</v>
      </c>
      <c r="Y484" s="11"/>
      <c r="Z484" s="12"/>
      <c r="AA484" s="11"/>
      <c r="AB484" s="11"/>
      <c r="AC484" s="1" t="s">
        <v>4238</v>
      </c>
      <c r="AD484" s="1" t="s">
        <v>4239</v>
      </c>
    </row>
    <row r="485" spans="1:30" ht="187.2" x14ac:dyDescent="0.3">
      <c r="A485" s="1" t="s">
        <v>262</v>
      </c>
      <c r="B485" s="1" t="s">
        <v>4517</v>
      </c>
      <c r="C485" s="1" t="s">
        <v>2554</v>
      </c>
      <c r="D485" s="1" t="s">
        <v>2562</v>
      </c>
      <c r="E485" s="1" t="s">
        <v>2556</v>
      </c>
      <c r="F485" s="1" t="s">
        <v>2564</v>
      </c>
      <c r="G485" s="1" t="s">
        <v>2565</v>
      </c>
      <c r="H485" s="1"/>
      <c r="I485" s="1"/>
      <c r="J485" s="1"/>
      <c r="K485" s="1"/>
      <c r="L485" s="7"/>
      <c r="M485" s="7" t="s">
        <v>125</v>
      </c>
      <c r="N485" s="7" t="s">
        <v>90</v>
      </c>
      <c r="O485" s="10"/>
      <c r="P485" s="10"/>
      <c r="Q485" s="7"/>
      <c r="R485" s="7"/>
      <c r="S485" s="7" t="s">
        <v>124</v>
      </c>
      <c r="T485" s="10"/>
      <c r="U485" s="11" t="s">
        <v>4240</v>
      </c>
      <c r="V485" s="11" t="s">
        <v>93</v>
      </c>
      <c r="W485" s="11">
        <v>0</v>
      </c>
      <c r="X485" s="11" t="s">
        <v>93</v>
      </c>
      <c r="Y485" s="11"/>
      <c r="Z485" s="12"/>
      <c r="AA485" s="11"/>
      <c r="AB485" s="11"/>
      <c r="AC485" s="1" t="s">
        <v>4241</v>
      </c>
      <c r="AD485" s="1" t="s">
        <v>4242</v>
      </c>
    </row>
    <row r="486" spans="1:30" ht="187.2" x14ac:dyDescent="0.3">
      <c r="A486" s="1" t="s">
        <v>262</v>
      </c>
      <c r="B486" s="1" t="s">
        <v>4517</v>
      </c>
      <c r="C486" s="1" t="s">
        <v>2554</v>
      </c>
      <c r="D486" s="1" t="s">
        <v>2566</v>
      </c>
      <c r="E486" s="1" t="s">
        <v>2556</v>
      </c>
      <c r="F486" s="1" t="s">
        <v>1143</v>
      </c>
      <c r="G486" s="1" t="s">
        <v>2568</v>
      </c>
      <c r="H486" s="1" t="s">
        <v>2569</v>
      </c>
      <c r="I486" s="1"/>
      <c r="J486" s="1" t="s">
        <v>2569</v>
      </c>
      <c r="K486" s="1"/>
      <c r="L486" s="7"/>
      <c r="M486" s="7" t="s">
        <v>125</v>
      </c>
      <c r="N486" s="7" t="s">
        <v>90</v>
      </c>
      <c r="O486" s="10"/>
      <c r="P486" s="10"/>
      <c r="Q486" s="7"/>
      <c r="R486" s="7"/>
      <c r="S486" s="7" t="s">
        <v>124</v>
      </c>
      <c r="T486" s="10"/>
      <c r="U486" s="11" t="s">
        <v>4243</v>
      </c>
      <c r="V486" s="11" t="s">
        <v>93</v>
      </c>
      <c r="W486" s="11">
        <v>0</v>
      </c>
      <c r="X486" s="11" t="s">
        <v>93</v>
      </c>
      <c r="Y486" s="11"/>
      <c r="Z486" s="12"/>
      <c r="AA486" s="11"/>
      <c r="AB486" s="11"/>
      <c r="AC486" s="1" t="s">
        <v>4244</v>
      </c>
      <c r="AD486" s="1" t="s">
        <v>4245</v>
      </c>
    </row>
    <row r="487" spans="1:30" ht="187.2" x14ac:dyDescent="0.3">
      <c r="A487" s="1" t="s">
        <v>262</v>
      </c>
      <c r="B487" s="1" t="s">
        <v>4517</v>
      </c>
      <c r="C487" s="1" t="s">
        <v>2554</v>
      </c>
      <c r="D487" s="1" t="s">
        <v>2570</v>
      </c>
      <c r="E487" s="1" t="s">
        <v>2556</v>
      </c>
      <c r="F487" s="1" t="s">
        <v>2572</v>
      </c>
      <c r="G487" s="1" t="s">
        <v>2573</v>
      </c>
      <c r="H487" s="1" t="s">
        <v>2574</v>
      </c>
      <c r="I487" s="1" t="s">
        <v>2575</v>
      </c>
      <c r="J487" s="1" t="s">
        <v>2574</v>
      </c>
      <c r="K487" s="1"/>
      <c r="L487" s="7"/>
      <c r="M487" s="7" t="s">
        <v>125</v>
      </c>
      <c r="N487" s="7" t="s">
        <v>90</v>
      </c>
      <c r="O487" s="10"/>
      <c r="P487" s="10"/>
      <c r="Q487" s="7"/>
      <c r="R487" s="7"/>
      <c r="S487" s="7" t="s">
        <v>124</v>
      </c>
      <c r="T487" s="10"/>
      <c r="U487" s="11" t="s">
        <v>4246</v>
      </c>
      <c r="V487" s="11" t="s">
        <v>93</v>
      </c>
      <c r="W487" s="11">
        <v>0</v>
      </c>
      <c r="X487" s="11" t="s">
        <v>93</v>
      </c>
      <c r="Y487" s="11"/>
      <c r="Z487" s="12"/>
      <c r="AA487" s="11"/>
      <c r="AB487" s="11"/>
      <c r="AC487" s="1" t="s">
        <v>4247</v>
      </c>
      <c r="AD487" s="1" t="s">
        <v>4248</v>
      </c>
    </row>
    <row r="488" spans="1:30" ht="187.2" x14ac:dyDescent="0.3">
      <c r="A488" s="1" t="s">
        <v>262</v>
      </c>
      <c r="B488" s="1" t="s">
        <v>4517</v>
      </c>
      <c r="C488" s="1" t="s">
        <v>2554</v>
      </c>
      <c r="D488" s="1" t="s">
        <v>2576</v>
      </c>
      <c r="E488" s="1" t="s">
        <v>2556</v>
      </c>
      <c r="F488" s="1" t="s">
        <v>458</v>
      </c>
      <c r="G488" s="1" t="s">
        <v>2578</v>
      </c>
      <c r="H488" s="1" t="s">
        <v>2579</v>
      </c>
      <c r="I488" s="1"/>
      <c r="J488" s="1" t="s">
        <v>2579</v>
      </c>
      <c r="K488" s="1"/>
      <c r="L488" s="7"/>
      <c r="M488" s="7" t="s">
        <v>125</v>
      </c>
      <c r="N488" s="7" t="s">
        <v>90</v>
      </c>
      <c r="O488" s="10"/>
      <c r="P488" s="10"/>
      <c r="Q488" s="7"/>
      <c r="R488" s="7"/>
      <c r="S488" s="7" t="s">
        <v>124</v>
      </c>
      <c r="T488" s="10"/>
      <c r="U488" s="11" t="s">
        <v>4249</v>
      </c>
      <c r="V488" s="11" t="s">
        <v>93</v>
      </c>
      <c r="W488" s="11">
        <v>0</v>
      </c>
      <c r="X488" s="11" t="s">
        <v>93</v>
      </c>
      <c r="Y488" s="11"/>
      <c r="Z488" s="12"/>
      <c r="AA488" s="11"/>
      <c r="AB488" s="11"/>
      <c r="AC488" s="1" t="s">
        <v>4250</v>
      </c>
      <c r="AD488" s="1" t="s">
        <v>4251</v>
      </c>
    </row>
    <row r="489" spans="1:30" ht="187.2" x14ac:dyDescent="0.3">
      <c r="A489" s="1" t="s">
        <v>262</v>
      </c>
      <c r="B489" s="1" t="s">
        <v>4517</v>
      </c>
      <c r="C489" s="1" t="s">
        <v>2554</v>
      </c>
      <c r="D489" s="1" t="s">
        <v>2580</v>
      </c>
      <c r="E489" s="1" t="s">
        <v>2556</v>
      </c>
      <c r="F489" s="1" t="s">
        <v>458</v>
      </c>
      <c r="G489" s="1" t="s">
        <v>2582</v>
      </c>
      <c r="H489" s="1" t="s">
        <v>2583</v>
      </c>
      <c r="I489" s="1"/>
      <c r="J489" s="1" t="s">
        <v>2583</v>
      </c>
      <c r="K489" s="1"/>
      <c r="L489" s="7"/>
      <c r="M489" s="7" t="s">
        <v>125</v>
      </c>
      <c r="N489" s="7" t="s">
        <v>90</v>
      </c>
      <c r="O489" s="10"/>
      <c r="P489" s="10"/>
      <c r="Q489" s="7"/>
      <c r="R489" s="7"/>
      <c r="S489" s="7" t="s">
        <v>124</v>
      </c>
      <c r="T489" s="10"/>
      <c r="U489" s="11" t="s">
        <v>4252</v>
      </c>
      <c r="V489" s="11" t="s">
        <v>93</v>
      </c>
      <c r="W489" s="11">
        <v>0</v>
      </c>
      <c r="X489" s="11" t="s">
        <v>93</v>
      </c>
      <c r="Y489" s="11"/>
      <c r="Z489" s="12"/>
      <c r="AA489" s="11"/>
      <c r="AB489" s="11"/>
      <c r="AC489" s="1" t="s">
        <v>4253</v>
      </c>
      <c r="AD489" s="1" t="s">
        <v>4254</v>
      </c>
    </row>
    <row r="490" spans="1:30" ht="187.2" x14ac:dyDescent="0.3">
      <c r="A490" s="1" t="s">
        <v>262</v>
      </c>
      <c r="B490" s="1" t="s">
        <v>4517</v>
      </c>
      <c r="C490" s="1" t="s">
        <v>2554</v>
      </c>
      <c r="D490" s="1" t="s">
        <v>2584</v>
      </c>
      <c r="E490" s="1" t="s">
        <v>2556</v>
      </c>
      <c r="F490" s="1" t="s">
        <v>2586</v>
      </c>
      <c r="G490" s="1" t="s">
        <v>2587</v>
      </c>
      <c r="H490" s="1" t="s">
        <v>2588</v>
      </c>
      <c r="I490" s="1"/>
      <c r="J490" s="1" t="s">
        <v>2588</v>
      </c>
      <c r="K490" s="1"/>
      <c r="L490" s="7"/>
      <c r="M490" s="7" t="s">
        <v>125</v>
      </c>
      <c r="N490" s="7" t="s">
        <v>90</v>
      </c>
      <c r="O490" s="10"/>
      <c r="P490" s="10"/>
      <c r="Q490" s="7"/>
      <c r="R490" s="7"/>
      <c r="S490" s="7" t="s">
        <v>124</v>
      </c>
      <c r="T490" s="10"/>
      <c r="U490" s="11" t="s">
        <v>4255</v>
      </c>
      <c r="V490" s="11" t="s">
        <v>93</v>
      </c>
      <c r="W490" s="11">
        <v>0</v>
      </c>
      <c r="X490" s="11" t="s">
        <v>93</v>
      </c>
      <c r="Y490" s="11"/>
      <c r="Z490" s="12"/>
      <c r="AA490" s="11"/>
      <c r="AB490" s="11"/>
      <c r="AC490" s="1" t="s">
        <v>4256</v>
      </c>
      <c r="AD490" s="1" t="s">
        <v>4257</v>
      </c>
    </row>
    <row r="491" spans="1:30" ht="187.2" x14ac:dyDescent="0.3">
      <c r="A491" s="1" t="s">
        <v>262</v>
      </c>
      <c r="B491" s="1" t="s">
        <v>4517</v>
      </c>
      <c r="C491" s="1" t="s">
        <v>2554</v>
      </c>
      <c r="D491" s="1" t="s">
        <v>2589</v>
      </c>
      <c r="E491" s="1" t="s">
        <v>2556</v>
      </c>
      <c r="F491" s="1" t="s">
        <v>2591</v>
      </c>
      <c r="G491" s="1" t="s">
        <v>412</v>
      </c>
      <c r="H491" s="1" t="s">
        <v>2592</v>
      </c>
      <c r="I491" s="1" t="s">
        <v>2593</v>
      </c>
      <c r="J491" s="1" t="s">
        <v>2592</v>
      </c>
      <c r="K491" s="1"/>
      <c r="L491" s="7"/>
      <c r="M491" s="7" t="s">
        <v>125</v>
      </c>
      <c r="N491" s="7" t="s">
        <v>90</v>
      </c>
      <c r="O491" s="10"/>
      <c r="P491" s="10"/>
      <c r="Q491" s="7"/>
      <c r="R491" s="7"/>
      <c r="S491" s="7" t="s">
        <v>124</v>
      </c>
      <c r="T491" s="10"/>
      <c r="U491" s="11" t="s">
        <v>4258</v>
      </c>
      <c r="V491" s="11" t="s">
        <v>93</v>
      </c>
      <c r="W491" s="11">
        <v>0</v>
      </c>
      <c r="X491" s="11" t="s">
        <v>93</v>
      </c>
      <c r="Y491" s="11"/>
      <c r="Z491" s="12"/>
      <c r="AA491" s="11"/>
      <c r="AB491" s="11"/>
      <c r="AC491" s="1" t="s">
        <v>4259</v>
      </c>
      <c r="AD491" s="1" t="s">
        <v>4260</v>
      </c>
    </row>
    <row r="492" spans="1:30" ht="187.2" x14ac:dyDescent="0.3">
      <c r="A492" s="1" t="s">
        <v>262</v>
      </c>
      <c r="B492" s="1" t="s">
        <v>4517</v>
      </c>
      <c r="C492" s="1" t="s">
        <v>2554</v>
      </c>
      <c r="D492" s="1" t="s">
        <v>2594</v>
      </c>
      <c r="E492" s="1" t="s">
        <v>2556</v>
      </c>
      <c r="F492" s="1" t="s">
        <v>206</v>
      </c>
      <c r="G492" s="1" t="s">
        <v>2596</v>
      </c>
      <c r="H492" s="1" t="s">
        <v>2597</v>
      </c>
      <c r="I492" s="1" t="s">
        <v>2598</v>
      </c>
      <c r="J492" s="1" t="s">
        <v>2597</v>
      </c>
      <c r="K492" s="1" t="s">
        <v>2599</v>
      </c>
      <c r="L492" s="7"/>
      <c r="M492" s="7" t="s">
        <v>125</v>
      </c>
      <c r="N492" s="7" t="s">
        <v>90</v>
      </c>
      <c r="O492" s="10"/>
      <c r="P492" s="10"/>
      <c r="Q492" s="7"/>
      <c r="R492" s="7"/>
      <c r="S492" s="7" t="s">
        <v>124</v>
      </c>
      <c r="T492" s="10"/>
      <c r="U492" s="11" t="s">
        <v>4261</v>
      </c>
      <c r="V492" s="11" t="s">
        <v>93</v>
      </c>
      <c r="W492" s="11">
        <v>0</v>
      </c>
      <c r="X492" s="11" t="s">
        <v>93</v>
      </c>
      <c r="Y492" s="11"/>
      <c r="Z492" s="12"/>
      <c r="AA492" s="11"/>
      <c r="AB492" s="11"/>
      <c r="AC492" s="1" t="s">
        <v>4262</v>
      </c>
      <c r="AD492" s="1" t="s">
        <v>4263</v>
      </c>
    </row>
    <row r="493" spans="1:30" ht="187.2" x14ac:dyDescent="0.3">
      <c r="A493" s="1" t="s">
        <v>262</v>
      </c>
      <c r="B493" s="1" t="s">
        <v>4517</v>
      </c>
      <c r="C493" s="1" t="s">
        <v>2554</v>
      </c>
      <c r="D493" s="1" t="s">
        <v>2600</v>
      </c>
      <c r="E493" s="1" t="s">
        <v>2556</v>
      </c>
      <c r="F493" s="1" t="s">
        <v>2602</v>
      </c>
      <c r="G493" s="1" t="s">
        <v>2603</v>
      </c>
      <c r="H493" s="1" t="s">
        <v>2604</v>
      </c>
      <c r="I493" s="1" t="s">
        <v>2605</v>
      </c>
      <c r="J493" s="1" t="s">
        <v>2604</v>
      </c>
      <c r="K493" s="1"/>
      <c r="L493" s="7"/>
      <c r="M493" s="7" t="s">
        <v>125</v>
      </c>
      <c r="N493" s="7" t="s">
        <v>90</v>
      </c>
      <c r="O493" s="10"/>
      <c r="P493" s="10"/>
      <c r="Q493" s="7"/>
      <c r="R493" s="7"/>
      <c r="S493" s="7" t="s">
        <v>124</v>
      </c>
      <c r="T493" s="10"/>
      <c r="U493" s="11" t="s">
        <v>4264</v>
      </c>
      <c r="V493" s="11" t="s">
        <v>93</v>
      </c>
      <c r="W493" s="11">
        <v>0</v>
      </c>
      <c r="X493" s="11" t="s">
        <v>93</v>
      </c>
      <c r="Y493" s="11"/>
      <c r="Z493" s="12"/>
      <c r="AA493" s="11"/>
      <c r="AB493" s="11"/>
      <c r="AC493" s="1" t="s">
        <v>4265</v>
      </c>
      <c r="AD493" s="1" t="s">
        <v>4266</v>
      </c>
    </row>
    <row r="494" spans="1:30" ht="187.2" x14ac:dyDescent="0.3">
      <c r="A494" s="1" t="s">
        <v>262</v>
      </c>
      <c r="B494" s="1" t="s">
        <v>4517</v>
      </c>
      <c r="C494" s="1" t="s">
        <v>2554</v>
      </c>
      <c r="D494" s="1" t="s">
        <v>2606</v>
      </c>
      <c r="E494" s="1" t="s">
        <v>2556</v>
      </c>
      <c r="F494" s="1" t="s">
        <v>658</v>
      </c>
      <c r="G494" s="1" t="s">
        <v>846</v>
      </c>
      <c r="H494" s="1" t="s">
        <v>2608</v>
      </c>
      <c r="I494" s="1" t="s">
        <v>2609</v>
      </c>
      <c r="J494" s="1" t="s">
        <v>2608</v>
      </c>
      <c r="K494" s="1"/>
      <c r="L494" s="7"/>
      <c r="M494" s="7" t="s">
        <v>125</v>
      </c>
      <c r="N494" s="7" t="s">
        <v>90</v>
      </c>
      <c r="O494" s="10"/>
      <c r="P494" s="10"/>
      <c r="Q494" s="7"/>
      <c r="R494" s="7"/>
      <c r="S494" s="7" t="s">
        <v>124</v>
      </c>
      <c r="T494" s="10"/>
      <c r="U494" s="11" t="s">
        <v>4267</v>
      </c>
      <c r="V494" s="11" t="s">
        <v>93</v>
      </c>
      <c r="W494" s="11">
        <v>0</v>
      </c>
      <c r="X494" s="11" t="s">
        <v>93</v>
      </c>
      <c r="Y494" s="11"/>
      <c r="Z494" s="12"/>
      <c r="AA494" s="11"/>
      <c r="AB494" s="11"/>
      <c r="AC494" s="1" t="s">
        <v>4268</v>
      </c>
      <c r="AD494" s="1" t="s">
        <v>4269</v>
      </c>
    </row>
    <row r="495" spans="1:30" ht="187.2" x14ac:dyDescent="0.3">
      <c r="A495" s="1" t="s">
        <v>202</v>
      </c>
      <c r="B495" s="1" t="s">
        <v>4520</v>
      </c>
      <c r="C495" s="1" t="s">
        <v>2610</v>
      </c>
      <c r="D495" s="1" t="s">
        <v>2611</v>
      </c>
      <c r="E495" s="1" t="s">
        <v>82</v>
      </c>
      <c r="F495" s="1" t="s">
        <v>1728</v>
      </c>
      <c r="G495" s="1" t="s">
        <v>2613</v>
      </c>
      <c r="H495" s="1" t="s">
        <v>2614</v>
      </c>
      <c r="I495" s="1" t="s">
        <v>2615</v>
      </c>
      <c r="J495" s="1" t="s">
        <v>2614</v>
      </c>
      <c r="K495" s="1" t="s">
        <v>2616</v>
      </c>
      <c r="L495" s="7"/>
      <c r="M495" s="7" t="s">
        <v>125</v>
      </c>
      <c r="N495" s="7" t="s">
        <v>90</v>
      </c>
      <c r="O495" s="10"/>
      <c r="P495" s="10"/>
      <c r="Q495" s="7"/>
      <c r="R495" s="7"/>
      <c r="S495" s="7" t="s">
        <v>124</v>
      </c>
      <c r="T495" s="10"/>
      <c r="U495" s="11" t="s">
        <v>4270</v>
      </c>
      <c r="V495" s="11" t="s">
        <v>93</v>
      </c>
      <c r="W495" s="11">
        <v>0</v>
      </c>
      <c r="X495" s="11" t="s">
        <v>93</v>
      </c>
      <c r="Y495" s="11"/>
      <c r="Z495" s="12"/>
      <c r="AA495" s="11"/>
      <c r="AB495" s="11"/>
      <c r="AC495" s="1" t="s">
        <v>4271</v>
      </c>
      <c r="AD495" s="1" t="s">
        <v>4272</v>
      </c>
    </row>
    <row r="496" spans="1:30" ht="187.2" x14ac:dyDescent="0.3">
      <c r="A496" s="1" t="s">
        <v>202</v>
      </c>
      <c r="B496" s="1" t="s">
        <v>4520</v>
      </c>
      <c r="C496" s="1" t="s">
        <v>2610</v>
      </c>
      <c r="D496" s="1" t="s">
        <v>2617</v>
      </c>
      <c r="E496" s="1" t="s">
        <v>82</v>
      </c>
      <c r="F496" s="1" t="s">
        <v>2619</v>
      </c>
      <c r="G496" s="1" t="s">
        <v>2620</v>
      </c>
      <c r="H496" s="1" t="s">
        <v>2621</v>
      </c>
      <c r="I496" s="1"/>
      <c r="J496" s="1" t="s">
        <v>2621</v>
      </c>
      <c r="K496" s="1"/>
      <c r="L496" s="7"/>
      <c r="M496" s="7" t="s">
        <v>125</v>
      </c>
      <c r="N496" s="7" t="s">
        <v>90</v>
      </c>
      <c r="O496" s="10"/>
      <c r="P496" s="10"/>
      <c r="Q496" s="7"/>
      <c r="R496" s="7"/>
      <c r="S496" s="7" t="s">
        <v>124</v>
      </c>
      <c r="T496" s="10"/>
      <c r="U496" s="11" t="s">
        <v>4273</v>
      </c>
      <c r="V496" s="11" t="s">
        <v>93</v>
      </c>
      <c r="W496" s="11">
        <v>0</v>
      </c>
      <c r="X496" s="11" t="s">
        <v>93</v>
      </c>
      <c r="Y496" s="11"/>
      <c r="Z496" s="12"/>
      <c r="AA496" s="11"/>
      <c r="AB496" s="11"/>
      <c r="AC496" s="1" t="s">
        <v>4274</v>
      </c>
      <c r="AD496" s="1" t="s">
        <v>4275</v>
      </c>
    </row>
    <row r="497" spans="1:30" ht="187.2" x14ac:dyDescent="0.3">
      <c r="A497" s="1" t="s">
        <v>202</v>
      </c>
      <c r="B497" s="1" t="s">
        <v>4520</v>
      </c>
      <c r="C497" s="1" t="s">
        <v>2610</v>
      </c>
      <c r="D497" s="1" t="s">
        <v>2622</v>
      </c>
      <c r="E497" s="1" t="s">
        <v>82</v>
      </c>
      <c r="F497" s="1" t="s">
        <v>932</v>
      </c>
      <c r="G497" s="1" t="s">
        <v>2624</v>
      </c>
      <c r="H497" s="1" t="s">
        <v>2625</v>
      </c>
      <c r="I497" s="1" t="s">
        <v>2626</v>
      </c>
      <c r="J497" s="1" t="s">
        <v>2625</v>
      </c>
      <c r="K497" s="1"/>
      <c r="L497" s="7"/>
      <c r="M497" s="7" t="s">
        <v>125</v>
      </c>
      <c r="N497" s="7" t="s">
        <v>90</v>
      </c>
      <c r="O497" s="10"/>
      <c r="P497" s="10"/>
      <c r="Q497" s="7"/>
      <c r="R497" s="7"/>
      <c r="S497" s="7" t="s">
        <v>124</v>
      </c>
      <c r="T497" s="10"/>
      <c r="U497" s="11" t="s">
        <v>4276</v>
      </c>
      <c r="V497" s="11" t="s">
        <v>93</v>
      </c>
      <c r="W497" s="11">
        <v>0</v>
      </c>
      <c r="X497" s="11" t="s">
        <v>93</v>
      </c>
      <c r="Y497" s="11"/>
      <c r="Z497" s="12"/>
      <c r="AA497" s="11"/>
      <c r="AB497" s="11"/>
      <c r="AC497" s="1" t="s">
        <v>4277</v>
      </c>
      <c r="AD497" s="1" t="s">
        <v>4278</v>
      </c>
    </row>
    <row r="498" spans="1:30" ht="187.2" x14ac:dyDescent="0.3">
      <c r="A498" s="1" t="s">
        <v>202</v>
      </c>
      <c r="B498" s="1" t="s">
        <v>4520</v>
      </c>
      <c r="C498" s="1" t="s">
        <v>2610</v>
      </c>
      <c r="D498" s="1" t="s">
        <v>2627</v>
      </c>
      <c r="E498" s="1" t="s">
        <v>82</v>
      </c>
      <c r="F498" s="1" t="s">
        <v>2629</v>
      </c>
      <c r="G498" s="1" t="s">
        <v>2630</v>
      </c>
      <c r="H498" s="1" t="s">
        <v>2631</v>
      </c>
      <c r="I498" s="1"/>
      <c r="J498" s="1" t="s">
        <v>2631</v>
      </c>
      <c r="K498" s="1"/>
      <c r="L498" s="7"/>
      <c r="M498" s="7" t="s">
        <v>125</v>
      </c>
      <c r="N498" s="7" t="s">
        <v>90</v>
      </c>
      <c r="O498" s="10"/>
      <c r="P498" s="10"/>
      <c r="Q498" s="7"/>
      <c r="R498" s="7"/>
      <c r="S498" s="7" t="s">
        <v>124</v>
      </c>
      <c r="T498" s="10"/>
      <c r="U498" s="11" t="s">
        <v>4279</v>
      </c>
      <c r="V498" s="11" t="s">
        <v>93</v>
      </c>
      <c r="W498" s="11">
        <v>0</v>
      </c>
      <c r="X498" s="11" t="s">
        <v>93</v>
      </c>
      <c r="Y498" s="11"/>
      <c r="Z498" s="12"/>
      <c r="AA498" s="11"/>
      <c r="AB498" s="11"/>
      <c r="AC498" s="1" t="s">
        <v>4280</v>
      </c>
      <c r="AD498" s="1" t="s">
        <v>4281</v>
      </c>
    </row>
    <row r="499" spans="1:30" ht="187.2" x14ac:dyDescent="0.3">
      <c r="A499" s="1" t="s">
        <v>202</v>
      </c>
      <c r="B499" s="1" t="s">
        <v>4520</v>
      </c>
      <c r="C499" s="1" t="s">
        <v>2610</v>
      </c>
      <c r="D499" s="1" t="s">
        <v>2632</v>
      </c>
      <c r="E499" s="1" t="s">
        <v>82</v>
      </c>
      <c r="F499" s="1" t="s">
        <v>428</v>
      </c>
      <c r="G499" s="1" t="s">
        <v>1364</v>
      </c>
      <c r="H499" s="1" t="s">
        <v>2634</v>
      </c>
      <c r="I499" s="1"/>
      <c r="J499" s="1" t="s">
        <v>2634</v>
      </c>
      <c r="K499" s="1" t="s">
        <v>2635</v>
      </c>
      <c r="L499" s="7"/>
      <c r="M499" s="7" t="s">
        <v>125</v>
      </c>
      <c r="N499" s="7" t="s">
        <v>90</v>
      </c>
      <c r="O499" s="10"/>
      <c r="P499" s="10"/>
      <c r="Q499" s="7"/>
      <c r="R499" s="7"/>
      <c r="S499" s="7" t="s">
        <v>124</v>
      </c>
      <c r="T499" s="10"/>
      <c r="U499" s="11" t="s">
        <v>4282</v>
      </c>
      <c r="V499" s="11" t="s">
        <v>93</v>
      </c>
      <c r="W499" s="11">
        <v>0</v>
      </c>
      <c r="X499" s="11" t="s">
        <v>93</v>
      </c>
      <c r="Y499" s="11"/>
      <c r="Z499" s="12"/>
      <c r="AA499" s="11"/>
      <c r="AB499" s="11"/>
      <c r="AC499" s="1" t="s">
        <v>4283</v>
      </c>
      <c r="AD499" s="1" t="s">
        <v>4284</v>
      </c>
    </row>
    <row r="500" spans="1:30" ht="187.2" x14ac:dyDescent="0.3">
      <c r="A500" s="1" t="s">
        <v>202</v>
      </c>
      <c r="B500" s="1" t="s">
        <v>4520</v>
      </c>
      <c r="C500" s="1" t="s">
        <v>2610</v>
      </c>
      <c r="D500" s="1" t="s">
        <v>2636</v>
      </c>
      <c r="E500" s="1" t="s">
        <v>82</v>
      </c>
      <c r="F500" s="1" t="s">
        <v>630</v>
      </c>
      <c r="G500" s="1" t="s">
        <v>2638</v>
      </c>
      <c r="H500" s="1" t="s">
        <v>2639</v>
      </c>
      <c r="I500" s="1"/>
      <c r="J500" s="1" t="s">
        <v>2639</v>
      </c>
      <c r="K500" s="1"/>
      <c r="L500" s="7"/>
      <c r="M500" s="7" t="s">
        <v>125</v>
      </c>
      <c r="N500" s="7" t="s">
        <v>90</v>
      </c>
      <c r="O500" s="10"/>
      <c r="P500" s="10"/>
      <c r="Q500" s="7"/>
      <c r="R500" s="7"/>
      <c r="S500" s="7" t="s">
        <v>124</v>
      </c>
      <c r="T500" s="10"/>
      <c r="U500" s="11" t="s">
        <v>4285</v>
      </c>
      <c r="V500" s="11" t="s">
        <v>93</v>
      </c>
      <c r="W500" s="11">
        <v>0</v>
      </c>
      <c r="X500" s="11" t="s">
        <v>93</v>
      </c>
      <c r="Y500" s="11"/>
      <c r="Z500" s="12"/>
      <c r="AA500" s="11"/>
      <c r="AB500" s="11"/>
      <c r="AC500" s="1" t="s">
        <v>4286</v>
      </c>
      <c r="AD500" s="1" t="s">
        <v>4287</v>
      </c>
    </row>
    <row r="501" spans="1:30" ht="187.2" x14ac:dyDescent="0.3">
      <c r="A501" s="1" t="s">
        <v>202</v>
      </c>
      <c r="B501" s="1" t="s">
        <v>4520</v>
      </c>
      <c r="C501" s="1" t="s">
        <v>2610</v>
      </c>
      <c r="D501" s="1" t="s">
        <v>2640</v>
      </c>
      <c r="E501" s="1" t="s">
        <v>82</v>
      </c>
      <c r="F501" s="1" t="s">
        <v>264</v>
      </c>
      <c r="G501" s="1" t="s">
        <v>2642</v>
      </c>
      <c r="H501" s="1" t="s">
        <v>2643</v>
      </c>
      <c r="I501" s="1" t="s">
        <v>2644</v>
      </c>
      <c r="J501" s="1" t="s">
        <v>2643</v>
      </c>
      <c r="K501" s="1" t="s">
        <v>2645</v>
      </c>
      <c r="L501" s="7"/>
      <c r="M501" s="7" t="s">
        <v>125</v>
      </c>
      <c r="N501" s="7" t="s">
        <v>90</v>
      </c>
      <c r="O501" s="10"/>
      <c r="P501" s="10"/>
      <c r="Q501" s="7"/>
      <c r="R501" s="7"/>
      <c r="S501" s="7" t="s">
        <v>124</v>
      </c>
      <c r="T501" s="10"/>
      <c r="U501" s="11" t="s">
        <v>4288</v>
      </c>
      <c r="V501" s="11" t="s">
        <v>93</v>
      </c>
      <c r="W501" s="11">
        <v>0</v>
      </c>
      <c r="X501" s="11" t="s">
        <v>93</v>
      </c>
      <c r="Y501" s="11"/>
      <c r="Z501" s="12"/>
      <c r="AA501" s="11"/>
      <c r="AB501" s="11"/>
      <c r="AC501" s="1" t="s">
        <v>4289</v>
      </c>
      <c r="AD501" s="1" t="s">
        <v>4290</v>
      </c>
    </row>
    <row r="502" spans="1:30" ht="187.2" x14ac:dyDescent="0.3">
      <c r="A502" s="1" t="s">
        <v>202</v>
      </c>
      <c r="B502" s="1" t="s">
        <v>4520</v>
      </c>
      <c r="C502" s="1" t="s">
        <v>2610</v>
      </c>
      <c r="D502" s="1" t="s">
        <v>2646</v>
      </c>
      <c r="E502" s="1" t="s">
        <v>82</v>
      </c>
      <c r="F502" s="1" t="s">
        <v>264</v>
      </c>
      <c r="G502" s="1" t="s">
        <v>2648</v>
      </c>
      <c r="H502" s="1" t="s">
        <v>2649</v>
      </c>
      <c r="I502" s="1"/>
      <c r="J502" s="1" t="s">
        <v>2649</v>
      </c>
      <c r="K502" s="1"/>
      <c r="L502" s="7"/>
      <c r="M502" s="7" t="s">
        <v>125</v>
      </c>
      <c r="N502" s="7" t="s">
        <v>90</v>
      </c>
      <c r="O502" s="10"/>
      <c r="P502" s="10"/>
      <c r="Q502" s="7"/>
      <c r="R502" s="7"/>
      <c r="S502" s="7" t="s">
        <v>124</v>
      </c>
      <c r="T502" s="10"/>
      <c r="U502" s="11" t="s">
        <v>4291</v>
      </c>
      <c r="V502" s="11" t="s">
        <v>93</v>
      </c>
      <c r="W502" s="11">
        <v>0</v>
      </c>
      <c r="X502" s="11" t="s">
        <v>93</v>
      </c>
      <c r="Y502" s="11"/>
      <c r="Z502" s="12"/>
      <c r="AA502" s="11"/>
      <c r="AB502" s="11"/>
      <c r="AC502" s="1" t="s">
        <v>4292</v>
      </c>
      <c r="AD502" s="1" t="s">
        <v>4293</v>
      </c>
    </row>
    <row r="503" spans="1:30" ht="187.2" x14ac:dyDescent="0.3">
      <c r="A503" s="1" t="s">
        <v>202</v>
      </c>
      <c r="B503" s="1" t="s">
        <v>4520</v>
      </c>
      <c r="C503" s="1" t="s">
        <v>2610</v>
      </c>
      <c r="D503" s="1" t="s">
        <v>2650</v>
      </c>
      <c r="E503" s="1" t="s">
        <v>82</v>
      </c>
      <c r="F503" s="1" t="s">
        <v>2652</v>
      </c>
      <c r="G503" s="1" t="s">
        <v>939</v>
      </c>
      <c r="H503" s="1" t="s">
        <v>2653</v>
      </c>
      <c r="I503" s="1"/>
      <c r="J503" s="1" t="s">
        <v>2653</v>
      </c>
      <c r="K503" s="1"/>
      <c r="L503" s="7"/>
      <c r="M503" s="7" t="s">
        <v>125</v>
      </c>
      <c r="N503" s="7" t="s">
        <v>90</v>
      </c>
      <c r="O503" s="10"/>
      <c r="P503" s="10"/>
      <c r="Q503" s="7"/>
      <c r="R503" s="7"/>
      <c r="S503" s="7" t="s">
        <v>124</v>
      </c>
      <c r="T503" s="10"/>
      <c r="U503" s="11" t="s">
        <v>4294</v>
      </c>
      <c r="V503" s="11" t="s">
        <v>93</v>
      </c>
      <c r="W503" s="11">
        <v>0</v>
      </c>
      <c r="X503" s="11" t="s">
        <v>93</v>
      </c>
      <c r="Y503" s="11"/>
      <c r="Z503" s="12"/>
      <c r="AA503" s="11"/>
      <c r="AB503" s="11"/>
      <c r="AC503" s="1" t="s">
        <v>4295</v>
      </c>
      <c r="AD503" s="1" t="s">
        <v>4296</v>
      </c>
    </row>
    <row r="504" spans="1:30" ht="187.2" x14ac:dyDescent="0.3">
      <c r="A504" s="1" t="s">
        <v>202</v>
      </c>
      <c r="B504" s="1" t="s">
        <v>4520</v>
      </c>
      <c r="C504" s="1" t="s">
        <v>2610</v>
      </c>
      <c r="D504" s="1" t="s">
        <v>2654</v>
      </c>
      <c r="E504" s="1" t="s">
        <v>82</v>
      </c>
      <c r="F504" s="1" t="s">
        <v>2656</v>
      </c>
      <c r="G504" s="1" t="s">
        <v>2657</v>
      </c>
      <c r="H504" s="1" t="s">
        <v>2658</v>
      </c>
      <c r="I504" s="1"/>
      <c r="J504" s="1" t="s">
        <v>2658</v>
      </c>
      <c r="K504" s="1"/>
      <c r="L504" s="7"/>
      <c r="M504" s="7" t="s">
        <v>125</v>
      </c>
      <c r="N504" s="7" t="s">
        <v>90</v>
      </c>
      <c r="O504" s="10"/>
      <c r="P504" s="10"/>
      <c r="Q504" s="7"/>
      <c r="R504" s="7"/>
      <c r="S504" s="7" t="s">
        <v>124</v>
      </c>
      <c r="T504" s="10"/>
      <c r="U504" s="11" t="s">
        <v>4297</v>
      </c>
      <c r="V504" s="11" t="s">
        <v>93</v>
      </c>
      <c r="W504" s="11">
        <v>0</v>
      </c>
      <c r="X504" s="11" t="s">
        <v>93</v>
      </c>
      <c r="Y504" s="11"/>
      <c r="Z504" s="12"/>
      <c r="AA504" s="11"/>
      <c r="AB504" s="11"/>
      <c r="AC504" s="1" t="s">
        <v>4298</v>
      </c>
      <c r="AD504" s="1" t="s">
        <v>4299</v>
      </c>
    </row>
    <row r="505" spans="1:30" ht="187.2" x14ac:dyDescent="0.3">
      <c r="A505" s="1" t="s">
        <v>202</v>
      </c>
      <c r="B505" s="1" t="s">
        <v>4520</v>
      </c>
      <c r="C505" s="1" t="s">
        <v>2610</v>
      </c>
      <c r="D505" s="1" t="s">
        <v>2659</v>
      </c>
      <c r="E505" s="1" t="s">
        <v>82</v>
      </c>
      <c r="F505" s="1" t="s">
        <v>2661</v>
      </c>
      <c r="G505" s="1" t="s">
        <v>2662</v>
      </c>
      <c r="H505" s="1" t="s">
        <v>2663</v>
      </c>
      <c r="I505" s="1"/>
      <c r="J505" s="1" t="s">
        <v>2663</v>
      </c>
      <c r="K505" s="1"/>
      <c r="L505" s="7"/>
      <c r="M505" s="7" t="s">
        <v>125</v>
      </c>
      <c r="N505" s="7" t="s">
        <v>90</v>
      </c>
      <c r="O505" s="10"/>
      <c r="P505" s="10"/>
      <c r="Q505" s="7"/>
      <c r="R505" s="7"/>
      <c r="S505" s="7" t="s">
        <v>124</v>
      </c>
      <c r="T505" s="10"/>
      <c r="U505" s="11" t="s">
        <v>4300</v>
      </c>
      <c r="V505" s="11" t="s">
        <v>93</v>
      </c>
      <c r="W505" s="11">
        <v>0</v>
      </c>
      <c r="X505" s="11" t="s">
        <v>93</v>
      </c>
      <c r="Y505" s="11"/>
      <c r="Z505" s="12"/>
      <c r="AA505" s="11"/>
      <c r="AB505" s="11"/>
      <c r="AC505" s="1" t="s">
        <v>4301</v>
      </c>
      <c r="AD505" s="1" t="s">
        <v>4302</v>
      </c>
    </row>
    <row r="506" spans="1:30" ht="187.2" x14ac:dyDescent="0.3">
      <c r="A506" s="1" t="s">
        <v>202</v>
      </c>
      <c r="B506" s="1" t="s">
        <v>4520</v>
      </c>
      <c r="C506" s="1" t="s">
        <v>2610</v>
      </c>
      <c r="D506" s="1" t="s">
        <v>2664</v>
      </c>
      <c r="E506" s="1" t="s">
        <v>82</v>
      </c>
      <c r="F506" s="1" t="s">
        <v>272</v>
      </c>
      <c r="G506" s="1" t="s">
        <v>2666</v>
      </c>
      <c r="H506" s="1" t="s">
        <v>2667</v>
      </c>
      <c r="I506" s="1"/>
      <c r="J506" s="1" t="s">
        <v>2667</v>
      </c>
      <c r="K506" s="1"/>
      <c r="L506" s="7"/>
      <c r="M506" s="7" t="s">
        <v>125</v>
      </c>
      <c r="N506" s="7" t="s">
        <v>90</v>
      </c>
      <c r="O506" s="10"/>
      <c r="P506" s="10"/>
      <c r="Q506" s="7"/>
      <c r="R506" s="7"/>
      <c r="S506" s="7" t="s">
        <v>124</v>
      </c>
      <c r="T506" s="10"/>
      <c r="U506" s="11" t="s">
        <v>4303</v>
      </c>
      <c r="V506" s="11" t="s">
        <v>93</v>
      </c>
      <c r="W506" s="11">
        <v>0</v>
      </c>
      <c r="X506" s="11" t="s">
        <v>93</v>
      </c>
      <c r="Y506" s="11"/>
      <c r="Z506" s="12"/>
      <c r="AA506" s="11"/>
      <c r="AB506" s="11"/>
      <c r="AC506" s="1" t="s">
        <v>4304</v>
      </c>
      <c r="AD506" s="1" t="s">
        <v>4305</v>
      </c>
    </row>
    <row r="507" spans="1:30" ht="187.2" x14ac:dyDescent="0.3">
      <c r="A507" s="1" t="s">
        <v>202</v>
      </c>
      <c r="B507" s="1" t="s">
        <v>4520</v>
      </c>
      <c r="C507" s="1" t="s">
        <v>2610</v>
      </c>
      <c r="D507" s="1" t="s">
        <v>2668</v>
      </c>
      <c r="E507" s="1" t="s">
        <v>82</v>
      </c>
      <c r="F507" s="1" t="s">
        <v>2670</v>
      </c>
      <c r="G507" s="1" t="s">
        <v>2671</v>
      </c>
      <c r="H507" s="1"/>
      <c r="I507" s="1"/>
      <c r="J507" s="1"/>
      <c r="K507" s="1"/>
      <c r="L507" s="7"/>
      <c r="M507" s="7" t="s">
        <v>125</v>
      </c>
      <c r="N507" s="7" t="s">
        <v>90</v>
      </c>
      <c r="O507" s="10"/>
      <c r="P507" s="10"/>
      <c r="Q507" s="7"/>
      <c r="R507" s="7"/>
      <c r="S507" s="7" t="s">
        <v>124</v>
      </c>
      <c r="T507" s="10"/>
      <c r="U507" s="11" t="s">
        <v>4306</v>
      </c>
      <c r="V507" s="11" t="s">
        <v>93</v>
      </c>
      <c r="W507" s="11">
        <v>0</v>
      </c>
      <c r="X507" s="11" t="s">
        <v>93</v>
      </c>
      <c r="Y507" s="11"/>
      <c r="Z507" s="12"/>
      <c r="AA507" s="11"/>
      <c r="AB507" s="11"/>
      <c r="AC507" s="1" t="s">
        <v>4307</v>
      </c>
      <c r="AD507" s="1" t="s">
        <v>4308</v>
      </c>
    </row>
    <row r="508" spans="1:30" ht="187.2" x14ac:dyDescent="0.3">
      <c r="A508" s="1" t="s">
        <v>202</v>
      </c>
      <c r="B508" s="1" t="s">
        <v>4520</v>
      </c>
      <c r="C508" s="1" t="s">
        <v>2610</v>
      </c>
      <c r="D508" s="1" t="s">
        <v>2672</v>
      </c>
      <c r="E508" s="1" t="s">
        <v>82</v>
      </c>
      <c r="F508" s="1" t="s">
        <v>850</v>
      </c>
      <c r="G508" s="1" t="s">
        <v>2674</v>
      </c>
      <c r="H508" s="1" t="s">
        <v>2675</v>
      </c>
      <c r="I508" s="1"/>
      <c r="J508" s="1" t="s">
        <v>2675</v>
      </c>
      <c r="K508" s="1"/>
      <c r="L508" s="7"/>
      <c r="M508" s="7" t="s">
        <v>125</v>
      </c>
      <c r="N508" s="7" t="s">
        <v>90</v>
      </c>
      <c r="O508" s="10"/>
      <c r="P508" s="10"/>
      <c r="Q508" s="7"/>
      <c r="R508" s="7"/>
      <c r="S508" s="7" t="s">
        <v>124</v>
      </c>
      <c r="T508" s="10"/>
      <c r="U508" s="11" t="s">
        <v>4309</v>
      </c>
      <c r="V508" s="11" t="s">
        <v>93</v>
      </c>
      <c r="W508" s="11">
        <v>0</v>
      </c>
      <c r="X508" s="11" t="s">
        <v>93</v>
      </c>
      <c r="Y508" s="11"/>
      <c r="Z508" s="12"/>
      <c r="AA508" s="11"/>
      <c r="AB508" s="11"/>
      <c r="AC508" s="1" t="s">
        <v>4310</v>
      </c>
      <c r="AD508" s="1" t="s">
        <v>4311</v>
      </c>
    </row>
    <row r="509" spans="1:30" ht="187.2" x14ac:dyDescent="0.3">
      <c r="A509" s="1" t="s">
        <v>202</v>
      </c>
      <c r="B509" s="1" t="s">
        <v>4520</v>
      </c>
      <c r="C509" s="1" t="s">
        <v>2610</v>
      </c>
      <c r="D509" s="1" t="s">
        <v>2676</v>
      </c>
      <c r="E509" s="1" t="s">
        <v>82</v>
      </c>
      <c r="F509" s="1" t="s">
        <v>2678</v>
      </c>
      <c r="G509" s="1" t="s">
        <v>2679</v>
      </c>
      <c r="H509" s="1" t="s">
        <v>2680</v>
      </c>
      <c r="I509" s="1"/>
      <c r="J509" s="1" t="s">
        <v>2680</v>
      </c>
      <c r="K509" s="1"/>
      <c r="L509" s="7"/>
      <c r="M509" s="7" t="s">
        <v>125</v>
      </c>
      <c r="N509" s="7" t="s">
        <v>90</v>
      </c>
      <c r="O509" s="10"/>
      <c r="P509" s="10"/>
      <c r="Q509" s="7"/>
      <c r="R509" s="7"/>
      <c r="S509" s="7" t="s">
        <v>124</v>
      </c>
      <c r="T509" s="10"/>
      <c r="U509" s="11" t="s">
        <v>4312</v>
      </c>
      <c r="V509" s="11" t="s">
        <v>93</v>
      </c>
      <c r="W509" s="11">
        <v>0</v>
      </c>
      <c r="X509" s="11" t="s">
        <v>93</v>
      </c>
      <c r="Y509" s="11"/>
      <c r="Z509" s="12"/>
      <c r="AA509" s="11"/>
      <c r="AB509" s="11"/>
      <c r="AC509" s="1" t="s">
        <v>4313</v>
      </c>
      <c r="AD509" s="1" t="s">
        <v>4314</v>
      </c>
    </row>
    <row r="510" spans="1:30" ht="187.2" x14ac:dyDescent="0.3">
      <c r="A510" s="1" t="s">
        <v>202</v>
      </c>
      <c r="B510" s="1" t="s">
        <v>4520</v>
      </c>
      <c r="C510" s="1" t="s">
        <v>2610</v>
      </c>
      <c r="D510" s="1" t="s">
        <v>2681</v>
      </c>
      <c r="E510" s="1" t="s">
        <v>82</v>
      </c>
      <c r="F510" s="1" t="s">
        <v>2683</v>
      </c>
      <c r="G510" s="1" t="s">
        <v>2684</v>
      </c>
      <c r="H510" s="1"/>
      <c r="I510" s="1"/>
      <c r="J510" s="1"/>
      <c r="K510" s="1"/>
      <c r="L510" s="7"/>
      <c r="M510" s="7" t="s">
        <v>125</v>
      </c>
      <c r="N510" s="7" t="s">
        <v>90</v>
      </c>
      <c r="O510" s="10"/>
      <c r="P510" s="10"/>
      <c r="Q510" s="7"/>
      <c r="R510" s="7"/>
      <c r="S510" s="7" t="s">
        <v>124</v>
      </c>
      <c r="T510" s="10"/>
      <c r="U510" s="11" t="s">
        <v>4315</v>
      </c>
      <c r="V510" s="11" t="s">
        <v>93</v>
      </c>
      <c r="W510" s="11">
        <v>0</v>
      </c>
      <c r="X510" s="11" t="s">
        <v>93</v>
      </c>
      <c r="Y510" s="11"/>
      <c r="Z510" s="12"/>
      <c r="AA510" s="11"/>
      <c r="AB510" s="11"/>
      <c r="AC510" s="1" t="s">
        <v>4316</v>
      </c>
      <c r="AD510" s="1" t="s">
        <v>4317</v>
      </c>
    </row>
    <row r="511" spans="1:30" ht="187.2" x14ac:dyDescent="0.3">
      <c r="A511" s="1" t="s">
        <v>202</v>
      </c>
      <c r="B511" s="1" t="s">
        <v>4520</v>
      </c>
      <c r="C511" s="1" t="s">
        <v>2610</v>
      </c>
      <c r="D511" s="1" t="s">
        <v>2685</v>
      </c>
      <c r="E511" s="1" t="s">
        <v>82</v>
      </c>
      <c r="F511" s="1" t="s">
        <v>2687</v>
      </c>
      <c r="G511" s="1" t="s">
        <v>2688</v>
      </c>
      <c r="H511" s="1" t="s">
        <v>2689</v>
      </c>
      <c r="I511" s="1"/>
      <c r="J511" s="1" t="s">
        <v>2689</v>
      </c>
      <c r="K511" s="1"/>
      <c r="L511" s="7"/>
      <c r="M511" s="7" t="s">
        <v>125</v>
      </c>
      <c r="N511" s="7" t="s">
        <v>90</v>
      </c>
      <c r="O511" s="10"/>
      <c r="P511" s="10"/>
      <c r="Q511" s="7"/>
      <c r="R511" s="7"/>
      <c r="S511" s="7" t="s">
        <v>124</v>
      </c>
      <c r="T511" s="10"/>
      <c r="U511" s="11" t="s">
        <v>4318</v>
      </c>
      <c r="V511" s="11" t="s">
        <v>93</v>
      </c>
      <c r="W511" s="11">
        <v>0</v>
      </c>
      <c r="X511" s="11" t="s">
        <v>93</v>
      </c>
      <c r="Y511" s="11"/>
      <c r="Z511" s="12"/>
      <c r="AA511" s="11"/>
      <c r="AB511" s="11"/>
      <c r="AC511" s="1" t="s">
        <v>4319</v>
      </c>
      <c r="AD511" s="1" t="s">
        <v>4320</v>
      </c>
    </row>
    <row r="512" spans="1:30" ht="187.2" x14ac:dyDescent="0.3">
      <c r="A512" s="1" t="s">
        <v>202</v>
      </c>
      <c r="B512" s="1" t="s">
        <v>4520</v>
      </c>
      <c r="C512" s="1" t="s">
        <v>2610</v>
      </c>
      <c r="D512" s="1" t="s">
        <v>2690</v>
      </c>
      <c r="E512" s="1" t="s">
        <v>82</v>
      </c>
      <c r="F512" s="1" t="s">
        <v>2692</v>
      </c>
      <c r="G512" s="1" t="s">
        <v>2693</v>
      </c>
      <c r="H512" s="1" t="s">
        <v>2694</v>
      </c>
      <c r="I512" s="1"/>
      <c r="J512" s="1" t="s">
        <v>2694</v>
      </c>
      <c r="K512" s="1"/>
      <c r="L512" s="7"/>
      <c r="M512" s="7" t="s">
        <v>125</v>
      </c>
      <c r="N512" s="7" t="s">
        <v>90</v>
      </c>
      <c r="O512" s="10"/>
      <c r="P512" s="10"/>
      <c r="Q512" s="7"/>
      <c r="R512" s="7"/>
      <c r="S512" s="7" t="s">
        <v>124</v>
      </c>
      <c r="T512" s="10"/>
      <c r="U512" s="11" t="s">
        <v>4321</v>
      </c>
      <c r="V512" s="11" t="s">
        <v>93</v>
      </c>
      <c r="W512" s="11">
        <v>0</v>
      </c>
      <c r="X512" s="11" t="s">
        <v>93</v>
      </c>
      <c r="Y512" s="11"/>
      <c r="Z512" s="12"/>
      <c r="AA512" s="11"/>
      <c r="AB512" s="11"/>
      <c r="AC512" s="1" t="s">
        <v>4322</v>
      </c>
      <c r="AD512" s="1" t="s">
        <v>4323</v>
      </c>
    </row>
    <row r="513" spans="1:30" ht="187.2" x14ac:dyDescent="0.3">
      <c r="A513" s="1" t="s">
        <v>202</v>
      </c>
      <c r="B513" s="1" t="s">
        <v>4520</v>
      </c>
      <c r="C513" s="1" t="s">
        <v>2610</v>
      </c>
      <c r="D513" s="1" t="s">
        <v>2695</v>
      </c>
      <c r="E513" s="1" t="s">
        <v>82</v>
      </c>
      <c r="F513" s="1" t="s">
        <v>2697</v>
      </c>
      <c r="G513" s="1" t="s">
        <v>2698</v>
      </c>
      <c r="H513" s="1"/>
      <c r="I513" s="1"/>
      <c r="J513" s="1"/>
      <c r="K513" s="1"/>
      <c r="L513" s="7"/>
      <c r="M513" s="7" t="s">
        <v>125</v>
      </c>
      <c r="N513" s="7" t="s">
        <v>90</v>
      </c>
      <c r="O513" s="10"/>
      <c r="P513" s="10"/>
      <c r="Q513" s="7"/>
      <c r="R513" s="7"/>
      <c r="S513" s="7" t="s">
        <v>124</v>
      </c>
      <c r="T513" s="10"/>
      <c r="U513" s="11" t="s">
        <v>4324</v>
      </c>
      <c r="V513" s="11" t="s">
        <v>93</v>
      </c>
      <c r="W513" s="11">
        <v>0</v>
      </c>
      <c r="X513" s="11" t="s">
        <v>93</v>
      </c>
      <c r="Y513" s="11"/>
      <c r="Z513" s="12"/>
      <c r="AA513" s="11"/>
      <c r="AB513" s="11"/>
      <c r="AC513" s="1" t="s">
        <v>4325</v>
      </c>
      <c r="AD513" s="1" t="s">
        <v>4326</v>
      </c>
    </row>
    <row r="514" spans="1:30" ht="187.2" x14ac:dyDescent="0.3">
      <c r="A514" s="1" t="s">
        <v>202</v>
      </c>
      <c r="B514" s="1" t="s">
        <v>4520</v>
      </c>
      <c r="C514" s="1" t="s">
        <v>2610</v>
      </c>
      <c r="D514" s="1" t="s">
        <v>2699</v>
      </c>
      <c r="E514" s="1" t="s">
        <v>82</v>
      </c>
      <c r="F514" s="1" t="s">
        <v>2701</v>
      </c>
      <c r="G514" s="1" t="s">
        <v>2702</v>
      </c>
      <c r="H514" s="1" t="s">
        <v>2703</v>
      </c>
      <c r="I514" s="1" t="s">
        <v>2704</v>
      </c>
      <c r="J514" s="1" t="s">
        <v>2703</v>
      </c>
      <c r="K514" s="1"/>
      <c r="L514" s="7"/>
      <c r="M514" s="7" t="s">
        <v>125</v>
      </c>
      <c r="N514" s="7" t="s">
        <v>90</v>
      </c>
      <c r="O514" s="10"/>
      <c r="P514" s="10"/>
      <c r="Q514" s="7"/>
      <c r="R514" s="7"/>
      <c r="S514" s="7" t="s">
        <v>124</v>
      </c>
      <c r="T514" s="10"/>
      <c r="U514" s="11" t="s">
        <v>4327</v>
      </c>
      <c r="V514" s="11" t="s">
        <v>93</v>
      </c>
      <c r="W514" s="11">
        <v>0</v>
      </c>
      <c r="X514" s="11" t="s">
        <v>93</v>
      </c>
      <c r="Y514" s="11"/>
      <c r="Z514" s="12"/>
      <c r="AA514" s="11"/>
      <c r="AB514" s="11"/>
      <c r="AC514" s="1" t="s">
        <v>4328</v>
      </c>
      <c r="AD514" s="1" t="s">
        <v>4329</v>
      </c>
    </row>
    <row r="515" spans="1:30" ht="187.2" x14ac:dyDescent="0.3">
      <c r="A515" s="1" t="s">
        <v>262</v>
      </c>
      <c r="B515" s="1" t="s">
        <v>4517</v>
      </c>
      <c r="C515" s="1" t="s">
        <v>2705</v>
      </c>
      <c r="D515" s="1" t="s">
        <v>2706</v>
      </c>
      <c r="E515" s="1" t="s">
        <v>2707</v>
      </c>
      <c r="F515" s="1" t="s">
        <v>2709</v>
      </c>
      <c r="G515" s="1" t="s">
        <v>2710</v>
      </c>
      <c r="H515" s="1" t="s">
        <v>2711</v>
      </c>
      <c r="I515" s="1"/>
      <c r="J515" s="1" t="s">
        <v>2711</v>
      </c>
      <c r="K515" s="1"/>
      <c r="L515" s="7"/>
      <c r="M515" s="7" t="s">
        <v>125</v>
      </c>
      <c r="N515" s="7" t="s">
        <v>90</v>
      </c>
      <c r="O515" s="10"/>
      <c r="P515" s="10"/>
      <c r="Q515" s="7"/>
      <c r="R515" s="7"/>
      <c r="S515" s="7" t="s">
        <v>124</v>
      </c>
      <c r="T515" s="10"/>
      <c r="U515" s="11" t="s">
        <v>4330</v>
      </c>
      <c r="V515" s="11" t="s">
        <v>93</v>
      </c>
      <c r="W515" s="11">
        <v>0</v>
      </c>
      <c r="X515" s="11" t="s">
        <v>93</v>
      </c>
      <c r="Y515" s="11"/>
      <c r="Z515" s="12"/>
      <c r="AA515" s="11"/>
      <c r="AB515" s="11"/>
      <c r="AC515" s="1" t="s">
        <v>4331</v>
      </c>
      <c r="AD515" s="1" t="s">
        <v>4332</v>
      </c>
    </row>
    <row r="516" spans="1:30" ht="187.2" x14ac:dyDescent="0.3">
      <c r="A516" s="1" t="s">
        <v>262</v>
      </c>
      <c r="B516" s="1" t="s">
        <v>4517</v>
      </c>
      <c r="C516" s="1" t="s">
        <v>2705</v>
      </c>
      <c r="D516" s="1" t="s">
        <v>2712</v>
      </c>
      <c r="E516" s="1" t="s">
        <v>2707</v>
      </c>
      <c r="F516" s="1" t="s">
        <v>965</v>
      </c>
      <c r="G516" s="1" t="s">
        <v>2714</v>
      </c>
      <c r="H516" s="1" t="s">
        <v>2715</v>
      </c>
      <c r="I516" s="1"/>
      <c r="J516" s="1" t="s">
        <v>2715</v>
      </c>
      <c r="K516" s="1"/>
      <c r="L516" s="7"/>
      <c r="M516" s="7" t="s">
        <v>125</v>
      </c>
      <c r="N516" s="7" t="s">
        <v>90</v>
      </c>
      <c r="O516" s="10"/>
      <c r="P516" s="10"/>
      <c r="Q516" s="7"/>
      <c r="R516" s="7"/>
      <c r="S516" s="7" t="s">
        <v>124</v>
      </c>
      <c r="T516" s="10"/>
      <c r="U516" s="11" t="s">
        <v>4333</v>
      </c>
      <c r="V516" s="11" t="s">
        <v>93</v>
      </c>
      <c r="W516" s="11">
        <v>0</v>
      </c>
      <c r="X516" s="11" t="s">
        <v>93</v>
      </c>
      <c r="Y516" s="11"/>
      <c r="Z516" s="12"/>
      <c r="AA516" s="11"/>
      <c r="AB516" s="11"/>
      <c r="AC516" s="1" t="s">
        <v>4334</v>
      </c>
      <c r="AD516" s="1" t="s">
        <v>4335</v>
      </c>
    </row>
    <row r="517" spans="1:30" ht="187.2" x14ac:dyDescent="0.3">
      <c r="A517" s="1" t="s">
        <v>262</v>
      </c>
      <c r="B517" s="1" t="s">
        <v>4517</v>
      </c>
      <c r="C517" s="1" t="s">
        <v>2705</v>
      </c>
      <c r="D517" s="1" t="s">
        <v>2716</v>
      </c>
      <c r="E517" s="1" t="s">
        <v>2707</v>
      </c>
      <c r="F517" s="1" t="s">
        <v>2718</v>
      </c>
      <c r="G517" s="1" t="s">
        <v>2719</v>
      </c>
      <c r="H517" s="1" t="s">
        <v>2720</v>
      </c>
      <c r="I517" s="1"/>
      <c r="J517" s="1" t="s">
        <v>2720</v>
      </c>
      <c r="K517" s="1"/>
      <c r="L517" s="7"/>
      <c r="M517" s="7" t="s">
        <v>125</v>
      </c>
      <c r="N517" s="7" t="s">
        <v>90</v>
      </c>
      <c r="O517" s="10"/>
      <c r="P517" s="10"/>
      <c r="Q517" s="7"/>
      <c r="R517" s="7"/>
      <c r="S517" s="7" t="s">
        <v>124</v>
      </c>
      <c r="T517" s="10"/>
      <c r="U517" s="11" t="s">
        <v>4336</v>
      </c>
      <c r="V517" s="11" t="s">
        <v>93</v>
      </c>
      <c r="W517" s="11">
        <v>0</v>
      </c>
      <c r="X517" s="11" t="s">
        <v>93</v>
      </c>
      <c r="Y517" s="11"/>
      <c r="Z517" s="12"/>
      <c r="AA517" s="11"/>
      <c r="AB517" s="11"/>
      <c r="AC517" s="1" t="s">
        <v>4337</v>
      </c>
      <c r="AD517" s="1" t="s">
        <v>4338</v>
      </c>
    </row>
    <row r="518" spans="1:30" ht="187.2" x14ac:dyDescent="0.3">
      <c r="A518" s="1" t="s">
        <v>262</v>
      </c>
      <c r="B518" s="1" t="s">
        <v>4517</v>
      </c>
      <c r="C518" s="1" t="s">
        <v>2705</v>
      </c>
      <c r="D518" s="1" t="s">
        <v>2721</v>
      </c>
      <c r="E518" s="1" t="s">
        <v>2707</v>
      </c>
      <c r="F518" s="1" t="s">
        <v>439</v>
      </c>
      <c r="G518" s="1" t="s">
        <v>2723</v>
      </c>
      <c r="H518" s="1" t="s">
        <v>2724</v>
      </c>
      <c r="I518" s="1"/>
      <c r="J518" s="1" t="s">
        <v>2724</v>
      </c>
      <c r="K518" s="1"/>
      <c r="L518" s="7"/>
      <c r="M518" s="7" t="s">
        <v>125</v>
      </c>
      <c r="N518" s="7" t="s">
        <v>90</v>
      </c>
      <c r="O518" s="10"/>
      <c r="P518" s="10"/>
      <c r="Q518" s="7"/>
      <c r="R518" s="7"/>
      <c r="S518" s="7" t="s">
        <v>124</v>
      </c>
      <c r="T518" s="10"/>
      <c r="U518" s="11" t="s">
        <v>4339</v>
      </c>
      <c r="V518" s="11" t="s">
        <v>93</v>
      </c>
      <c r="W518" s="11">
        <v>0</v>
      </c>
      <c r="X518" s="11" t="s">
        <v>93</v>
      </c>
      <c r="Y518" s="11"/>
      <c r="Z518" s="12"/>
      <c r="AA518" s="11"/>
      <c r="AB518" s="11"/>
      <c r="AC518" s="1" t="s">
        <v>4340</v>
      </c>
      <c r="AD518" s="1" t="s">
        <v>4341</v>
      </c>
    </row>
    <row r="519" spans="1:30" ht="187.2" x14ac:dyDescent="0.3">
      <c r="A519" s="1" t="s">
        <v>262</v>
      </c>
      <c r="B519" s="1" t="s">
        <v>4517</v>
      </c>
      <c r="C519" s="1" t="s">
        <v>2705</v>
      </c>
      <c r="D519" s="1" t="s">
        <v>2725</v>
      </c>
      <c r="E519" s="1" t="s">
        <v>2707</v>
      </c>
      <c r="F519" s="1" t="s">
        <v>2727</v>
      </c>
      <c r="G519" s="1" t="s">
        <v>2728</v>
      </c>
      <c r="H519" s="1" t="s">
        <v>2729</v>
      </c>
      <c r="I519" s="1" t="s">
        <v>2730</v>
      </c>
      <c r="J519" s="1" t="s">
        <v>2729</v>
      </c>
      <c r="K519" s="1" t="s">
        <v>990</v>
      </c>
      <c r="L519" s="7"/>
      <c r="M519" s="7" t="s">
        <v>125</v>
      </c>
      <c r="N519" s="7" t="s">
        <v>90</v>
      </c>
      <c r="O519" s="10"/>
      <c r="P519" s="10"/>
      <c r="Q519" s="7"/>
      <c r="R519" s="7"/>
      <c r="S519" s="7" t="s">
        <v>124</v>
      </c>
      <c r="T519" s="10"/>
      <c r="U519" s="11" t="s">
        <v>4342</v>
      </c>
      <c r="V519" s="11" t="s">
        <v>93</v>
      </c>
      <c r="W519" s="11">
        <v>0</v>
      </c>
      <c r="X519" s="11" t="s">
        <v>93</v>
      </c>
      <c r="Y519" s="11"/>
      <c r="Z519" s="12"/>
      <c r="AA519" s="11"/>
      <c r="AB519" s="11"/>
      <c r="AC519" s="1" t="s">
        <v>4343</v>
      </c>
      <c r="AD519" s="1" t="s">
        <v>4344</v>
      </c>
    </row>
    <row r="520" spans="1:30" ht="187.2" x14ac:dyDescent="0.3">
      <c r="A520" s="1" t="s">
        <v>262</v>
      </c>
      <c r="B520" s="1" t="s">
        <v>4517</v>
      </c>
      <c r="C520" s="1" t="s">
        <v>2705</v>
      </c>
      <c r="D520" s="1" t="s">
        <v>2731</v>
      </c>
      <c r="E520" s="1" t="s">
        <v>2707</v>
      </c>
      <c r="F520" s="1" t="s">
        <v>1661</v>
      </c>
      <c r="G520" s="1" t="s">
        <v>2733</v>
      </c>
      <c r="H520" s="1" t="s">
        <v>2734</v>
      </c>
      <c r="I520" s="1"/>
      <c r="J520" s="1" t="s">
        <v>2734</v>
      </c>
      <c r="K520" s="1"/>
      <c r="L520" s="7"/>
      <c r="M520" s="7" t="s">
        <v>125</v>
      </c>
      <c r="N520" s="7" t="s">
        <v>90</v>
      </c>
      <c r="O520" s="10"/>
      <c r="P520" s="10"/>
      <c r="Q520" s="7"/>
      <c r="R520" s="7"/>
      <c r="S520" s="7" t="s">
        <v>124</v>
      </c>
      <c r="T520" s="10"/>
      <c r="U520" s="11" t="s">
        <v>4345</v>
      </c>
      <c r="V520" s="11" t="s">
        <v>93</v>
      </c>
      <c r="W520" s="11">
        <v>0</v>
      </c>
      <c r="X520" s="11" t="s">
        <v>93</v>
      </c>
      <c r="Y520" s="11"/>
      <c r="Z520" s="12"/>
      <c r="AA520" s="11"/>
      <c r="AB520" s="11"/>
      <c r="AC520" s="1" t="s">
        <v>4346</v>
      </c>
      <c r="AD520" s="1" t="s">
        <v>4347</v>
      </c>
    </row>
    <row r="521" spans="1:30" ht="187.2" x14ac:dyDescent="0.3">
      <c r="A521" s="1" t="s">
        <v>262</v>
      </c>
      <c r="B521" s="1" t="s">
        <v>4517</v>
      </c>
      <c r="C521" s="1" t="s">
        <v>2705</v>
      </c>
      <c r="D521" s="1" t="s">
        <v>2735</v>
      </c>
      <c r="E521" s="1" t="s">
        <v>2707</v>
      </c>
      <c r="F521" s="1" t="s">
        <v>2063</v>
      </c>
      <c r="G521" s="1" t="s">
        <v>2737</v>
      </c>
      <c r="H521" s="1" t="s">
        <v>2738</v>
      </c>
      <c r="I521" s="1"/>
      <c r="J521" s="1" t="s">
        <v>2738</v>
      </c>
      <c r="K521" s="1" t="s">
        <v>462</v>
      </c>
      <c r="L521" s="7"/>
      <c r="M521" s="7" t="s">
        <v>125</v>
      </c>
      <c r="N521" s="7" t="s">
        <v>90</v>
      </c>
      <c r="O521" s="10"/>
      <c r="P521" s="10"/>
      <c r="Q521" s="7"/>
      <c r="R521" s="7"/>
      <c r="S521" s="7" t="s">
        <v>124</v>
      </c>
      <c r="T521" s="10"/>
      <c r="U521" s="11" t="s">
        <v>4348</v>
      </c>
      <c r="V521" s="11" t="s">
        <v>93</v>
      </c>
      <c r="W521" s="11">
        <v>0</v>
      </c>
      <c r="X521" s="11" t="s">
        <v>93</v>
      </c>
      <c r="Y521" s="11"/>
      <c r="Z521" s="12"/>
      <c r="AA521" s="11"/>
      <c r="AB521" s="11"/>
      <c r="AC521" s="1" t="s">
        <v>4349</v>
      </c>
      <c r="AD521" s="1" t="s">
        <v>4350</v>
      </c>
    </row>
    <row r="522" spans="1:30" ht="187.2" x14ac:dyDescent="0.3">
      <c r="A522" s="1" t="s">
        <v>262</v>
      </c>
      <c r="B522" s="1" t="s">
        <v>4517</v>
      </c>
      <c r="C522" s="1" t="s">
        <v>2705</v>
      </c>
      <c r="D522" s="1" t="s">
        <v>2739</v>
      </c>
      <c r="E522" s="1" t="s">
        <v>2707</v>
      </c>
      <c r="F522" s="1" t="s">
        <v>587</v>
      </c>
      <c r="G522" s="1" t="s">
        <v>1484</v>
      </c>
      <c r="H522" s="1" t="s">
        <v>2741</v>
      </c>
      <c r="I522" s="1"/>
      <c r="J522" s="1" t="s">
        <v>2741</v>
      </c>
      <c r="K522" s="1"/>
      <c r="L522" s="7"/>
      <c r="M522" s="7" t="s">
        <v>125</v>
      </c>
      <c r="N522" s="7" t="s">
        <v>90</v>
      </c>
      <c r="O522" s="10"/>
      <c r="P522" s="10"/>
      <c r="Q522" s="7"/>
      <c r="R522" s="7"/>
      <c r="S522" s="7" t="s">
        <v>124</v>
      </c>
      <c r="T522" s="10"/>
      <c r="U522" s="11" t="s">
        <v>4351</v>
      </c>
      <c r="V522" s="11" t="s">
        <v>93</v>
      </c>
      <c r="W522" s="11">
        <v>0</v>
      </c>
      <c r="X522" s="11" t="s">
        <v>93</v>
      </c>
      <c r="Y522" s="11"/>
      <c r="Z522" s="12"/>
      <c r="AA522" s="11"/>
      <c r="AB522" s="11"/>
      <c r="AC522" s="1" t="s">
        <v>4352</v>
      </c>
      <c r="AD522" s="1" t="s">
        <v>4353</v>
      </c>
    </row>
    <row r="523" spans="1:30" ht="187.2" x14ac:dyDescent="0.3">
      <c r="A523" s="1" t="s">
        <v>262</v>
      </c>
      <c r="B523" s="1" t="s">
        <v>4517</v>
      </c>
      <c r="C523" s="1" t="s">
        <v>2705</v>
      </c>
      <c r="D523" s="1" t="s">
        <v>2742</v>
      </c>
      <c r="E523" s="1" t="s">
        <v>2707</v>
      </c>
      <c r="F523" s="1" t="s">
        <v>2744</v>
      </c>
      <c r="G523" s="1" t="s">
        <v>2745</v>
      </c>
      <c r="H523" s="1" t="s">
        <v>2746</v>
      </c>
      <c r="I523" s="1" t="s">
        <v>2747</v>
      </c>
      <c r="J523" s="1" t="s">
        <v>2746</v>
      </c>
      <c r="K523" s="1"/>
      <c r="L523" s="7"/>
      <c r="M523" s="7" t="s">
        <v>125</v>
      </c>
      <c r="N523" s="7" t="s">
        <v>90</v>
      </c>
      <c r="O523" s="10"/>
      <c r="P523" s="10"/>
      <c r="Q523" s="7"/>
      <c r="R523" s="7"/>
      <c r="S523" s="7" t="s">
        <v>124</v>
      </c>
      <c r="T523" s="10"/>
      <c r="U523" s="11" t="s">
        <v>4354</v>
      </c>
      <c r="V523" s="11" t="s">
        <v>93</v>
      </c>
      <c r="W523" s="11">
        <v>0</v>
      </c>
      <c r="X523" s="11" t="s">
        <v>93</v>
      </c>
      <c r="Y523" s="11"/>
      <c r="Z523" s="12"/>
      <c r="AA523" s="11"/>
      <c r="AB523" s="11"/>
      <c r="AC523" s="1" t="s">
        <v>4355</v>
      </c>
      <c r="AD523" s="1" t="s">
        <v>4356</v>
      </c>
    </row>
    <row r="524" spans="1:30" ht="187.2" x14ac:dyDescent="0.3">
      <c r="A524" s="1" t="s">
        <v>262</v>
      </c>
      <c r="B524" s="1" t="s">
        <v>4517</v>
      </c>
      <c r="C524" s="1" t="s">
        <v>2705</v>
      </c>
      <c r="D524" s="1" t="s">
        <v>2748</v>
      </c>
      <c r="E524" s="1" t="s">
        <v>2707</v>
      </c>
      <c r="F524" s="1" t="s">
        <v>1924</v>
      </c>
      <c r="G524" s="1" t="s">
        <v>659</v>
      </c>
      <c r="H524" s="1" t="s">
        <v>2750</v>
      </c>
      <c r="I524" s="1"/>
      <c r="J524" s="1" t="s">
        <v>2750</v>
      </c>
      <c r="K524" s="1" t="s">
        <v>2751</v>
      </c>
      <c r="L524" s="7"/>
      <c r="M524" s="7" t="s">
        <v>125</v>
      </c>
      <c r="N524" s="7" t="s">
        <v>90</v>
      </c>
      <c r="O524" s="10"/>
      <c r="P524" s="10"/>
      <c r="Q524" s="7"/>
      <c r="R524" s="7"/>
      <c r="S524" s="7" t="s">
        <v>124</v>
      </c>
      <c r="T524" s="10"/>
      <c r="U524" s="11" t="s">
        <v>4357</v>
      </c>
      <c r="V524" s="11" t="s">
        <v>93</v>
      </c>
      <c r="W524" s="11">
        <v>0</v>
      </c>
      <c r="X524" s="11" t="s">
        <v>93</v>
      </c>
      <c r="Y524" s="11"/>
      <c r="Z524" s="12"/>
      <c r="AA524" s="11"/>
      <c r="AB524" s="11"/>
      <c r="AC524" s="1" t="s">
        <v>4358</v>
      </c>
      <c r="AD524" s="1" t="s">
        <v>4359</v>
      </c>
    </row>
    <row r="525" spans="1:30" ht="187.2" x14ac:dyDescent="0.3">
      <c r="A525" s="1" t="s">
        <v>262</v>
      </c>
      <c r="B525" s="1" t="s">
        <v>4517</v>
      </c>
      <c r="C525" s="1" t="s">
        <v>2705</v>
      </c>
      <c r="D525" s="1" t="s">
        <v>2752</v>
      </c>
      <c r="E525" s="1" t="s">
        <v>2707</v>
      </c>
      <c r="F525" s="1" t="s">
        <v>1924</v>
      </c>
      <c r="G525" s="1" t="s">
        <v>1384</v>
      </c>
      <c r="H525" s="1" t="s">
        <v>2754</v>
      </c>
      <c r="I525" s="1"/>
      <c r="J525" s="1" t="s">
        <v>2754</v>
      </c>
      <c r="K525" s="1"/>
      <c r="L525" s="7"/>
      <c r="M525" s="7" t="s">
        <v>125</v>
      </c>
      <c r="N525" s="7" t="s">
        <v>90</v>
      </c>
      <c r="O525" s="10"/>
      <c r="P525" s="10"/>
      <c r="Q525" s="7"/>
      <c r="R525" s="7"/>
      <c r="S525" s="7" t="s">
        <v>124</v>
      </c>
      <c r="T525" s="10"/>
      <c r="U525" s="11" t="s">
        <v>4360</v>
      </c>
      <c r="V525" s="11" t="s">
        <v>93</v>
      </c>
      <c r="W525" s="11">
        <v>0</v>
      </c>
      <c r="X525" s="11" t="s">
        <v>93</v>
      </c>
      <c r="Y525" s="11"/>
      <c r="Z525" s="12"/>
      <c r="AA525" s="11"/>
      <c r="AB525" s="11"/>
      <c r="AC525" s="1" t="s">
        <v>4361</v>
      </c>
      <c r="AD525" s="1" t="s">
        <v>4362</v>
      </c>
    </row>
    <row r="526" spans="1:30" ht="187.2" x14ac:dyDescent="0.3">
      <c r="A526" s="1" t="s">
        <v>262</v>
      </c>
      <c r="B526" s="1" t="s">
        <v>4517</v>
      </c>
      <c r="C526" s="1" t="s">
        <v>2705</v>
      </c>
      <c r="D526" s="1" t="s">
        <v>2755</v>
      </c>
      <c r="E526" s="1" t="s">
        <v>2707</v>
      </c>
      <c r="F526" s="1" t="s">
        <v>692</v>
      </c>
      <c r="G526" s="1" t="s">
        <v>1997</v>
      </c>
      <c r="H526" s="1" t="s">
        <v>2757</v>
      </c>
      <c r="I526" s="1"/>
      <c r="J526" s="1" t="s">
        <v>2757</v>
      </c>
      <c r="K526" s="1"/>
      <c r="L526" s="7"/>
      <c r="M526" s="7" t="s">
        <v>125</v>
      </c>
      <c r="N526" s="7" t="s">
        <v>90</v>
      </c>
      <c r="O526" s="10"/>
      <c r="P526" s="10"/>
      <c r="Q526" s="7"/>
      <c r="R526" s="7"/>
      <c r="S526" s="7" t="s">
        <v>124</v>
      </c>
      <c r="T526" s="10"/>
      <c r="U526" s="11" t="s">
        <v>4363</v>
      </c>
      <c r="V526" s="11" t="s">
        <v>93</v>
      </c>
      <c r="W526" s="11">
        <v>0</v>
      </c>
      <c r="X526" s="11" t="s">
        <v>93</v>
      </c>
      <c r="Y526" s="11"/>
      <c r="Z526" s="12"/>
      <c r="AA526" s="11"/>
      <c r="AB526" s="11"/>
      <c r="AC526" s="1" t="s">
        <v>4364</v>
      </c>
      <c r="AD526" s="1" t="s">
        <v>4365</v>
      </c>
    </row>
    <row r="527" spans="1:30" ht="187.2" x14ac:dyDescent="0.3">
      <c r="A527" s="1" t="s">
        <v>262</v>
      </c>
      <c r="B527" s="1" t="s">
        <v>4517</v>
      </c>
      <c r="C527" s="1" t="s">
        <v>2705</v>
      </c>
      <c r="D527" s="1" t="s">
        <v>2758</v>
      </c>
      <c r="E527" s="1" t="s">
        <v>2707</v>
      </c>
      <c r="F527" s="1" t="s">
        <v>2760</v>
      </c>
      <c r="G527" s="1" t="s">
        <v>2761</v>
      </c>
      <c r="H527" s="1" t="s">
        <v>2762</v>
      </c>
      <c r="I527" s="1"/>
      <c r="J527" s="1" t="s">
        <v>2762</v>
      </c>
      <c r="K527" s="1"/>
      <c r="L527" s="7"/>
      <c r="M527" s="7" t="s">
        <v>125</v>
      </c>
      <c r="N527" s="7" t="s">
        <v>90</v>
      </c>
      <c r="O527" s="10"/>
      <c r="P527" s="10"/>
      <c r="Q527" s="7"/>
      <c r="R527" s="7"/>
      <c r="S527" s="7" t="s">
        <v>124</v>
      </c>
      <c r="T527" s="10"/>
      <c r="U527" s="11" t="s">
        <v>4366</v>
      </c>
      <c r="V527" s="11" t="s">
        <v>93</v>
      </c>
      <c r="W527" s="11">
        <v>0</v>
      </c>
      <c r="X527" s="11" t="s">
        <v>93</v>
      </c>
      <c r="Y527" s="11"/>
      <c r="Z527" s="12"/>
      <c r="AA527" s="11"/>
      <c r="AB527" s="11"/>
      <c r="AC527" s="1" t="s">
        <v>4367</v>
      </c>
      <c r="AD527" s="1" t="s">
        <v>4368</v>
      </c>
    </row>
    <row r="528" spans="1:30" ht="187.2" x14ac:dyDescent="0.3">
      <c r="A528" s="1" t="s">
        <v>262</v>
      </c>
      <c r="B528" s="1" t="s">
        <v>4517</v>
      </c>
      <c r="C528" s="1" t="s">
        <v>2705</v>
      </c>
      <c r="D528" s="1" t="s">
        <v>2763</v>
      </c>
      <c r="E528" s="1" t="s">
        <v>2707</v>
      </c>
      <c r="F528" s="1" t="s">
        <v>2765</v>
      </c>
      <c r="G528" s="1" t="s">
        <v>524</v>
      </c>
      <c r="H528" s="1" t="s">
        <v>2766</v>
      </c>
      <c r="I528" s="1"/>
      <c r="J528" s="1" t="s">
        <v>2766</v>
      </c>
      <c r="K528" s="1"/>
      <c r="L528" s="7"/>
      <c r="M528" s="7" t="s">
        <v>125</v>
      </c>
      <c r="N528" s="7" t="s">
        <v>90</v>
      </c>
      <c r="O528" s="10"/>
      <c r="P528" s="10"/>
      <c r="Q528" s="7"/>
      <c r="R528" s="7"/>
      <c r="S528" s="7" t="s">
        <v>124</v>
      </c>
      <c r="T528" s="10"/>
      <c r="U528" s="11" t="s">
        <v>4369</v>
      </c>
      <c r="V528" s="11" t="s">
        <v>93</v>
      </c>
      <c r="W528" s="11">
        <v>0</v>
      </c>
      <c r="X528" s="11" t="s">
        <v>93</v>
      </c>
      <c r="Y528" s="11"/>
      <c r="Z528" s="12"/>
      <c r="AA528" s="11"/>
      <c r="AB528" s="11"/>
      <c r="AC528" s="1" t="s">
        <v>4370</v>
      </c>
      <c r="AD528" s="1" t="s">
        <v>4371</v>
      </c>
    </row>
    <row r="529" spans="1:30" ht="187.2" x14ac:dyDescent="0.3">
      <c r="A529" s="1" t="s">
        <v>262</v>
      </c>
      <c r="B529" s="1" t="s">
        <v>4517</v>
      </c>
      <c r="C529" s="1" t="s">
        <v>2705</v>
      </c>
      <c r="D529" s="1" t="s">
        <v>2767</v>
      </c>
      <c r="E529" s="1" t="s">
        <v>2707</v>
      </c>
      <c r="F529" s="1" t="s">
        <v>2769</v>
      </c>
      <c r="G529" s="1" t="s">
        <v>2770</v>
      </c>
      <c r="H529" s="1" t="s">
        <v>2771</v>
      </c>
      <c r="I529" s="1"/>
      <c r="J529" s="1" t="s">
        <v>2771</v>
      </c>
      <c r="K529" s="1"/>
      <c r="L529" s="7"/>
      <c r="M529" s="7" t="s">
        <v>125</v>
      </c>
      <c r="N529" s="7" t="s">
        <v>90</v>
      </c>
      <c r="O529" s="10"/>
      <c r="P529" s="10"/>
      <c r="Q529" s="7"/>
      <c r="R529" s="7"/>
      <c r="S529" s="7" t="s">
        <v>124</v>
      </c>
      <c r="T529" s="10"/>
      <c r="U529" s="11" t="s">
        <v>4372</v>
      </c>
      <c r="V529" s="11" t="s">
        <v>93</v>
      </c>
      <c r="W529" s="11">
        <v>0</v>
      </c>
      <c r="X529" s="11" t="s">
        <v>93</v>
      </c>
      <c r="Y529" s="11"/>
      <c r="Z529" s="12"/>
      <c r="AA529" s="11"/>
      <c r="AB529" s="11"/>
      <c r="AC529" s="1" t="s">
        <v>4373</v>
      </c>
      <c r="AD529" s="1" t="s">
        <v>4374</v>
      </c>
    </row>
  </sheetData>
  <autoFilter ref="A1:AD529" xr:uid="{00000000-0009-0000-0000-000005000000}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="Valeur non autorisée" prompt="Choisir dans la liste" xr:uid="{00000000-0002-0000-0500-000000000000}">
          <x14:formula1>
            <xm:f>Referentiels!$G$4:$G$7</xm:f>
          </x14:formula1>
          <x14:formula2>
            <xm:f>0</xm:f>
          </x14:formula2>
          <xm:sqref>M2:M529</xm:sqref>
        </x14:dataValidation>
        <x14:dataValidation type="list" allowBlank="1" error="Valeur non autorisée" prompt="Choisir dans la liste" xr:uid="{00000000-0002-0000-0500-000001000000}">
          <x14:formula1>
            <xm:f>Referentiels!$E$4:$E$5</xm:f>
          </x14:formula1>
          <x14:formula2>
            <xm:f>0</xm:f>
          </x14:formula2>
          <xm:sqref>N2:N529</xm:sqref>
        </x14:dataValidation>
        <x14:dataValidation type="list" allowBlank="1" error="Valeur non autorisée" prompt="Choisir dans la liste" xr:uid="{00000000-0002-0000-0500-000002000000}">
          <x14:formula1>
            <xm:f>Referentiels!$C$4:$C$7</xm:f>
          </x14:formula1>
          <x14:formula2>
            <xm:f>0</xm:f>
          </x14:formula2>
          <xm:sqref>S2:S529</xm:sqref>
        </x14:dataValidation>
        <x14:dataValidation type="list" allowBlank="1" error="Valeur non autorisée" prompt="Choisir dans la liste" xr:uid="{00000000-0002-0000-0500-000003000000}">
          <x14:formula1>
            <xm:f>Referentiels!$A$4:$A$5</xm:f>
          </x14:formula1>
          <x14:formula2>
            <xm:f>0</xm:f>
          </x14:formula2>
          <xm:sqref>V2:V529 X2:X529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2"/>
  <sheetViews>
    <sheetView showGridLines="0" topLeftCell="F1" zoomScaleNormal="100" workbookViewId="0">
      <pane ySplit="3" topLeftCell="A4" activePane="bottomLeft" state="frozen"/>
      <selection pane="bottomLeft" sqref="A1:H1"/>
    </sheetView>
  </sheetViews>
  <sheetFormatPr baseColWidth="10" defaultColWidth="8.6640625" defaultRowHeight="15" customHeight="1" x14ac:dyDescent="0.3"/>
  <cols>
    <col min="1" max="40" width="20" customWidth="1"/>
  </cols>
  <sheetData>
    <row r="1" spans="1:39" ht="24" customHeight="1" x14ac:dyDescent="0.3">
      <c r="A1" s="23" t="s">
        <v>102</v>
      </c>
      <c r="B1" s="23"/>
      <c r="C1" s="23"/>
      <c r="D1" s="23"/>
      <c r="E1" s="23"/>
      <c r="F1" s="23"/>
      <c r="G1" s="23"/>
      <c r="H1" s="23"/>
    </row>
    <row r="2" spans="1:39" ht="15" customHeight="1" x14ac:dyDescent="0.3">
      <c r="A2" s="24" t="s">
        <v>103</v>
      </c>
      <c r="B2" s="24"/>
      <c r="C2" s="24"/>
      <c r="D2" s="24"/>
      <c r="E2" s="24"/>
      <c r="F2" s="24"/>
      <c r="G2" s="24"/>
      <c r="H2" s="24"/>
    </row>
    <row r="3" spans="1:39" ht="14.4" x14ac:dyDescent="0.3">
      <c r="A3" s="5" t="s">
        <v>104</v>
      </c>
      <c r="C3" s="5" t="s">
        <v>105</v>
      </c>
      <c r="E3" s="5" t="s">
        <v>106</v>
      </c>
      <c r="G3" s="5" t="s">
        <v>107</v>
      </c>
      <c r="I3" s="5" t="s">
        <v>108</v>
      </c>
      <c r="K3" s="5" t="s">
        <v>109</v>
      </c>
      <c r="M3" s="5" t="s">
        <v>110</v>
      </c>
      <c r="O3" s="5" t="s">
        <v>111</v>
      </c>
      <c r="Q3" s="5" t="s">
        <v>112</v>
      </c>
      <c r="S3" s="5" t="s">
        <v>113</v>
      </c>
      <c r="U3" s="5" t="s">
        <v>114</v>
      </c>
      <c r="W3" s="5" t="s">
        <v>115</v>
      </c>
      <c r="Y3" s="5" t="s">
        <v>116</v>
      </c>
      <c r="AA3" s="5" t="s">
        <v>117</v>
      </c>
      <c r="AC3" s="5" t="s">
        <v>118</v>
      </c>
      <c r="AE3" s="5" t="s">
        <v>119</v>
      </c>
      <c r="AG3" s="5" t="s">
        <v>120</v>
      </c>
      <c r="AI3" s="5" t="s">
        <v>121</v>
      </c>
      <c r="AK3" s="5" t="s">
        <v>122</v>
      </c>
      <c r="AM3" s="5" t="s">
        <v>123</v>
      </c>
    </row>
    <row r="4" spans="1:39" ht="14.4" x14ac:dyDescent="0.3">
      <c r="A4" t="s">
        <v>90</v>
      </c>
      <c r="C4" t="s">
        <v>124</v>
      </c>
      <c r="E4" t="s">
        <v>90</v>
      </c>
      <c r="G4" t="s">
        <v>125</v>
      </c>
      <c r="I4" t="s">
        <v>125</v>
      </c>
      <c r="K4" t="s">
        <v>126</v>
      </c>
      <c r="M4" t="s">
        <v>127</v>
      </c>
      <c r="O4" t="s">
        <v>128</v>
      </c>
      <c r="Q4" t="s">
        <v>129</v>
      </c>
      <c r="S4" t="s">
        <v>130</v>
      </c>
      <c r="U4" t="s">
        <v>131</v>
      </c>
      <c r="W4" t="s">
        <v>132</v>
      </c>
      <c r="Y4" t="s">
        <v>133</v>
      </c>
      <c r="AA4" t="s">
        <v>134</v>
      </c>
      <c r="AC4" t="s">
        <v>127</v>
      </c>
      <c r="AE4" t="s">
        <v>135</v>
      </c>
      <c r="AG4" t="s">
        <v>136</v>
      </c>
      <c r="AI4" t="s">
        <v>137</v>
      </c>
      <c r="AK4" t="s">
        <v>138</v>
      </c>
      <c r="AM4" t="s">
        <v>90</v>
      </c>
    </row>
    <row r="5" spans="1:39" ht="14.4" x14ac:dyDescent="0.3">
      <c r="A5" t="s">
        <v>93</v>
      </c>
      <c r="C5" t="s">
        <v>90</v>
      </c>
      <c r="E5" t="s">
        <v>93</v>
      </c>
      <c r="G5" t="s">
        <v>139</v>
      </c>
      <c r="I5" t="s">
        <v>140</v>
      </c>
      <c r="K5" t="s">
        <v>141</v>
      </c>
      <c r="M5" t="s">
        <v>142</v>
      </c>
      <c r="O5" t="s">
        <v>143</v>
      </c>
      <c r="Q5" t="s">
        <v>144</v>
      </c>
      <c r="S5" t="s">
        <v>145</v>
      </c>
      <c r="U5" t="s">
        <v>146</v>
      </c>
      <c r="W5" t="s">
        <v>147</v>
      </c>
      <c r="Y5" t="s">
        <v>148</v>
      </c>
      <c r="AA5" t="s">
        <v>149</v>
      </c>
      <c r="AC5" t="s">
        <v>150</v>
      </c>
      <c r="AE5" t="s">
        <v>151</v>
      </c>
      <c r="AG5" t="s">
        <v>152</v>
      </c>
      <c r="AI5" t="s">
        <v>145</v>
      </c>
      <c r="AK5" t="s">
        <v>153</v>
      </c>
      <c r="AM5" t="s">
        <v>93</v>
      </c>
    </row>
    <row r="6" spans="1:39" ht="14.4" x14ac:dyDescent="0.3">
      <c r="C6" t="s">
        <v>93</v>
      </c>
      <c r="G6" t="s">
        <v>154</v>
      </c>
      <c r="I6" t="s">
        <v>155</v>
      </c>
      <c r="K6" t="s">
        <v>156</v>
      </c>
      <c r="M6" t="s">
        <v>152</v>
      </c>
      <c r="O6" t="s">
        <v>157</v>
      </c>
      <c r="Q6" t="s">
        <v>158</v>
      </c>
      <c r="S6" t="s">
        <v>159</v>
      </c>
      <c r="U6" t="s">
        <v>160</v>
      </c>
      <c r="W6" t="s">
        <v>161</v>
      </c>
      <c r="Y6" t="s">
        <v>160</v>
      </c>
      <c r="AA6" t="s">
        <v>162</v>
      </c>
      <c r="AC6" t="s">
        <v>163</v>
      </c>
      <c r="AE6" t="s">
        <v>164</v>
      </c>
      <c r="AG6" t="s">
        <v>165</v>
      </c>
      <c r="AI6" t="s">
        <v>159</v>
      </c>
      <c r="AK6" t="s">
        <v>166</v>
      </c>
    </row>
    <row r="7" spans="1:39" ht="14.4" x14ac:dyDescent="0.3">
      <c r="C7" t="s">
        <v>167</v>
      </c>
      <c r="G7" t="s">
        <v>168</v>
      </c>
      <c r="I7" t="s">
        <v>169</v>
      </c>
      <c r="K7" t="s">
        <v>170</v>
      </c>
      <c r="M7" t="s">
        <v>171</v>
      </c>
      <c r="O7" t="s">
        <v>172</v>
      </c>
      <c r="S7" t="s">
        <v>173</v>
      </c>
      <c r="W7" t="s">
        <v>174</v>
      </c>
      <c r="AA7" t="s">
        <v>160</v>
      </c>
      <c r="AC7" t="s">
        <v>160</v>
      </c>
      <c r="AG7" t="s">
        <v>175</v>
      </c>
      <c r="AI7" t="s">
        <v>173</v>
      </c>
      <c r="AK7" t="s">
        <v>176</v>
      </c>
    </row>
    <row r="8" spans="1:39" ht="14.4" x14ac:dyDescent="0.3">
      <c r="O8" t="s">
        <v>177</v>
      </c>
      <c r="W8" t="s">
        <v>178</v>
      </c>
    </row>
    <row r="9" spans="1:39" ht="14.4" x14ac:dyDescent="0.3">
      <c r="O9" t="s">
        <v>179</v>
      </c>
      <c r="W9" t="s">
        <v>170</v>
      </c>
    </row>
    <row r="10" spans="1:39" ht="14.4" x14ac:dyDescent="0.3">
      <c r="O10" t="s">
        <v>180</v>
      </c>
    </row>
    <row r="11" spans="1:39" ht="14.4" x14ac:dyDescent="0.3">
      <c r="O11" t="s">
        <v>181</v>
      </c>
    </row>
    <row r="12" spans="1:39" ht="14.4" x14ac:dyDescent="0.3">
      <c r="O12" t="s">
        <v>182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X529"/>
  <sheetViews>
    <sheetView tabSelected="1" zoomScaleNormal="100" workbookViewId="0">
      <pane ySplit="1" topLeftCell="A27" activePane="bottomLeft" state="frozen"/>
      <selection pane="bottomLeft" activeCell="H155" sqref="H155:H164"/>
    </sheetView>
  </sheetViews>
  <sheetFormatPr baseColWidth="10" defaultColWidth="8.6640625" defaultRowHeight="15" customHeight="1" x14ac:dyDescent="0.3"/>
  <cols>
    <col min="1" max="1" width="10" customWidth="1"/>
    <col min="2" max="2" width="15.109375" customWidth="1"/>
    <col min="3" max="3" width="12" customWidth="1"/>
    <col min="4" max="4" width="14" customWidth="1"/>
    <col min="5" max="5" width="18" customWidth="1"/>
    <col min="6" max="7" width="28" customWidth="1"/>
    <col min="8" max="9" width="12.44140625"/>
    <col min="10" max="10" width="18" customWidth="1"/>
    <col min="11" max="11" width="16" customWidth="1"/>
    <col min="12" max="13" width="18" customWidth="1"/>
    <col min="14" max="14" width="24" customWidth="1"/>
    <col min="15" max="15" width="20.109375" customWidth="1"/>
    <col min="16" max="16" width="28" customWidth="1"/>
    <col min="17" max="17" width="12" customWidth="1"/>
    <col min="18" max="18" width="16" customWidth="1"/>
    <col min="19" max="20" width="10" customWidth="1"/>
    <col min="21" max="21" width="12" customWidth="1"/>
    <col min="22" max="22" width="18" customWidth="1"/>
    <col min="23" max="23" width="14.44140625" customWidth="1"/>
    <col min="24" max="24" width="16.6640625" customWidth="1"/>
  </cols>
  <sheetData>
    <row r="1" spans="1:24" ht="27.75" customHeight="1" x14ac:dyDescent="0.3">
      <c r="A1" s="3" t="s">
        <v>183</v>
      </c>
      <c r="B1" s="3" t="s">
        <v>4509</v>
      </c>
      <c r="C1" s="3" t="s">
        <v>184</v>
      </c>
      <c r="D1" s="3" t="s">
        <v>185</v>
      </c>
      <c r="E1" s="3" t="s">
        <v>186</v>
      </c>
      <c r="F1" s="3" t="s">
        <v>4443</v>
      </c>
      <c r="G1" s="3" t="s">
        <v>4499</v>
      </c>
      <c r="H1" s="3" t="s">
        <v>198</v>
      </c>
      <c r="I1" s="3" t="s">
        <v>199</v>
      </c>
      <c r="J1" s="3" t="s">
        <v>188</v>
      </c>
      <c r="K1" s="3" t="s">
        <v>189</v>
      </c>
      <c r="L1" s="3" t="s">
        <v>190</v>
      </c>
      <c r="M1" s="3" t="s">
        <v>191</v>
      </c>
      <c r="N1" s="3" t="s">
        <v>192</v>
      </c>
      <c r="O1" s="3" t="s">
        <v>196</v>
      </c>
      <c r="P1" s="3" t="s">
        <v>4498</v>
      </c>
      <c r="Q1" s="3" t="s">
        <v>196</v>
      </c>
      <c r="R1" s="3" t="s">
        <v>197</v>
      </c>
      <c r="S1" s="3" t="s">
        <v>198</v>
      </c>
      <c r="T1" s="3" t="s">
        <v>199</v>
      </c>
      <c r="U1" s="3" t="s">
        <v>200</v>
      </c>
      <c r="V1" s="3" t="s">
        <v>201</v>
      </c>
      <c r="W1" s="3" t="s">
        <v>4444</v>
      </c>
      <c r="X1" s="3" t="s">
        <v>4445</v>
      </c>
    </row>
    <row r="2" spans="1:24" ht="21.75" customHeight="1" x14ac:dyDescent="0.3">
      <c r="A2" s="6" t="s">
        <v>202</v>
      </c>
      <c r="B2" s="1" t="s">
        <v>4510</v>
      </c>
      <c r="C2" s="6" t="s">
        <v>203</v>
      </c>
      <c r="D2" s="6" t="s">
        <v>204</v>
      </c>
      <c r="E2" s="6" t="s">
        <v>78</v>
      </c>
      <c r="F2" s="6" t="s">
        <v>205</v>
      </c>
      <c r="G2" s="18">
        <v>30</v>
      </c>
      <c r="H2">
        <v>68</v>
      </c>
      <c r="I2">
        <v>24</v>
      </c>
      <c r="J2" s="7" t="s">
        <v>206</v>
      </c>
      <c r="K2" s="7" t="s">
        <v>207</v>
      </c>
      <c r="L2" s="7" t="s">
        <v>208</v>
      </c>
      <c r="M2" s="7"/>
      <c r="N2" s="7"/>
      <c r="O2" s="7" t="s">
        <v>93</v>
      </c>
      <c r="P2" s="7" t="s">
        <v>209</v>
      </c>
      <c r="Q2" s="7" t="s">
        <v>93</v>
      </c>
      <c r="R2" s="7"/>
      <c r="S2" s="8"/>
      <c r="T2" s="8"/>
      <c r="U2" s="9" t="str">
        <f>IF(COUNTIFS(Contacts_Activation!D:D,D2,Contacts_Activation!N:N,"oui")&gt;0,"oui","non")</f>
        <v>oui</v>
      </c>
      <c r="V2" s="9" t="str">
        <f>IF(COUNTIFS(Travaux!C:C,D2,Travaux!X:X,"en_cours")&gt;0,"travaux_en_cours",IF(COUNTIFS(Ventes!C:C,D2,Ventes!L:L,"signature")&gt;0,"vente_signature",IF(COUNTIFS(Ventes!C:C,D2,Ventes!AD:AD,"oui")&gt;0,"vente_bloquee",IF(COUNTIFS(Gestion_Locative!C:C,D2,Gestion_Locative!O:O,"incomplet")&gt;0,"gestion_fragile","stable"))))</f>
        <v>vente_bloquee</v>
      </c>
    </row>
    <row r="3" spans="1:24" ht="21.75" customHeight="1" x14ac:dyDescent="0.3">
      <c r="A3" s="6" t="s">
        <v>202</v>
      </c>
      <c r="B3" s="1" t="s">
        <v>4510</v>
      </c>
      <c r="C3" s="6" t="s">
        <v>203</v>
      </c>
      <c r="D3" s="6" t="s">
        <v>210</v>
      </c>
      <c r="E3" s="6" t="s">
        <v>78</v>
      </c>
      <c r="F3" s="6" t="s">
        <v>211</v>
      </c>
      <c r="G3" s="18">
        <v>30</v>
      </c>
      <c r="H3">
        <v>68</v>
      </c>
      <c r="I3">
        <v>24</v>
      </c>
      <c r="J3" s="7" t="s">
        <v>212</v>
      </c>
      <c r="K3" s="7" t="s">
        <v>213</v>
      </c>
      <c r="L3" s="7" t="s">
        <v>214</v>
      </c>
      <c r="M3" s="7" t="s">
        <v>215</v>
      </c>
      <c r="N3" s="7"/>
      <c r="O3" s="7" t="s">
        <v>93</v>
      </c>
      <c r="P3" s="7" t="s">
        <v>209</v>
      </c>
      <c r="Q3" s="7" t="s">
        <v>93</v>
      </c>
      <c r="R3" s="7"/>
      <c r="S3" s="8"/>
      <c r="T3" s="8"/>
      <c r="U3" s="9" t="str">
        <f>IF(COUNTIFS(Contacts_Activation!D:D,D3,Contacts_Activation!N:N,"oui")&gt;0,"oui","non")</f>
        <v>oui</v>
      </c>
      <c r="V3" s="9" t="str">
        <f>IF(COUNTIFS(Travaux!C:C,D3,Travaux!X:X,"en_cours")&gt;0,"travaux_en_cours",IF(COUNTIFS(Ventes!C:C,D3,Ventes!L:L,"signature")&gt;0,"vente_signature",IF(COUNTIFS(Ventes!C:C,D3,Ventes!AD:AD,"oui")&gt;0,"vente_bloquee",IF(COUNTIFS(Gestion_Locative!C:C,D3,Gestion_Locative!O:O,"incomplet")&gt;0,"gestion_fragile","stable"))))</f>
        <v>vente_bloquee</v>
      </c>
    </row>
    <row r="4" spans="1:24" ht="21.75" customHeight="1" x14ac:dyDescent="0.3">
      <c r="A4" s="6" t="s">
        <v>202</v>
      </c>
      <c r="B4" s="1" t="s">
        <v>4510</v>
      </c>
      <c r="C4" s="6" t="s">
        <v>203</v>
      </c>
      <c r="D4" s="6" t="s">
        <v>216</v>
      </c>
      <c r="E4" s="6" t="s">
        <v>78</v>
      </c>
      <c r="F4" s="6" t="s">
        <v>217</v>
      </c>
      <c r="G4" s="18">
        <v>30</v>
      </c>
      <c r="H4">
        <v>68</v>
      </c>
      <c r="I4">
        <v>24</v>
      </c>
      <c r="J4" s="7" t="s">
        <v>218</v>
      </c>
      <c r="K4" s="7" t="s">
        <v>219</v>
      </c>
      <c r="L4" s="7" t="s">
        <v>220</v>
      </c>
      <c r="M4" s="7" t="s">
        <v>221</v>
      </c>
      <c r="N4" s="7" t="s">
        <v>222</v>
      </c>
      <c r="O4" s="7" t="s">
        <v>93</v>
      </c>
      <c r="P4" s="7" t="s">
        <v>209</v>
      </c>
      <c r="Q4" s="7" t="s">
        <v>93</v>
      </c>
      <c r="R4" s="7"/>
      <c r="S4" s="8"/>
      <c r="T4" s="8"/>
      <c r="U4" s="9" t="str">
        <f>IF(COUNTIFS(Contacts_Activation!D:D,D4,Contacts_Activation!N:N,"oui")&gt;0,"oui","non")</f>
        <v>oui</v>
      </c>
      <c r="V4" s="9" t="str">
        <f>IF(COUNTIFS(Travaux!C:C,D4,Travaux!X:X,"en_cours")&gt;0,"travaux_en_cours",IF(COUNTIFS(Ventes!C:C,D4,Ventes!L:L,"signature")&gt;0,"vente_signature",IF(COUNTIFS(Ventes!C:C,D4,Ventes!AD:AD,"oui")&gt;0,"vente_bloquee",IF(COUNTIFS(Gestion_Locative!C:C,D4,Gestion_Locative!O:O,"incomplet")&gt;0,"gestion_fragile","stable"))))</f>
        <v>vente_bloquee</v>
      </c>
    </row>
    <row r="5" spans="1:24" ht="21.75" customHeight="1" x14ac:dyDescent="0.3">
      <c r="A5" s="6" t="s">
        <v>202</v>
      </c>
      <c r="B5" s="1" t="s">
        <v>4510</v>
      </c>
      <c r="C5" s="6" t="s">
        <v>203</v>
      </c>
      <c r="D5" s="6" t="s">
        <v>223</v>
      </c>
      <c r="E5" s="6" t="s">
        <v>78</v>
      </c>
      <c r="F5" s="6" t="s">
        <v>224</v>
      </c>
      <c r="G5" s="18">
        <v>30</v>
      </c>
      <c r="H5">
        <v>68</v>
      </c>
      <c r="I5">
        <v>24</v>
      </c>
      <c r="J5" s="7" t="s">
        <v>225</v>
      </c>
      <c r="K5" s="7" t="s">
        <v>226</v>
      </c>
      <c r="L5" s="7" t="s">
        <v>227</v>
      </c>
      <c r="M5" s="7"/>
      <c r="N5" s="7"/>
      <c r="O5" s="7" t="s">
        <v>93</v>
      </c>
      <c r="P5" s="7" t="s">
        <v>209</v>
      </c>
      <c r="Q5" s="7" t="s">
        <v>93</v>
      </c>
      <c r="R5" s="7"/>
      <c r="S5" s="8"/>
      <c r="T5" s="8"/>
      <c r="U5" s="9" t="str">
        <f>IF(COUNTIFS(Contacts_Activation!D:D,D5,Contacts_Activation!N:N,"oui")&gt;0,"oui","non")</f>
        <v>oui</v>
      </c>
      <c r="V5" s="9" t="str">
        <f>IF(COUNTIFS(Travaux!C:C,D5,Travaux!X:X,"en_cours")&gt;0,"travaux_en_cours",IF(COUNTIFS(Ventes!C:C,D5,Ventes!L:L,"signature")&gt;0,"vente_signature",IF(COUNTIFS(Ventes!C:C,D5,Ventes!AD:AD,"oui")&gt;0,"vente_bloquee",IF(COUNTIFS(Gestion_Locative!C:C,D5,Gestion_Locative!O:O,"incomplet")&gt;0,"gestion_fragile","stable"))))</f>
        <v>vente_bloquee</v>
      </c>
    </row>
    <row r="6" spans="1:24" ht="21.75" customHeight="1" x14ac:dyDescent="0.3">
      <c r="A6" s="6" t="s">
        <v>202</v>
      </c>
      <c r="B6" s="1" t="s">
        <v>4510</v>
      </c>
      <c r="C6" s="6" t="s">
        <v>203</v>
      </c>
      <c r="D6" s="6" t="s">
        <v>228</v>
      </c>
      <c r="E6" s="6" t="s">
        <v>78</v>
      </c>
      <c r="F6" s="6" t="s">
        <v>229</v>
      </c>
      <c r="G6" s="18">
        <v>30</v>
      </c>
      <c r="H6">
        <v>68</v>
      </c>
      <c r="I6">
        <v>24</v>
      </c>
      <c r="J6" s="7" t="s">
        <v>230</v>
      </c>
      <c r="K6" s="7" t="s">
        <v>231</v>
      </c>
      <c r="L6" s="7" t="s">
        <v>232</v>
      </c>
      <c r="M6" s="7"/>
      <c r="N6" s="7"/>
      <c r="O6" s="7" t="s">
        <v>93</v>
      </c>
      <c r="P6" s="7" t="s">
        <v>209</v>
      </c>
      <c r="Q6" s="7" t="s">
        <v>93</v>
      </c>
      <c r="R6" s="7"/>
      <c r="S6" s="8"/>
      <c r="T6" s="8"/>
      <c r="U6" s="9" t="str">
        <f>IF(COUNTIFS(Contacts_Activation!D:D,D6,Contacts_Activation!N:N,"oui")&gt;0,"oui","non")</f>
        <v>oui</v>
      </c>
      <c r="V6" s="9" t="str">
        <f>IF(COUNTIFS(Travaux!C:C,D6,Travaux!X:X,"en_cours")&gt;0,"travaux_en_cours",IF(COUNTIFS(Ventes!C:C,D6,Ventes!L:L,"signature")&gt;0,"vente_signature",IF(COUNTIFS(Ventes!C:C,D6,Ventes!AD:AD,"oui")&gt;0,"vente_bloquee",IF(COUNTIFS(Gestion_Locative!C:C,D6,Gestion_Locative!O:O,"incomplet")&gt;0,"gestion_fragile","stable"))))</f>
        <v>vente_bloquee</v>
      </c>
    </row>
    <row r="7" spans="1:24" ht="21.75" customHeight="1" x14ac:dyDescent="0.3">
      <c r="A7" s="6" t="s">
        <v>202</v>
      </c>
      <c r="B7" s="1" t="s">
        <v>4510</v>
      </c>
      <c r="C7" s="6" t="s">
        <v>203</v>
      </c>
      <c r="D7" s="6" t="s">
        <v>233</v>
      </c>
      <c r="E7" s="6" t="s">
        <v>78</v>
      </c>
      <c r="F7" s="6" t="s">
        <v>234</v>
      </c>
      <c r="G7" s="18">
        <v>30</v>
      </c>
      <c r="H7">
        <v>68</v>
      </c>
      <c r="I7">
        <v>24</v>
      </c>
      <c r="J7" s="7" t="s">
        <v>235</v>
      </c>
      <c r="K7" s="7" t="s">
        <v>236</v>
      </c>
      <c r="L7" s="7" t="s">
        <v>237</v>
      </c>
      <c r="M7" s="7"/>
      <c r="N7" s="7"/>
      <c r="O7" s="7" t="s">
        <v>93</v>
      </c>
      <c r="P7" s="7" t="s">
        <v>209</v>
      </c>
      <c r="Q7" s="7" t="s">
        <v>93</v>
      </c>
      <c r="R7" s="7"/>
      <c r="S7" s="8"/>
      <c r="T7" s="8"/>
      <c r="U7" s="9" t="str">
        <f>IF(COUNTIFS(Contacts_Activation!D:D,D7,Contacts_Activation!N:N,"oui")&gt;0,"oui","non")</f>
        <v>oui</v>
      </c>
      <c r="V7" s="9" t="str">
        <f>IF(COUNTIFS(Travaux!C:C,D7,Travaux!X:X,"en_cours")&gt;0,"travaux_en_cours",IF(COUNTIFS(Ventes!C:C,D7,Ventes!L:L,"signature")&gt;0,"vente_signature",IF(COUNTIFS(Ventes!C:C,D7,Ventes!AD:AD,"oui")&gt;0,"vente_bloquee",IF(COUNTIFS(Gestion_Locative!C:C,D7,Gestion_Locative!O:O,"incomplet")&gt;0,"gestion_fragile","stable"))))</f>
        <v>vente_bloquee</v>
      </c>
    </row>
    <row r="8" spans="1:24" ht="21.75" customHeight="1" x14ac:dyDescent="0.3">
      <c r="A8" s="6" t="s">
        <v>202</v>
      </c>
      <c r="B8" s="1" t="s">
        <v>4510</v>
      </c>
      <c r="C8" s="6" t="s">
        <v>203</v>
      </c>
      <c r="D8" s="6" t="s">
        <v>238</v>
      </c>
      <c r="E8" s="6" t="s">
        <v>78</v>
      </c>
      <c r="F8" s="6" t="s">
        <v>239</v>
      </c>
      <c r="G8" s="18">
        <v>30</v>
      </c>
      <c r="H8">
        <v>68</v>
      </c>
      <c r="I8">
        <v>24</v>
      </c>
      <c r="J8" s="7" t="s">
        <v>240</v>
      </c>
      <c r="K8" s="7" t="s">
        <v>241</v>
      </c>
      <c r="L8" s="7" t="s">
        <v>242</v>
      </c>
      <c r="M8" s="7"/>
      <c r="N8" s="7"/>
      <c r="O8" s="7" t="s">
        <v>93</v>
      </c>
      <c r="P8" s="7" t="s">
        <v>209</v>
      </c>
      <c r="Q8" s="7" t="s">
        <v>93</v>
      </c>
      <c r="R8" s="7"/>
      <c r="S8" s="8"/>
      <c r="T8" s="8"/>
      <c r="U8" s="9" t="str">
        <f>IF(COUNTIFS(Contacts_Activation!D:D,D8,Contacts_Activation!N:N,"oui")&gt;0,"oui","non")</f>
        <v>oui</v>
      </c>
      <c r="V8" s="9" t="str">
        <f>IF(COUNTIFS(Travaux!C:C,D8,Travaux!X:X,"en_cours")&gt;0,"travaux_en_cours",IF(COUNTIFS(Ventes!C:C,D8,Ventes!L:L,"signature")&gt;0,"vente_signature",IF(COUNTIFS(Ventes!C:C,D8,Ventes!AD:AD,"oui")&gt;0,"vente_bloquee",IF(COUNTIFS(Gestion_Locative!C:C,D8,Gestion_Locative!O:O,"incomplet")&gt;0,"gestion_fragile","stable"))))</f>
        <v>vente_bloquee</v>
      </c>
    </row>
    <row r="9" spans="1:24" ht="21.75" customHeight="1" x14ac:dyDescent="0.3">
      <c r="A9" s="6" t="s">
        <v>202</v>
      </c>
      <c r="B9" s="1" t="s">
        <v>4510</v>
      </c>
      <c r="C9" s="6" t="s">
        <v>203</v>
      </c>
      <c r="D9" s="6" t="s">
        <v>243</v>
      </c>
      <c r="E9" s="6" t="s">
        <v>78</v>
      </c>
      <c r="F9" s="6" t="s">
        <v>244</v>
      </c>
      <c r="G9" s="18">
        <v>30</v>
      </c>
      <c r="H9">
        <v>68</v>
      </c>
      <c r="I9">
        <v>24</v>
      </c>
      <c r="J9" s="7" t="s">
        <v>245</v>
      </c>
      <c r="K9" s="7" t="s">
        <v>246</v>
      </c>
      <c r="L9" s="7" t="s">
        <v>247</v>
      </c>
      <c r="M9" s="7"/>
      <c r="N9" s="7" t="s">
        <v>248</v>
      </c>
      <c r="O9" s="7" t="s">
        <v>93</v>
      </c>
      <c r="P9" s="7" t="s">
        <v>209</v>
      </c>
      <c r="Q9" s="7" t="s">
        <v>93</v>
      </c>
      <c r="R9" s="7"/>
      <c r="S9" s="8"/>
      <c r="T9" s="8"/>
      <c r="U9" s="9" t="str">
        <f>IF(COUNTIFS(Contacts_Activation!D:D,D9,Contacts_Activation!N:N,"oui")&gt;0,"oui","non")</f>
        <v>oui</v>
      </c>
      <c r="V9" s="9" t="str">
        <f>IF(COUNTIFS(Travaux!C:C,D9,Travaux!X:X,"en_cours")&gt;0,"travaux_en_cours",IF(COUNTIFS(Ventes!C:C,D9,Ventes!L:L,"signature")&gt;0,"vente_signature",IF(COUNTIFS(Ventes!C:C,D9,Ventes!AD:AD,"oui")&gt;0,"vente_bloquee",IF(COUNTIFS(Gestion_Locative!C:C,D9,Gestion_Locative!O:O,"incomplet")&gt;0,"gestion_fragile","stable"))))</f>
        <v>vente_bloquee</v>
      </c>
    </row>
    <row r="10" spans="1:24" ht="21.75" customHeight="1" x14ac:dyDescent="0.3">
      <c r="A10" s="6" t="s">
        <v>202</v>
      </c>
      <c r="B10" s="1" t="s">
        <v>4510</v>
      </c>
      <c r="C10" s="6" t="s">
        <v>203</v>
      </c>
      <c r="D10" s="6" t="s">
        <v>249</v>
      </c>
      <c r="E10" s="6" t="s">
        <v>78</v>
      </c>
      <c r="F10" s="6" t="s">
        <v>250</v>
      </c>
      <c r="G10" s="18">
        <v>30</v>
      </c>
      <c r="H10">
        <v>68</v>
      </c>
      <c r="I10">
        <v>24</v>
      </c>
      <c r="J10" s="7" t="s">
        <v>251</v>
      </c>
      <c r="K10" s="7" t="s">
        <v>252</v>
      </c>
      <c r="L10" s="7" t="s">
        <v>253</v>
      </c>
      <c r="M10" s="7" t="s">
        <v>254</v>
      </c>
      <c r="N10" s="7" t="s">
        <v>255</v>
      </c>
      <c r="O10" s="7" t="s">
        <v>93</v>
      </c>
      <c r="P10" s="7" t="s">
        <v>209</v>
      </c>
      <c r="Q10" s="7" t="s">
        <v>93</v>
      </c>
      <c r="R10" s="7"/>
      <c r="S10" s="8"/>
      <c r="T10" s="8"/>
      <c r="U10" s="9" t="str">
        <f>IF(COUNTIFS(Contacts_Activation!D:D,D10,Contacts_Activation!N:N,"oui")&gt;0,"oui","non")</f>
        <v>oui</v>
      </c>
      <c r="V10" s="9" t="str">
        <f>IF(COUNTIFS(Travaux!C:C,D10,Travaux!X:X,"en_cours")&gt;0,"travaux_en_cours",IF(COUNTIFS(Ventes!C:C,D10,Ventes!L:L,"signature")&gt;0,"vente_signature",IF(COUNTIFS(Ventes!C:C,D10,Ventes!AD:AD,"oui")&gt;0,"vente_bloquee",IF(COUNTIFS(Gestion_Locative!C:C,D10,Gestion_Locative!O:O,"incomplet")&gt;0,"gestion_fragile","stable"))))</f>
        <v>vente_bloquee</v>
      </c>
    </row>
    <row r="11" spans="1:24" ht="21.75" customHeight="1" x14ac:dyDescent="0.3">
      <c r="A11" s="6" t="s">
        <v>202</v>
      </c>
      <c r="B11" s="1" t="s">
        <v>4510</v>
      </c>
      <c r="C11" s="6" t="s">
        <v>203</v>
      </c>
      <c r="D11" s="6" t="s">
        <v>256</v>
      </c>
      <c r="E11" s="6" t="s">
        <v>78</v>
      </c>
      <c r="F11" s="6" t="s">
        <v>257</v>
      </c>
      <c r="G11" s="18">
        <v>30</v>
      </c>
      <c r="H11">
        <v>68</v>
      </c>
      <c r="I11">
        <v>24</v>
      </c>
      <c r="J11" s="7" t="s">
        <v>258</v>
      </c>
      <c r="K11" s="7" t="s">
        <v>259</v>
      </c>
      <c r="L11" s="7" t="s">
        <v>260</v>
      </c>
      <c r="M11" s="7"/>
      <c r="N11" s="7"/>
      <c r="O11" s="7" t="s">
        <v>93</v>
      </c>
      <c r="P11" s="7" t="s">
        <v>209</v>
      </c>
      <c r="Q11" s="7" t="s">
        <v>93</v>
      </c>
      <c r="R11" s="7"/>
      <c r="S11" s="8"/>
      <c r="T11" s="8"/>
      <c r="U11" s="9" t="str">
        <f>IF(COUNTIFS(Contacts_Activation!D:D,D11,Contacts_Activation!N:N,"oui")&gt;0,"oui","non")</f>
        <v>oui</v>
      </c>
      <c r="V11" s="9" t="str">
        <f>IF(COUNTIFS(Travaux!C:C,D11,Travaux!X:X,"en_cours")&gt;0,"travaux_en_cours",IF(COUNTIFS(Ventes!C:C,D11,Ventes!L:L,"signature")&gt;0,"vente_signature",IF(COUNTIFS(Ventes!C:C,D11,Ventes!AD:AD,"oui")&gt;0,"vente_bloquee",IF(COUNTIFS(Gestion_Locative!C:C,D11,Gestion_Locative!O:O,"incomplet")&gt;0,"gestion_fragile","stable"))))</f>
        <v>vente_bloquee</v>
      </c>
    </row>
    <row r="12" spans="1:24" ht="21.75" customHeight="1" x14ac:dyDescent="0.3">
      <c r="A12" s="6" t="s">
        <v>202</v>
      </c>
      <c r="B12" s="1" t="s">
        <v>4510</v>
      </c>
      <c r="C12" s="6" t="s">
        <v>203</v>
      </c>
      <c r="D12" s="6" t="s">
        <v>261</v>
      </c>
      <c r="E12" s="6" t="s">
        <v>78</v>
      </c>
      <c r="F12" s="6" t="s">
        <v>263</v>
      </c>
      <c r="G12" s="18">
        <v>30</v>
      </c>
      <c r="H12">
        <v>68</v>
      </c>
      <c r="I12">
        <v>24</v>
      </c>
      <c r="J12" s="7" t="s">
        <v>264</v>
      </c>
      <c r="K12" s="7" t="s">
        <v>265</v>
      </c>
      <c r="L12" s="7" t="s">
        <v>266</v>
      </c>
      <c r="M12" s="7" t="s">
        <v>267</v>
      </c>
      <c r="N12" s="7" t="s">
        <v>268</v>
      </c>
      <c r="O12" s="7" t="s">
        <v>93</v>
      </c>
      <c r="P12" s="7" t="s">
        <v>209</v>
      </c>
      <c r="Q12" s="7" t="s">
        <v>93</v>
      </c>
      <c r="R12" s="7"/>
      <c r="S12" s="8"/>
      <c r="T12" s="8"/>
      <c r="U12" s="9" t="str">
        <f>IF(COUNTIFS(Contacts_Activation!D:D,D12,Contacts_Activation!N:N,"oui")&gt;0,"oui","non")</f>
        <v>oui</v>
      </c>
      <c r="V12" s="9" t="str">
        <f>IF(COUNTIFS(Travaux!C:C,D12,Travaux!X:X,"en_cours")&gt;0,"travaux_en_cours",IF(COUNTIFS(Ventes!C:C,D12,Ventes!L:L,"signature")&gt;0,"vente_signature",IF(COUNTIFS(Ventes!C:C,D12,Ventes!AD:AD,"oui")&gt;0,"vente_bloquee",IF(COUNTIFS(Gestion_Locative!C:C,D12,Gestion_Locative!O:O,"incomplet")&gt;0,"gestion_fragile","stable"))))</f>
        <v>vente_bloquee</v>
      </c>
    </row>
    <row r="13" spans="1:24" ht="21.75" customHeight="1" x14ac:dyDescent="0.3">
      <c r="A13" s="6" t="s">
        <v>202</v>
      </c>
      <c r="B13" s="1" t="s">
        <v>4510</v>
      </c>
      <c r="C13" s="6" t="s">
        <v>203</v>
      </c>
      <c r="D13" s="6" t="s">
        <v>269</v>
      </c>
      <c r="E13" s="6" t="s">
        <v>78</v>
      </c>
      <c r="F13" s="6" t="s">
        <v>271</v>
      </c>
      <c r="G13" s="18">
        <v>30</v>
      </c>
      <c r="H13">
        <v>68</v>
      </c>
      <c r="I13">
        <v>24</v>
      </c>
      <c r="J13" s="7" t="s">
        <v>272</v>
      </c>
      <c r="K13" s="7" t="s">
        <v>273</v>
      </c>
      <c r="L13" s="7" t="s">
        <v>274</v>
      </c>
      <c r="M13" s="7" t="s">
        <v>275</v>
      </c>
      <c r="N13" s="7" t="s">
        <v>276</v>
      </c>
      <c r="O13" s="7" t="s">
        <v>93</v>
      </c>
      <c r="P13" s="7" t="s">
        <v>209</v>
      </c>
      <c r="Q13" s="7" t="s">
        <v>93</v>
      </c>
      <c r="R13" s="7"/>
      <c r="S13" s="8"/>
      <c r="T13" s="8"/>
      <c r="U13" s="9" t="str">
        <f>IF(COUNTIFS(Contacts_Activation!D:D,D13,Contacts_Activation!N:N,"oui")&gt;0,"oui","non")</f>
        <v>oui</v>
      </c>
      <c r="V13" s="9" t="str">
        <f>IF(COUNTIFS(Travaux!C:C,D13,Travaux!X:X,"en_cours")&gt;0,"travaux_en_cours",IF(COUNTIFS(Ventes!C:C,D13,Ventes!L:L,"signature")&gt;0,"vente_signature",IF(COUNTIFS(Ventes!C:C,D13,Ventes!AD:AD,"oui")&gt;0,"vente_bloquee",IF(COUNTIFS(Gestion_Locative!C:C,D13,Gestion_Locative!O:O,"incomplet")&gt;0,"gestion_fragile","stable"))))</f>
        <v>vente_bloquee</v>
      </c>
    </row>
    <row r="14" spans="1:24" ht="21.75" customHeight="1" x14ac:dyDescent="0.3">
      <c r="A14" s="6" t="s">
        <v>202</v>
      </c>
      <c r="B14" s="1" t="s">
        <v>4510</v>
      </c>
      <c r="C14" s="6" t="s">
        <v>203</v>
      </c>
      <c r="D14" s="6" t="s">
        <v>277</v>
      </c>
      <c r="E14" s="6" t="s">
        <v>78</v>
      </c>
      <c r="F14" s="6" t="s">
        <v>278</v>
      </c>
      <c r="G14" s="18">
        <v>30</v>
      </c>
      <c r="H14">
        <v>68</v>
      </c>
      <c r="I14">
        <v>24</v>
      </c>
      <c r="J14" s="7" t="s">
        <v>279</v>
      </c>
      <c r="K14" s="7" t="s">
        <v>280</v>
      </c>
      <c r="L14" s="7" t="s">
        <v>281</v>
      </c>
      <c r="M14" s="7"/>
      <c r="N14" s="7"/>
      <c r="O14" s="7" t="s">
        <v>93</v>
      </c>
      <c r="P14" s="7" t="s">
        <v>209</v>
      </c>
      <c r="Q14" s="7" t="s">
        <v>93</v>
      </c>
      <c r="R14" s="7"/>
      <c r="S14" s="8"/>
      <c r="T14" s="8"/>
      <c r="U14" s="9" t="str">
        <f>IF(COUNTIFS(Contacts_Activation!D:D,D14,Contacts_Activation!N:N,"oui")&gt;0,"oui","non")</f>
        <v>oui</v>
      </c>
      <c r="V14" s="9" t="str">
        <f>IF(COUNTIFS(Travaux!C:C,D14,Travaux!X:X,"en_cours")&gt;0,"travaux_en_cours",IF(COUNTIFS(Ventes!C:C,D14,Ventes!L:L,"signature")&gt;0,"vente_signature",IF(COUNTIFS(Ventes!C:C,D14,Ventes!AD:AD,"oui")&gt;0,"vente_bloquee",IF(COUNTIFS(Gestion_Locative!C:C,D14,Gestion_Locative!O:O,"incomplet")&gt;0,"gestion_fragile","stable"))))</f>
        <v>vente_bloquee</v>
      </c>
    </row>
    <row r="15" spans="1:24" ht="21.75" customHeight="1" x14ac:dyDescent="0.3">
      <c r="A15" s="6" t="s">
        <v>202</v>
      </c>
      <c r="B15" s="1" t="s">
        <v>4510</v>
      </c>
      <c r="C15" s="6" t="s">
        <v>203</v>
      </c>
      <c r="D15" s="6" t="s">
        <v>282</v>
      </c>
      <c r="E15" s="6" t="s">
        <v>78</v>
      </c>
      <c r="F15" s="6" t="s">
        <v>283</v>
      </c>
      <c r="G15" s="18">
        <v>30</v>
      </c>
      <c r="H15">
        <v>68</v>
      </c>
      <c r="I15">
        <v>24</v>
      </c>
      <c r="J15" s="7" t="s">
        <v>284</v>
      </c>
      <c r="K15" s="7" t="s">
        <v>285</v>
      </c>
      <c r="L15" s="7" t="s">
        <v>286</v>
      </c>
      <c r="M15" s="7"/>
      <c r="N15" s="7"/>
      <c r="O15" s="7" t="s">
        <v>93</v>
      </c>
      <c r="P15" s="7" t="s">
        <v>209</v>
      </c>
      <c r="Q15" s="7" t="s">
        <v>93</v>
      </c>
      <c r="R15" s="7"/>
      <c r="S15" s="8"/>
      <c r="T15" s="8"/>
      <c r="U15" s="9" t="str">
        <f>IF(COUNTIFS(Contacts_Activation!D:D,D15,Contacts_Activation!N:N,"oui")&gt;0,"oui","non")</f>
        <v>oui</v>
      </c>
      <c r="V15" s="9" t="str">
        <f>IF(COUNTIFS(Travaux!C:C,D15,Travaux!X:X,"en_cours")&gt;0,"travaux_en_cours",IF(COUNTIFS(Ventes!C:C,D15,Ventes!L:L,"signature")&gt;0,"vente_signature",IF(COUNTIFS(Ventes!C:C,D15,Ventes!AD:AD,"oui")&gt;0,"vente_bloquee",IF(COUNTIFS(Gestion_Locative!C:C,D15,Gestion_Locative!O:O,"incomplet")&gt;0,"gestion_fragile","stable"))))</f>
        <v>vente_bloquee</v>
      </c>
    </row>
    <row r="16" spans="1:24" ht="21.75" customHeight="1" x14ac:dyDescent="0.3">
      <c r="A16" s="6" t="s">
        <v>202</v>
      </c>
      <c r="B16" s="1" t="s">
        <v>4510</v>
      </c>
      <c r="C16" s="6" t="s">
        <v>203</v>
      </c>
      <c r="D16" s="6" t="s">
        <v>287</v>
      </c>
      <c r="E16" s="6" t="s">
        <v>78</v>
      </c>
      <c r="F16" s="6" t="s">
        <v>288</v>
      </c>
      <c r="G16" s="18">
        <v>30</v>
      </c>
      <c r="H16">
        <v>68</v>
      </c>
      <c r="I16">
        <v>24</v>
      </c>
      <c r="J16" s="7" t="s">
        <v>284</v>
      </c>
      <c r="K16" s="7" t="s">
        <v>289</v>
      </c>
      <c r="L16" s="7" t="s">
        <v>290</v>
      </c>
      <c r="M16" s="7"/>
      <c r="N16" s="7"/>
      <c r="O16" s="7" t="s">
        <v>93</v>
      </c>
      <c r="P16" s="7" t="s">
        <v>209</v>
      </c>
      <c r="Q16" s="7" t="s">
        <v>93</v>
      </c>
      <c r="R16" s="7"/>
      <c r="S16" s="8"/>
      <c r="T16" s="8"/>
      <c r="U16" s="9" t="str">
        <f>IF(COUNTIFS(Contacts_Activation!D:D,D16,Contacts_Activation!N:N,"oui")&gt;0,"oui","non")</f>
        <v>oui</v>
      </c>
      <c r="V16" s="9" t="str">
        <f>IF(COUNTIFS(Travaux!C:C,D16,Travaux!X:X,"en_cours")&gt;0,"travaux_en_cours",IF(COUNTIFS(Ventes!C:C,D16,Ventes!L:L,"signature")&gt;0,"vente_signature",IF(COUNTIFS(Ventes!C:C,D16,Ventes!AD:AD,"oui")&gt;0,"vente_bloquee",IF(COUNTIFS(Gestion_Locative!C:C,D16,Gestion_Locative!O:O,"incomplet")&gt;0,"gestion_fragile","stable"))))</f>
        <v>vente_bloquee</v>
      </c>
    </row>
    <row r="17" spans="1:22" ht="21.75" customHeight="1" x14ac:dyDescent="0.3">
      <c r="A17" s="6" t="s">
        <v>202</v>
      </c>
      <c r="B17" s="1" t="s">
        <v>4510</v>
      </c>
      <c r="C17" s="6" t="s">
        <v>203</v>
      </c>
      <c r="D17" s="6" t="s">
        <v>291</v>
      </c>
      <c r="E17" s="6" t="s">
        <v>78</v>
      </c>
      <c r="F17" s="6" t="s">
        <v>293</v>
      </c>
      <c r="G17" s="18">
        <v>30</v>
      </c>
      <c r="H17">
        <v>68</v>
      </c>
      <c r="I17">
        <v>24</v>
      </c>
      <c r="J17" s="7" t="s">
        <v>294</v>
      </c>
      <c r="K17" s="7" t="s">
        <v>295</v>
      </c>
      <c r="L17" s="7" t="s">
        <v>296</v>
      </c>
      <c r="M17" s="7"/>
      <c r="N17" s="7"/>
      <c r="O17" s="7" t="s">
        <v>93</v>
      </c>
      <c r="P17" s="7" t="s">
        <v>209</v>
      </c>
      <c r="Q17" s="7" t="s">
        <v>93</v>
      </c>
      <c r="R17" s="7"/>
      <c r="S17" s="8"/>
      <c r="T17" s="8"/>
      <c r="U17" s="9" t="str">
        <f>IF(COUNTIFS(Contacts_Activation!D:D,D17,Contacts_Activation!N:N,"oui")&gt;0,"oui","non")</f>
        <v>oui</v>
      </c>
      <c r="V17" s="9" t="str">
        <f>IF(COUNTIFS(Travaux!C:C,D17,Travaux!X:X,"en_cours")&gt;0,"travaux_en_cours",IF(COUNTIFS(Ventes!C:C,D17,Ventes!L:L,"signature")&gt;0,"vente_signature",IF(COUNTIFS(Ventes!C:C,D17,Ventes!AD:AD,"oui")&gt;0,"vente_bloquee",IF(COUNTIFS(Gestion_Locative!C:C,D17,Gestion_Locative!O:O,"incomplet")&gt;0,"gestion_fragile","stable"))))</f>
        <v>vente_bloquee</v>
      </c>
    </row>
    <row r="18" spans="1:22" ht="21.75" customHeight="1" x14ac:dyDescent="0.3">
      <c r="A18" s="6" t="s">
        <v>202</v>
      </c>
      <c r="B18" s="1" t="s">
        <v>4510</v>
      </c>
      <c r="C18" s="6" t="s">
        <v>203</v>
      </c>
      <c r="D18" s="6" t="s">
        <v>297</v>
      </c>
      <c r="E18" s="6" t="s">
        <v>78</v>
      </c>
      <c r="F18" s="6" t="s">
        <v>298</v>
      </c>
      <c r="G18" s="18">
        <v>30</v>
      </c>
      <c r="H18">
        <v>68</v>
      </c>
      <c r="I18">
        <v>24</v>
      </c>
      <c r="J18" s="7" t="s">
        <v>299</v>
      </c>
      <c r="K18" s="7" t="s">
        <v>300</v>
      </c>
      <c r="L18" s="7" t="s">
        <v>301</v>
      </c>
      <c r="M18" s="7" t="s">
        <v>302</v>
      </c>
      <c r="N18" s="7"/>
      <c r="O18" s="7" t="s">
        <v>93</v>
      </c>
      <c r="P18" s="7" t="s">
        <v>209</v>
      </c>
      <c r="Q18" s="7" t="s">
        <v>93</v>
      </c>
      <c r="R18" s="7"/>
      <c r="S18" s="8"/>
      <c r="T18" s="8"/>
      <c r="U18" s="9" t="str">
        <f>IF(COUNTIFS(Contacts_Activation!D:D,D18,Contacts_Activation!N:N,"oui")&gt;0,"oui","non")</f>
        <v>oui</v>
      </c>
      <c r="V18" s="9" t="str">
        <f>IF(COUNTIFS(Travaux!C:C,D18,Travaux!X:X,"en_cours")&gt;0,"travaux_en_cours",IF(COUNTIFS(Ventes!C:C,D18,Ventes!L:L,"signature")&gt;0,"vente_signature",IF(COUNTIFS(Ventes!C:C,D18,Ventes!AD:AD,"oui")&gt;0,"vente_bloquee",IF(COUNTIFS(Gestion_Locative!C:C,D18,Gestion_Locative!O:O,"incomplet")&gt;0,"gestion_fragile","stable"))))</f>
        <v>vente_bloquee</v>
      </c>
    </row>
    <row r="19" spans="1:22" ht="21.75" customHeight="1" x14ac:dyDescent="0.3">
      <c r="A19" s="6" t="s">
        <v>202</v>
      </c>
      <c r="B19" s="1" t="s">
        <v>4510</v>
      </c>
      <c r="C19" s="6" t="s">
        <v>203</v>
      </c>
      <c r="D19" s="6" t="s">
        <v>303</v>
      </c>
      <c r="E19" s="6" t="s">
        <v>78</v>
      </c>
      <c r="F19" s="6" t="s">
        <v>304</v>
      </c>
      <c r="G19" s="18">
        <v>30</v>
      </c>
      <c r="H19">
        <v>68</v>
      </c>
      <c r="I19">
        <v>24</v>
      </c>
      <c r="J19" s="7" t="s">
        <v>305</v>
      </c>
      <c r="K19" s="7" t="s">
        <v>306</v>
      </c>
      <c r="L19" s="7" t="s">
        <v>307</v>
      </c>
      <c r="M19" s="7" t="s">
        <v>308</v>
      </c>
      <c r="N19" s="7"/>
      <c r="O19" s="7" t="s">
        <v>93</v>
      </c>
      <c r="P19" s="7" t="s">
        <v>209</v>
      </c>
      <c r="Q19" s="7" t="s">
        <v>93</v>
      </c>
      <c r="R19" s="7"/>
      <c r="S19" s="8"/>
      <c r="T19" s="8"/>
      <c r="U19" s="9" t="str">
        <f>IF(COUNTIFS(Contacts_Activation!D:D,D19,Contacts_Activation!N:N,"oui")&gt;0,"oui","non")</f>
        <v>oui</v>
      </c>
      <c r="V19" s="9" t="str">
        <f>IF(COUNTIFS(Travaux!C:C,D19,Travaux!X:X,"en_cours")&gt;0,"travaux_en_cours",IF(COUNTIFS(Ventes!C:C,D19,Ventes!L:L,"signature")&gt;0,"vente_signature",IF(COUNTIFS(Ventes!C:C,D19,Ventes!AD:AD,"oui")&gt;0,"vente_bloquee",IF(COUNTIFS(Gestion_Locative!C:C,D19,Gestion_Locative!O:O,"incomplet")&gt;0,"gestion_fragile","stable"))))</f>
        <v>vente_bloquee</v>
      </c>
    </row>
    <row r="20" spans="1:22" ht="21.75" customHeight="1" x14ac:dyDescent="0.3">
      <c r="A20" s="6" t="s">
        <v>202</v>
      </c>
      <c r="B20" s="1" t="s">
        <v>4510</v>
      </c>
      <c r="C20" s="6" t="s">
        <v>203</v>
      </c>
      <c r="D20" s="6" t="s">
        <v>309</v>
      </c>
      <c r="E20" s="6" t="s">
        <v>78</v>
      </c>
      <c r="F20" s="6" t="s">
        <v>310</v>
      </c>
      <c r="G20" s="18">
        <v>30</v>
      </c>
      <c r="H20">
        <v>68</v>
      </c>
      <c r="I20">
        <v>24</v>
      </c>
      <c r="J20" s="7" t="s">
        <v>311</v>
      </c>
      <c r="K20" s="7" t="s">
        <v>312</v>
      </c>
      <c r="L20" s="7" t="s">
        <v>313</v>
      </c>
      <c r="M20" s="7" t="s">
        <v>314</v>
      </c>
      <c r="N20" s="7"/>
      <c r="O20" s="7" t="s">
        <v>93</v>
      </c>
      <c r="P20" s="7" t="s">
        <v>209</v>
      </c>
      <c r="Q20" s="7" t="s">
        <v>93</v>
      </c>
      <c r="R20" s="7"/>
      <c r="S20" s="8"/>
      <c r="T20" s="8"/>
      <c r="U20" s="9" t="str">
        <f>IF(COUNTIFS(Contacts_Activation!D:D,D20,Contacts_Activation!N:N,"oui")&gt;0,"oui","non")</f>
        <v>oui</v>
      </c>
      <c r="V20" s="9" t="str">
        <f>IF(COUNTIFS(Travaux!C:C,D20,Travaux!X:X,"en_cours")&gt;0,"travaux_en_cours",IF(COUNTIFS(Ventes!C:C,D20,Ventes!L:L,"signature")&gt;0,"vente_signature",IF(COUNTIFS(Ventes!C:C,D20,Ventes!AD:AD,"oui")&gt;0,"vente_bloquee",IF(COUNTIFS(Gestion_Locative!C:C,D20,Gestion_Locative!O:O,"incomplet")&gt;0,"gestion_fragile","stable"))))</f>
        <v>vente_bloquee</v>
      </c>
    </row>
    <row r="21" spans="1:22" ht="27.6" x14ac:dyDescent="0.3">
      <c r="A21" s="6" t="s">
        <v>202</v>
      </c>
      <c r="B21" s="1" t="s">
        <v>4510</v>
      </c>
      <c r="C21" s="6" t="s">
        <v>203</v>
      </c>
      <c r="D21" s="6" t="s">
        <v>315</v>
      </c>
      <c r="E21" s="6" t="s">
        <v>78</v>
      </c>
      <c r="F21" s="6" t="s">
        <v>317</v>
      </c>
      <c r="G21" s="18">
        <v>30</v>
      </c>
      <c r="H21">
        <v>68</v>
      </c>
      <c r="I21">
        <v>24</v>
      </c>
      <c r="J21" s="7" t="s">
        <v>318</v>
      </c>
      <c r="K21" s="7" t="s">
        <v>319</v>
      </c>
      <c r="L21" s="7" t="s">
        <v>320</v>
      </c>
      <c r="M21" s="7"/>
      <c r="N21" s="7"/>
      <c r="O21" s="7" t="s">
        <v>93</v>
      </c>
      <c r="P21" s="7" t="s">
        <v>209</v>
      </c>
      <c r="Q21" s="7" t="s">
        <v>93</v>
      </c>
      <c r="R21" s="7"/>
      <c r="S21" s="8"/>
      <c r="T21" s="8"/>
      <c r="U21" s="9" t="str">
        <f>IF(COUNTIFS(Contacts_Activation!D:D,D21,Contacts_Activation!N:N,"oui")&gt;0,"oui","non")</f>
        <v>oui</v>
      </c>
      <c r="V21" s="9" t="str">
        <f>IF(COUNTIFS(Travaux!C:C,D21,Travaux!X:X,"en_cours")&gt;0,"travaux_en_cours",IF(COUNTIFS(Ventes!C:C,D21,Ventes!L:L,"signature")&gt;0,"vente_signature",IF(COUNTIFS(Ventes!C:C,D21,Ventes!AD:AD,"oui")&gt;0,"vente_bloquee",IF(COUNTIFS(Gestion_Locative!C:C,D21,Gestion_Locative!O:O,"incomplet")&gt;0,"gestion_fragile","stable"))))</f>
        <v>vente_bloquee</v>
      </c>
    </row>
    <row r="22" spans="1:22" ht="27.6" x14ac:dyDescent="0.3">
      <c r="A22" s="6" t="s">
        <v>202</v>
      </c>
      <c r="B22" s="1" t="s">
        <v>4510</v>
      </c>
      <c r="C22" s="6" t="s">
        <v>203</v>
      </c>
      <c r="D22" s="6" t="s">
        <v>321</v>
      </c>
      <c r="E22" s="6" t="s">
        <v>78</v>
      </c>
      <c r="F22" s="6" t="s">
        <v>322</v>
      </c>
      <c r="G22" s="18">
        <v>30</v>
      </c>
      <c r="H22">
        <v>68</v>
      </c>
      <c r="I22">
        <v>24</v>
      </c>
      <c r="J22" s="7" t="s">
        <v>323</v>
      </c>
      <c r="K22" s="7" t="s">
        <v>324</v>
      </c>
      <c r="L22" s="7" t="s">
        <v>325</v>
      </c>
      <c r="M22" s="7" t="s">
        <v>326</v>
      </c>
      <c r="N22" s="7" t="s">
        <v>327</v>
      </c>
      <c r="O22" s="7" t="s">
        <v>93</v>
      </c>
      <c r="P22" s="7" t="s">
        <v>209</v>
      </c>
      <c r="Q22" s="7" t="s">
        <v>93</v>
      </c>
      <c r="R22" s="7"/>
      <c r="S22" s="8"/>
      <c r="T22" s="8"/>
      <c r="U22" s="9" t="str">
        <f>IF(COUNTIFS(Contacts_Activation!D:D,D22,Contacts_Activation!N:N,"oui")&gt;0,"oui","non")</f>
        <v>oui</v>
      </c>
      <c r="V22" s="9" t="str">
        <f>IF(COUNTIFS(Travaux!C:C,D22,Travaux!X:X,"en_cours")&gt;0,"travaux_en_cours",IF(COUNTIFS(Ventes!C:C,D22,Ventes!L:L,"signature")&gt;0,"vente_signature",IF(COUNTIFS(Ventes!C:C,D22,Ventes!AD:AD,"oui")&gt;0,"vente_bloquee",IF(COUNTIFS(Gestion_Locative!C:C,D22,Gestion_Locative!O:O,"incomplet")&gt;0,"gestion_fragile","stable"))))</f>
        <v>vente_bloquee</v>
      </c>
    </row>
    <row r="23" spans="1:22" ht="27.6" x14ac:dyDescent="0.3">
      <c r="A23" s="6" t="s">
        <v>202</v>
      </c>
      <c r="B23" s="1" t="s">
        <v>4510</v>
      </c>
      <c r="C23" s="6" t="s">
        <v>203</v>
      </c>
      <c r="D23" s="6" t="s">
        <v>328</v>
      </c>
      <c r="E23" s="6" t="s">
        <v>78</v>
      </c>
      <c r="F23" s="6" t="s">
        <v>329</v>
      </c>
      <c r="G23" s="18">
        <v>30</v>
      </c>
      <c r="H23">
        <v>68</v>
      </c>
      <c r="I23">
        <v>24</v>
      </c>
      <c r="J23" s="7" t="s">
        <v>294</v>
      </c>
      <c r="K23" s="7" t="s">
        <v>330</v>
      </c>
      <c r="L23" s="7" t="s">
        <v>331</v>
      </c>
      <c r="M23" s="7"/>
      <c r="N23" s="7"/>
      <c r="O23" s="7" t="s">
        <v>93</v>
      </c>
      <c r="P23" s="7" t="s">
        <v>209</v>
      </c>
      <c r="Q23" s="7" t="s">
        <v>93</v>
      </c>
      <c r="R23" s="7"/>
      <c r="S23" s="8"/>
      <c r="T23" s="8"/>
      <c r="U23" s="9" t="str">
        <f>IF(COUNTIFS(Contacts_Activation!D:D,D23,Contacts_Activation!N:N,"oui")&gt;0,"oui","non")</f>
        <v>oui</v>
      </c>
      <c r="V23" s="9" t="str">
        <f>IF(COUNTIFS(Travaux!C:C,D23,Travaux!X:X,"en_cours")&gt;0,"travaux_en_cours",IF(COUNTIFS(Ventes!C:C,D23,Ventes!L:L,"signature")&gt;0,"vente_signature",IF(COUNTIFS(Ventes!C:C,D23,Ventes!AD:AD,"oui")&gt;0,"vente_bloquee",IF(COUNTIFS(Gestion_Locative!C:C,D23,Gestion_Locative!O:O,"incomplet")&gt;0,"gestion_fragile","stable"))))</f>
        <v>vente_bloquee</v>
      </c>
    </row>
    <row r="24" spans="1:22" ht="27.6" x14ac:dyDescent="0.3">
      <c r="A24" s="6" t="s">
        <v>202</v>
      </c>
      <c r="B24" s="1" t="s">
        <v>4510</v>
      </c>
      <c r="C24" s="6" t="s">
        <v>203</v>
      </c>
      <c r="D24" s="6" t="s">
        <v>332</v>
      </c>
      <c r="E24" s="6" t="s">
        <v>78</v>
      </c>
      <c r="F24" s="6" t="s">
        <v>333</v>
      </c>
      <c r="G24" s="18">
        <v>30</v>
      </c>
      <c r="H24">
        <v>68</v>
      </c>
      <c r="I24">
        <v>24</v>
      </c>
      <c r="J24" s="7" t="s">
        <v>334</v>
      </c>
      <c r="K24" s="7" t="s">
        <v>335</v>
      </c>
      <c r="L24" s="7" t="s">
        <v>336</v>
      </c>
      <c r="M24" s="7"/>
      <c r="N24" s="7" t="s">
        <v>337</v>
      </c>
      <c r="O24" s="7" t="s">
        <v>93</v>
      </c>
      <c r="P24" s="7" t="s">
        <v>209</v>
      </c>
      <c r="Q24" s="7" t="s">
        <v>93</v>
      </c>
      <c r="R24" s="7"/>
      <c r="S24" s="8"/>
      <c r="T24" s="8"/>
      <c r="U24" s="9" t="str">
        <f>IF(COUNTIFS(Contacts_Activation!D:D,D24,Contacts_Activation!N:N,"oui")&gt;0,"oui","non")</f>
        <v>oui</v>
      </c>
      <c r="V24" s="9" t="str">
        <f>IF(COUNTIFS(Travaux!C:C,D24,Travaux!X:X,"en_cours")&gt;0,"travaux_en_cours",IF(COUNTIFS(Ventes!C:C,D24,Ventes!L:L,"signature")&gt;0,"vente_signature",IF(COUNTIFS(Ventes!C:C,D24,Ventes!AD:AD,"oui")&gt;0,"vente_bloquee",IF(COUNTIFS(Gestion_Locative!C:C,D24,Gestion_Locative!O:O,"incomplet")&gt;0,"gestion_fragile","stable"))))</f>
        <v>vente_bloquee</v>
      </c>
    </row>
    <row r="25" spans="1:22" ht="27.6" x14ac:dyDescent="0.3">
      <c r="A25" s="6" t="s">
        <v>202</v>
      </c>
      <c r="B25" s="1" t="s">
        <v>4510</v>
      </c>
      <c r="C25" s="6" t="s">
        <v>203</v>
      </c>
      <c r="D25" s="6" t="s">
        <v>338</v>
      </c>
      <c r="E25" s="6" t="s">
        <v>78</v>
      </c>
      <c r="F25" s="6" t="s">
        <v>339</v>
      </c>
      <c r="G25" s="18">
        <v>30</v>
      </c>
      <c r="H25">
        <v>68</v>
      </c>
      <c r="I25">
        <v>24</v>
      </c>
      <c r="J25" s="7" t="s">
        <v>334</v>
      </c>
      <c r="K25" s="7" t="s">
        <v>340</v>
      </c>
      <c r="L25" s="7" t="s">
        <v>341</v>
      </c>
      <c r="M25" s="7"/>
      <c r="N25" s="7"/>
      <c r="O25" s="7" t="s">
        <v>93</v>
      </c>
      <c r="P25" s="7" t="s">
        <v>209</v>
      </c>
      <c r="Q25" s="7" t="s">
        <v>93</v>
      </c>
      <c r="R25" s="7"/>
      <c r="S25" s="8"/>
      <c r="T25" s="8"/>
      <c r="U25" s="9" t="str">
        <f>IF(COUNTIFS(Contacts_Activation!D:D,D25,Contacts_Activation!N:N,"oui")&gt;0,"oui","non")</f>
        <v>oui</v>
      </c>
      <c r="V25" s="9" t="str">
        <f>IF(COUNTIFS(Travaux!C:C,D25,Travaux!X:X,"en_cours")&gt;0,"travaux_en_cours",IF(COUNTIFS(Ventes!C:C,D25,Ventes!L:L,"signature")&gt;0,"vente_signature",IF(COUNTIFS(Ventes!C:C,D25,Ventes!AD:AD,"oui")&gt;0,"vente_bloquee",IF(COUNTIFS(Gestion_Locative!C:C,D25,Gestion_Locative!O:O,"incomplet")&gt;0,"gestion_fragile","stable"))))</f>
        <v>vente_bloquee</v>
      </c>
    </row>
    <row r="26" spans="1:22" ht="27.6" x14ac:dyDescent="0.3">
      <c r="A26" s="6" t="s">
        <v>202</v>
      </c>
      <c r="B26" s="1" t="s">
        <v>4510</v>
      </c>
      <c r="C26" s="6" t="s">
        <v>203</v>
      </c>
      <c r="D26" s="6" t="s">
        <v>342</v>
      </c>
      <c r="E26" s="6" t="s">
        <v>78</v>
      </c>
      <c r="F26" s="6" t="s">
        <v>343</v>
      </c>
      <c r="G26" s="18">
        <v>30</v>
      </c>
      <c r="H26">
        <v>68</v>
      </c>
      <c r="I26">
        <v>24</v>
      </c>
      <c r="J26" s="7" t="s">
        <v>344</v>
      </c>
      <c r="K26" s="7" t="s">
        <v>345</v>
      </c>
      <c r="L26" s="7" t="s">
        <v>346</v>
      </c>
      <c r="M26" s="7"/>
      <c r="N26" s="7"/>
      <c r="O26" s="7" t="s">
        <v>93</v>
      </c>
      <c r="P26" s="7" t="s">
        <v>209</v>
      </c>
      <c r="Q26" s="7" t="s">
        <v>93</v>
      </c>
      <c r="R26" s="7"/>
      <c r="S26" s="8"/>
      <c r="T26" s="8"/>
      <c r="U26" s="9" t="str">
        <f>IF(COUNTIFS(Contacts_Activation!D:D,D26,Contacts_Activation!N:N,"oui")&gt;0,"oui","non")</f>
        <v>oui</v>
      </c>
      <c r="V26" s="9" t="str">
        <f>IF(COUNTIFS(Travaux!C:C,D26,Travaux!X:X,"en_cours")&gt;0,"travaux_en_cours",IF(COUNTIFS(Ventes!C:C,D26,Ventes!L:L,"signature")&gt;0,"vente_signature",IF(COUNTIFS(Ventes!C:C,D26,Ventes!AD:AD,"oui")&gt;0,"vente_bloquee",IF(COUNTIFS(Gestion_Locative!C:C,D26,Gestion_Locative!O:O,"incomplet")&gt;0,"gestion_fragile","stable"))))</f>
        <v>vente_bloquee</v>
      </c>
    </row>
    <row r="27" spans="1:22" ht="27.6" x14ac:dyDescent="0.3">
      <c r="A27" s="6" t="s">
        <v>202</v>
      </c>
      <c r="B27" s="1" t="s">
        <v>4510</v>
      </c>
      <c r="C27" s="6" t="s">
        <v>203</v>
      </c>
      <c r="D27" s="6" t="s">
        <v>347</v>
      </c>
      <c r="E27" s="6" t="s">
        <v>78</v>
      </c>
      <c r="F27" s="6" t="s">
        <v>348</v>
      </c>
      <c r="G27" s="18">
        <v>30</v>
      </c>
      <c r="H27">
        <v>68</v>
      </c>
      <c r="I27">
        <v>24</v>
      </c>
      <c r="J27" s="7" t="s">
        <v>349</v>
      </c>
      <c r="K27" s="7" t="s">
        <v>350</v>
      </c>
      <c r="L27" s="7" t="s">
        <v>351</v>
      </c>
      <c r="M27" s="7" t="s">
        <v>352</v>
      </c>
      <c r="N27" s="7" t="s">
        <v>353</v>
      </c>
      <c r="O27" s="7" t="s">
        <v>93</v>
      </c>
      <c r="P27" s="7" t="s">
        <v>209</v>
      </c>
      <c r="Q27" s="7" t="s">
        <v>93</v>
      </c>
      <c r="R27" s="7"/>
      <c r="S27" s="8"/>
      <c r="T27" s="8"/>
      <c r="U27" s="9" t="str">
        <f>IF(COUNTIFS(Contacts_Activation!D:D,D27,Contacts_Activation!N:N,"oui")&gt;0,"oui","non")</f>
        <v>oui</v>
      </c>
      <c r="V27" s="9" t="str">
        <f>IF(COUNTIFS(Travaux!C:C,D27,Travaux!X:X,"en_cours")&gt;0,"travaux_en_cours",IF(COUNTIFS(Ventes!C:C,D27,Ventes!L:L,"signature")&gt;0,"vente_signature",IF(COUNTIFS(Ventes!C:C,D27,Ventes!AD:AD,"oui")&gt;0,"vente_bloquee",IF(COUNTIFS(Gestion_Locative!C:C,D27,Gestion_Locative!O:O,"incomplet")&gt;0,"gestion_fragile","stable"))))</f>
        <v>vente_bloquee</v>
      </c>
    </row>
    <row r="28" spans="1:22" ht="27.6" x14ac:dyDescent="0.3">
      <c r="A28" s="6" t="s">
        <v>202</v>
      </c>
      <c r="B28" s="1" t="s">
        <v>4510</v>
      </c>
      <c r="C28" s="6" t="s">
        <v>203</v>
      </c>
      <c r="D28" s="6" t="s">
        <v>354</v>
      </c>
      <c r="E28" s="6" t="s">
        <v>78</v>
      </c>
      <c r="F28" s="6" t="s">
        <v>355</v>
      </c>
      <c r="G28" s="18">
        <v>30</v>
      </c>
      <c r="H28">
        <v>68</v>
      </c>
      <c r="I28">
        <v>24</v>
      </c>
      <c r="J28" s="7" t="s">
        <v>356</v>
      </c>
      <c r="K28" s="7" t="s">
        <v>357</v>
      </c>
      <c r="L28" s="7" t="s">
        <v>358</v>
      </c>
      <c r="M28" s="7" t="s">
        <v>359</v>
      </c>
      <c r="N28" s="7" t="s">
        <v>360</v>
      </c>
      <c r="O28" s="7" t="s">
        <v>93</v>
      </c>
      <c r="P28" s="7" t="s">
        <v>209</v>
      </c>
      <c r="Q28" s="7" t="s">
        <v>93</v>
      </c>
      <c r="R28" s="7"/>
      <c r="S28" s="8"/>
      <c r="T28" s="8"/>
      <c r="U28" s="9" t="str">
        <f>IF(COUNTIFS(Contacts_Activation!D:D,D28,Contacts_Activation!N:N,"oui")&gt;0,"oui","non")</f>
        <v>oui</v>
      </c>
      <c r="V28" s="9" t="str">
        <f>IF(COUNTIFS(Travaux!C:C,D28,Travaux!X:X,"en_cours")&gt;0,"travaux_en_cours",IF(COUNTIFS(Ventes!C:C,D28,Ventes!L:L,"signature")&gt;0,"vente_signature",IF(COUNTIFS(Ventes!C:C,D28,Ventes!AD:AD,"oui")&gt;0,"vente_bloquee",IF(COUNTIFS(Gestion_Locative!C:C,D28,Gestion_Locative!O:O,"incomplet")&gt;0,"gestion_fragile","stable"))))</f>
        <v>vente_bloquee</v>
      </c>
    </row>
    <row r="29" spans="1:22" ht="27.6" x14ac:dyDescent="0.3">
      <c r="A29" s="6" t="s">
        <v>202</v>
      </c>
      <c r="B29" s="1" t="s">
        <v>4510</v>
      </c>
      <c r="C29" s="6" t="s">
        <v>203</v>
      </c>
      <c r="D29" s="6" t="s">
        <v>361</v>
      </c>
      <c r="E29" s="6" t="s">
        <v>78</v>
      </c>
      <c r="F29" s="6" t="s">
        <v>362</v>
      </c>
      <c r="G29" s="18">
        <v>30</v>
      </c>
      <c r="H29">
        <v>68</v>
      </c>
      <c r="I29">
        <v>24</v>
      </c>
      <c r="J29" s="7" t="s">
        <v>284</v>
      </c>
      <c r="K29" s="7" t="s">
        <v>363</v>
      </c>
      <c r="L29" s="7" t="s">
        <v>364</v>
      </c>
      <c r="M29" s="7"/>
      <c r="N29" s="7"/>
      <c r="O29" s="7" t="s">
        <v>93</v>
      </c>
      <c r="P29" s="7" t="s">
        <v>209</v>
      </c>
      <c r="Q29" s="7" t="s">
        <v>93</v>
      </c>
      <c r="R29" s="7"/>
      <c r="S29" s="8"/>
      <c r="T29" s="8"/>
      <c r="U29" s="9" t="str">
        <f>IF(COUNTIFS(Contacts_Activation!D:D,D29,Contacts_Activation!N:N,"oui")&gt;0,"oui","non")</f>
        <v>oui</v>
      </c>
      <c r="V29" s="9" t="str">
        <f>IF(COUNTIFS(Travaux!C:C,D29,Travaux!X:X,"en_cours")&gt;0,"travaux_en_cours",IF(COUNTIFS(Ventes!C:C,D29,Ventes!L:L,"signature")&gt;0,"vente_signature",IF(COUNTIFS(Ventes!C:C,D29,Ventes!AD:AD,"oui")&gt;0,"vente_bloquee",IF(COUNTIFS(Gestion_Locative!C:C,D29,Gestion_Locative!O:O,"incomplet")&gt;0,"gestion_fragile","stable"))))</f>
        <v>vente_bloquee</v>
      </c>
    </row>
    <row r="30" spans="1:22" ht="27.6" x14ac:dyDescent="0.3">
      <c r="A30" s="6" t="s">
        <v>202</v>
      </c>
      <c r="B30" s="1" t="s">
        <v>4510</v>
      </c>
      <c r="C30" s="6" t="s">
        <v>203</v>
      </c>
      <c r="D30" s="6" t="s">
        <v>365</v>
      </c>
      <c r="E30" s="6" t="s">
        <v>78</v>
      </c>
      <c r="F30" s="6" t="s">
        <v>366</v>
      </c>
      <c r="G30" s="18">
        <v>30</v>
      </c>
      <c r="H30">
        <v>68</v>
      </c>
      <c r="I30">
        <v>24</v>
      </c>
      <c r="J30" s="7" t="s">
        <v>284</v>
      </c>
      <c r="K30" s="7" t="s">
        <v>367</v>
      </c>
      <c r="L30" s="7" t="s">
        <v>368</v>
      </c>
      <c r="M30" s="7" t="s">
        <v>369</v>
      </c>
      <c r="N30" s="7"/>
      <c r="O30" s="7" t="s">
        <v>93</v>
      </c>
      <c r="P30" s="7" t="s">
        <v>209</v>
      </c>
      <c r="Q30" s="7" t="s">
        <v>93</v>
      </c>
      <c r="R30" s="7"/>
      <c r="S30" s="8"/>
      <c r="T30" s="8"/>
      <c r="U30" s="9" t="str">
        <f>IF(COUNTIFS(Contacts_Activation!D:D,D30,Contacts_Activation!N:N,"oui")&gt;0,"oui","non")</f>
        <v>oui</v>
      </c>
      <c r="V30" s="9" t="str">
        <f>IF(COUNTIFS(Travaux!C:C,D30,Travaux!X:X,"en_cours")&gt;0,"travaux_en_cours",IF(COUNTIFS(Ventes!C:C,D30,Ventes!L:L,"signature")&gt;0,"vente_signature",IF(COUNTIFS(Ventes!C:C,D30,Ventes!AD:AD,"oui")&gt;0,"vente_bloquee",IF(COUNTIFS(Gestion_Locative!C:C,D30,Gestion_Locative!O:O,"incomplet")&gt;0,"gestion_fragile","stable"))))</f>
        <v>vente_bloquee</v>
      </c>
    </row>
    <row r="31" spans="1:22" ht="27.6" x14ac:dyDescent="0.3">
      <c r="A31" s="6" t="s">
        <v>202</v>
      </c>
      <c r="B31" s="1" t="s">
        <v>4510</v>
      </c>
      <c r="C31" s="6" t="s">
        <v>203</v>
      </c>
      <c r="D31" s="6" t="s">
        <v>370</v>
      </c>
      <c r="E31" s="6" t="s">
        <v>78</v>
      </c>
      <c r="F31" s="6" t="s">
        <v>371</v>
      </c>
      <c r="G31" s="18">
        <v>30</v>
      </c>
      <c r="H31">
        <v>68</v>
      </c>
      <c r="I31">
        <v>24</v>
      </c>
      <c r="J31" s="7" t="s">
        <v>372</v>
      </c>
      <c r="K31" s="7" t="s">
        <v>373</v>
      </c>
      <c r="L31" s="7" t="s">
        <v>374</v>
      </c>
      <c r="M31" s="7"/>
      <c r="N31" s="7"/>
      <c r="O31" s="7" t="s">
        <v>93</v>
      </c>
      <c r="P31" s="7" t="s">
        <v>209</v>
      </c>
      <c r="Q31" s="7" t="s">
        <v>93</v>
      </c>
      <c r="R31" s="7"/>
      <c r="S31" s="8"/>
      <c r="T31" s="8"/>
      <c r="U31" s="9" t="str">
        <f>IF(COUNTIFS(Contacts_Activation!D:D,D31,Contacts_Activation!N:N,"oui")&gt;0,"oui","non")</f>
        <v>oui</v>
      </c>
      <c r="V31" s="9" t="str">
        <f>IF(COUNTIFS(Travaux!C:C,D31,Travaux!X:X,"en_cours")&gt;0,"travaux_en_cours",IF(COUNTIFS(Ventes!C:C,D31,Ventes!L:L,"signature")&gt;0,"vente_signature",IF(COUNTIFS(Ventes!C:C,D31,Ventes!AD:AD,"oui")&gt;0,"vente_bloquee",IF(COUNTIFS(Gestion_Locative!C:C,D31,Gestion_Locative!O:O,"incomplet")&gt;0,"gestion_fragile","stable"))))</f>
        <v>vente_bloquee</v>
      </c>
    </row>
    <row r="32" spans="1:22" ht="14.4" hidden="1" x14ac:dyDescent="0.3">
      <c r="A32" s="6" t="s">
        <v>202</v>
      </c>
      <c r="B32" s="1" t="s">
        <v>4511</v>
      </c>
      <c r="C32" s="6" t="s">
        <v>375</v>
      </c>
      <c r="D32" s="6" t="s">
        <v>376</v>
      </c>
      <c r="E32" s="6" t="s">
        <v>377</v>
      </c>
      <c r="F32" s="6" t="s">
        <v>378</v>
      </c>
      <c r="G32" s="18">
        <v>3</v>
      </c>
      <c r="H32">
        <v>75</v>
      </c>
      <c r="I32">
        <v>35</v>
      </c>
      <c r="J32" s="7" t="s">
        <v>379</v>
      </c>
      <c r="K32" s="7" t="s">
        <v>380</v>
      </c>
      <c r="L32" s="7" t="s">
        <v>381</v>
      </c>
      <c r="M32" s="7" t="s">
        <v>382</v>
      </c>
      <c r="N32" s="7" t="s">
        <v>383</v>
      </c>
      <c r="O32" s="7" t="s">
        <v>90</v>
      </c>
      <c r="P32" s="7"/>
      <c r="Q32" s="7" t="s">
        <v>93</v>
      </c>
      <c r="R32" s="7"/>
      <c r="S32" s="8"/>
      <c r="T32" s="8"/>
      <c r="U32" s="9" t="str">
        <f>IF(COUNTIFS(Contacts_Activation!D:D,D32,Contacts_Activation!N:N,"oui")&gt;0,"oui","non")</f>
        <v>oui</v>
      </c>
      <c r="V32" s="9" t="str">
        <f>IF(COUNTIFS(Travaux!C:C,D32,Travaux!X:X,"en_cours")&gt;0,"travaux_en_cours",IF(COUNTIFS(Ventes!C:C,D32,Ventes!L:L,"signature")&gt;0,"vente_signature",IF(COUNTIFS(Ventes!C:C,D32,Ventes!AD:AD,"oui")&gt;0,"vente_bloquee",IF(COUNTIFS(Gestion_Locative!C:C,D32,Gestion_Locative!O:O,"incomplet")&gt;0,"gestion_fragile","stable"))))</f>
        <v>vente_bloquee</v>
      </c>
    </row>
    <row r="33" spans="1:22" ht="14.4" hidden="1" x14ac:dyDescent="0.3">
      <c r="A33" s="6" t="s">
        <v>202</v>
      </c>
      <c r="B33" s="1" t="s">
        <v>4511</v>
      </c>
      <c r="C33" s="6" t="s">
        <v>375</v>
      </c>
      <c r="D33" s="6" t="s">
        <v>384</v>
      </c>
      <c r="E33" s="6" t="s">
        <v>377</v>
      </c>
      <c r="F33" s="6" t="s">
        <v>385</v>
      </c>
      <c r="G33" s="18">
        <v>3</v>
      </c>
      <c r="H33">
        <v>75</v>
      </c>
      <c r="I33">
        <v>35</v>
      </c>
      <c r="J33" s="7" t="s">
        <v>386</v>
      </c>
      <c r="K33" s="7" t="s">
        <v>387</v>
      </c>
      <c r="L33" s="7" t="s">
        <v>388</v>
      </c>
      <c r="M33" s="7"/>
      <c r="N33" s="7" t="s">
        <v>389</v>
      </c>
      <c r="O33" s="7" t="s">
        <v>90</v>
      </c>
      <c r="P33" s="7"/>
      <c r="Q33" s="7" t="s">
        <v>93</v>
      </c>
      <c r="R33" s="7"/>
      <c r="S33" s="8"/>
      <c r="T33" s="8"/>
      <c r="U33" s="9" t="str">
        <f>IF(COUNTIFS(Contacts_Activation!D:D,D33,Contacts_Activation!N:N,"oui")&gt;0,"oui","non")</f>
        <v>oui</v>
      </c>
      <c r="V33" s="9" t="str">
        <f>IF(COUNTIFS(Travaux!C:C,D33,Travaux!X:X,"en_cours")&gt;0,"travaux_en_cours",IF(COUNTIFS(Ventes!C:C,D33,Ventes!L:L,"signature")&gt;0,"vente_signature",IF(COUNTIFS(Ventes!C:C,D33,Ventes!AD:AD,"oui")&gt;0,"vente_bloquee",IF(COUNTIFS(Gestion_Locative!C:C,D33,Gestion_Locative!O:O,"incomplet")&gt;0,"gestion_fragile","stable"))))</f>
        <v>vente_bloquee</v>
      </c>
    </row>
    <row r="34" spans="1:22" ht="14.4" hidden="1" x14ac:dyDescent="0.3">
      <c r="A34" s="6" t="s">
        <v>202</v>
      </c>
      <c r="B34" s="1" t="s">
        <v>4511</v>
      </c>
      <c r="C34" s="6" t="s">
        <v>375</v>
      </c>
      <c r="D34" s="6" t="s">
        <v>390</v>
      </c>
      <c r="E34" s="6" t="s">
        <v>377</v>
      </c>
      <c r="F34" s="6" t="s">
        <v>391</v>
      </c>
      <c r="G34" s="18">
        <v>3</v>
      </c>
      <c r="H34">
        <v>75</v>
      </c>
      <c r="I34">
        <v>35</v>
      </c>
      <c r="J34" s="7" t="s">
        <v>392</v>
      </c>
      <c r="K34" s="7" t="s">
        <v>393</v>
      </c>
      <c r="L34" s="7" t="s">
        <v>394</v>
      </c>
      <c r="M34" s="7"/>
      <c r="N34" s="7"/>
      <c r="O34" s="7" t="s">
        <v>90</v>
      </c>
      <c r="P34" s="7"/>
      <c r="Q34" s="7" t="s">
        <v>93</v>
      </c>
      <c r="R34" s="7"/>
      <c r="S34" s="8"/>
      <c r="T34" s="8"/>
      <c r="U34" s="9" t="str">
        <f>IF(COUNTIFS(Contacts_Activation!D:D,D34,Contacts_Activation!N:N,"oui")&gt;0,"oui","non")</f>
        <v>oui</v>
      </c>
      <c r="V34" s="9" t="str">
        <f>IF(COUNTIFS(Travaux!C:C,D34,Travaux!X:X,"en_cours")&gt;0,"travaux_en_cours",IF(COUNTIFS(Ventes!C:C,D34,Ventes!L:L,"signature")&gt;0,"vente_signature",IF(COUNTIFS(Ventes!C:C,D34,Ventes!AD:AD,"oui")&gt;0,"vente_bloquee",IF(COUNTIFS(Gestion_Locative!C:C,D34,Gestion_Locative!O:O,"incomplet")&gt;0,"gestion_fragile","stable"))))</f>
        <v>vente_bloquee</v>
      </c>
    </row>
    <row r="35" spans="1:22" ht="27.6" hidden="1" x14ac:dyDescent="0.3">
      <c r="A35" s="6" t="s">
        <v>292</v>
      </c>
      <c r="B35" s="1" t="s">
        <v>4514</v>
      </c>
      <c r="C35" s="6" t="s">
        <v>395</v>
      </c>
      <c r="D35" s="6" t="s">
        <v>396</v>
      </c>
      <c r="E35" s="6" t="s">
        <v>397</v>
      </c>
      <c r="F35" s="6" t="s">
        <v>398</v>
      </c>
      <c r="G35" s="18">
        <v>4</v>
      </c>
      <c r="H35">
        <v>48</v>
      </c>
      <c r="I35">
        <v>58</v>
      </c>
      <c r="J35" s="7" t="s">
        <v>399</v>
      </c>
      <c r="K35" s="7" t="s">
        <v>400</v>
      </c>
      <c r="L35" s="7" t="s">
        <v>401</v>
      </c>
      <c r="M35" s="7" t="s">
        <v>402</v>
      </c>
      <c r="N35" s="7" t="s">
        <v>403</v>
      </c>
      <c r="O35" s="7" t="s">
        <v>90</v>
      </c>
      <c r="P35" s="7"/>
      <c r="Q35" s="7" t="s">
        <v>93</v>
      </c>
      <c r="R35" s="7"/>
      <c r="S35" s="8"/>
      <c r="T35" s="8"/>
      <c r="U35" s="9" t="str">
        <f>IF(COUNTIFS(Contacts_Activation!D:D,D35,Contacts_Activation!N:N,"oui")&gt;0,"oui","non")</f>
        <v>oui</v>
      </c>
      <c r="V35" s="9" t="str">
        <f>IF(COUNTIFS(Travaux!C:C,D35,Travaux!X:X,"en_cours")&gt;0,"travaux_en_cours",IF(COUNTIFS(Ventes!C:C,D35,Ventes!L:L,"signature")&gt;0,"vente_signature",IF(COUNTIFS(Ventes!C:C,D35,Ventes!AD:AD,"oui")&gt;0,"vente_bloquee",IF(COUNTIFS(Gestion_Locative!C:C,D35,Gestion_Locative!O:O,"incomplet")&gt;0,"gestion_fragile","stable"))))</f>
        <v>vente_bloquee</v>
      </c>
    </row>
    <row r="36" spans="1:22" ht="27.6" hidden="1" x14ac:dyDescent="0.3">
      <c r="A36" s="6" t="s">
        <v>292</v>
      </c>
      <c r="B36" s="1" t="s">
        <v>4514</v>
      </c>
      <c r="C36" s="6" t="s">
        <v>395</v>
      </c>
      <c r="D36" s="6" t="s">
        <v>404</v>
      </c>
      <c r="E36" s="6" t="s">
        <v>397</v>
      </c>
      <c r="F36" s="6" t="s">
        <v>405</v>
      </c>
      <c r="G36" s="18">
        <v>4</v>
      </c>
      <c r="H36">
        <v>48</v>
      </c>
      <c r="I36">
        <v>58</v>
      </c>
      <c r="J36" s="7" t="s">
        <v>406</v>
      </c>
      <c r="K36" s="7" t="s">
        <v>407</v>
      </c>
      <c r="L36" s="7" t="s">
        <v>408</v>
      </c>
      <c r="M36" s="7"/>
      <c r="N36" s="7"/>
      <c r="O36" s="7" t="s">
        <v>90</v>
      </c>
      <c r="P36" s="7"/>
      <c r="Q36" s="7" t="s">
        <v>93</v>
      </c>
      <c r="R36" s="7"/>
      <c r="S36" s="8"/>
      <c r="T36" s="8"/>
      <c r="U36" s="9" t="str">
        <f>IF(COUNTIFS(Contacts_Activation!D:D,D36,Contacts_Activation!N:N,"oui")&gt;0,"oui","non")</f>
        <v>oui</v>
      </c>
      <c r="V36" s="9" t="str">
        <f>IF(COUNTIFS(Travaux!C:C,D36,Travaux!X:X,"en_cours")&gt;0,"travaux_en_cours",IF(COUNTIFS(Ventes!C:C,D36,Ventes!L:L,"signature")&gt;0,"vente_signature",IF(COUNTIFS(Ventes!C:C,D36,Ventes!AD:AD,"oui")&gt;0,"vente_bloquee",IF(COUNTIFS(Gestion_Locative!C:C,D36,Gestion_Locative!O:O,"incomplet")&gt;0,"gestion_fragile","stable"))))</f>
        <v>vente_bloquee</v>
      </c>
    </row>
    <row r="37" spans="1:22" ht="27.6" hidden="1" x14ac:dyDescent="0.3">
      <c r="A37" s="6" t="s">
        <v>292</v>
      </c>
      <c r="B37" s="1" t="s">
        <v>4514</v>
      </c>
      <c r="C37" s="6" t="s">
        <v>395</v>
      </c>
      <c r="D37" s="6" t="s">
        <v>409</v>
      </c>
      <c r="E37" s="6" t="s">
        <v>397</v>
      </c>
      <c r="F37" s="6" t="s">
        <v>410</v>
      </c>
      <c r="G37" s="18">
        <v>4</v>
      </c>
      <c r="H37">
        <v>48</v>
      </c>
      <c r="I37">
        <v>58</v>
      </c>
      <c r="J37" s="7" t="s">
        <v>411</v>
      </c>
      <c r="K37" s="7" t="s">
        <v>412</v>
      </c>
      <c r="L37" s="7" t="s">
        <v>413</v>
      </c>
      <c r="M37" s="7"/>
      <c r="N37" s="7"/>
      <c r="O37" s="7" t="s">
        <v>90</v>
      </c>
      <c r="P37" s="7"/>
      <c r="Q37" s="7" t="s">
        <v>93</v>
      </c>
      <c r="R37" s="7"/>
      <c r="S37" s="8"/>
      <c r="T37" s="8"/>
      <c r="U37" s="9" t="str">
        <f>IF(COUNTIFS(Contacts_Activation!D:D,D37,Contacts_Activation!N:N,"oui")&gt;0,"oui","non")</f>
        <v>oui</v>
      </c>
      <c r="V37" s="9" t="str">
        <f>IF(COUNTIFS(Travaux!C:C,D37,Travaux!X:X,"en_cours")&gt;0,"travaux_en_cours",IF(COUNTIFS(Ventes!C:C,D37,Ventes!L:L,"signature")&gt;0,"vente_signature",IF(COUNTIFS(Ventes!C:C,D37,Ventes!AD:AD,"oui")&gt;0,"vente_bloquee",IF(COUNTIFS(Gestion_Locative!C:C,D37,Gestion_Locative!O:O,"incomplet")&gt;0,"gestion_fragile","stable"))))</f>
        <v>vente_bloquee</v>
      </c>
    </row>
    <row r="38" spans="1:22" ht="14.4" hidden="1" x14ac:dyDescent="0.3">
      <c r="A38" s="6" t="s">
        <v>292</v>
      </c>
      <c r="B38" s="1" t="s">
        <v>4514</v>
      </c>
      <c r="C38" s="6" t="s">
        <v>395</v>
      </c>
      <c r="D38" s="6" t="s">
        <v>414</v>
      </c>
      <c r="E38" s="6" t="s">
        <v>397</v>
      </c>
      <c r="F38" s="6" t="s">
        <v>415</v>
      </c>
      <c r="G38" s="18">
        <v>4</v>
      </c>
      <c r="H38">
        <v>48</v>
      </c>
      <c r="I38">
        <v>58</v>
      </c>
      <c r="J38" s="7" t="s">
        <v>416</v>
      </c>
      <c r="K38" s="7" t="s">
        <v>417</v>
      </c>
      <c r="L38" s="7" t="s">
        <v>418</v>
      </c>
      <c r="M38" s="7"/>
      <c r="N38" s="7"/>
      <c r="O38" s="7" t="s">
        <v>90</v>
      </c>
      <c r="P38" s="7"/>
      <c r="Q38" s="7" t="s">
        <v>93</v>
      </c>
      <c r="R38" s="7"/>
      <c r="S38" s="8"/>
      <c r="T38" s="8"/>
      <c r="U38" s="9" t="str">
        <f>IF(COUNTIFS(Contacts_Activation!D:D,D38,Contacts_Activation!N:N,"oui")&gt;0,"oui","non")</f>
        <v>oui</v>
      </c>
      <c r="V38" s="9" t="str">
        <f>IF(COUNTIFS(Travaux!C:C,D38,Travaux!X:X,"en_cours")&gt;0,"travaux_en_cours",IF(COUNTIFS(Ventes!C:C,D38,Ventes!L:L,"signature")&gt;0,"vente_signature",IF(COUNTIFS(Ventes!C:C,D38,Ventes!AD:AD,"oui")&gt;0,"vente_bloquee",IF(COUNTIFS(Gestion_Locative!C:C,D38,Gestion_Locative!O:O,"incomplet")&gt;0,"gestion_fragile","stable"))))</f>
        <v>vente_bloquee</v>
      </c>
    </row>
    <row r="39" spans="1:22" ht="14.4" hidden="1" x14ac:dyDescent="0.3">
      <c r="A39" s="6" t="s">
        <v>262</v>
      </c>
      <c r="B39" s="1" t="s">
        <v>4512</v>
      </c>
      <c r="C39" s="6" t="s">
        <v>419</v>
      </c>
      <c r="D39" s="6" t="s">
        <v>420</v>
      </c>
      <c r="E39" s="6" t="s">
        <v>421</v>
      </c>
      <c r="F39" s="6" t="s">
        <v>422</v>
      </c>
      <c r="G39" s="18">
        <v>25</v>
      </c>
      <c r="H39">
        <v>57</v>
      </c>
      <c r="I39">
        <v>20</v>
      </c>
      <c r="J39" s="7" t="s">
        <v>423</v>
      </c>
      <c r="K39" s="7" t="s">
        <v>424</v>
      </c>
      <c r="L39" s="7" t="s">
        <v>425</v>
      </c>
      <c r="M39" s="7"/>
      <c r="N39" s="7"/>
      <c r="O39" s="7" t="s">
        <v>90</v>
      </c>
      <c r="P39" s="7"/>
      <c r="Q39" s="7" t="s">
        <v>93</v>
      </c>
      <c r="R39" s="7"/>
      <c r="S39" s="8"/>
      <c r="T39" s="8"/>
      <c r="U39" s="9" t="str">
        <f>IF(COUNTIFS(Contacts_Activation!D:D,D39,Contacts_Activation!N:N,"oui")&gt;0,"oui","non")</f>
        <v>oui</v>
      </c>
      <c r="V39" s="9" t="str">
        <f>IF(COUNTIFS(Travaux!C:C,D39,Travaux!X:X,"en_cours")&gt;0,"travaux_en_cours",IF(COUNTIFS(Ventes!C:C,D39,Ventes!L:L,"signature")&gt;0,"vente_signature",IF(COUNTIFS(Ventes!C:C,D39,Ventes!AD:AD,"oui")&gt;0,"vente_bloquee",IF(COUNTIFS(Gestion_Locative!C:C,D39,Gestion_Locative!O:O,"incomplet")&gt;0,"gestion_fragile","stable"))))</f>
        <v>vente_bloquee</v>
      </c>
    </row>
    <row r="40" spans="1:22" ht="14.4" hidden="1" x14ac:dyDescent="0.3">
      <c r="A40" s="6" t="s">
        <v>262</v>
      </c>
      <c r="B40" s="1" t="s">
        <v>4512</v>
      </c>
      <c r="C40" s="6" t="s">
        <v>419</v>
      </c>
      <c r="D40" s="6" t="s">
        <v>426</v>
      </c>
      <c r="E40" s="6" t="s">
        <v>421</v>
      </c>
      <c r="F40" s="6" t="s">
        <v>427</v>
      </c>
      <c r="G40" s="18">
        <v>25</v>
      </c>
      <c r="H40">
        <v>57</v>
      </c>
      <c r="I40">
        <v>20</v>
      </c>
      <c r="J40" s="7" t="s">
        <v>428</v>
      </c>
      <c r="K40" s="7"/>
      <c r="L40" s="7" t="s">
        <v>429</v>
      </c>
      <c r="M40" s="7"/>
      <c r="N40" s="7"/>
      <c r="O40" s="7" t="s">
        <v>90</v>
      </c>
      <c r="P40" s="7"/>
      <c r="Q40" s="7" t="s">
        <v>93</v>
      </c>
      <c r="R40" s="7"/>
      <c r="S40" s="8"/>
      <c r="T40" s="8"/>
      <c r="U40" s="9" t="str">
        <f>IF(COUNTIFS(Contacts_Activation!D:D,D40,Contacts_Activation!N:N,"oui")&gt;0,"oui","non")</f>
        <v>oui</v>
      </c>
      <c r="V40" s="9" t="str">
        <f>IF(COUNTIFS(Travaux!C:C,D40,Travaux!X:X,"en_cours")&gt;0,"travaux_en_cours",IF(COUNTIFS(Ventes!C:C,D40,Ventes!L:L,"signature")&gt;0,"vente_signature",IF(COUNTIFS(Ventes!C:C,D40,Ventes!AD:AD,"oui")&gt;0,"vente_bloquee",IF(COUNTIFS(Gestion_Locative!C:C,D40,Gestion_Locative!O:O,"incomplet")&gt;0,"gestion_fragile","stable"))))</f>
        <v>vente_bloquee</v>
      </c>
    </row>
    <row r="41" spans="1:22" ht="27.6" hidden="1" x14ac:dyDescent="0.3">
      <c r="A41" s="6" t="s">
        <v>262</v>
      </c>
      <c r="B41" s="1" t="s">
        <v>4512</v>
      </c>
      <c r="C41" s="6" t="s">
        <v>419</v>
      </c>
      <c r="D41" s="6" t="s">
        <v>430</v>
      </c>
      <c r="E41" s="6" t="s">
        <v>421</v>
      </c>
      <c r="F41" s="6" t="s">
        <v>431</v>
      </c>
      <c r="G41" s="18">
        <v>25</v>
      </c>
      <c r="H41">
        <v>57</v>
      </c>
      <c r="I41">
        <v>20</v>
      </c>
      <c r="J41" s="7" t="s">
        <v>432</v>
      </c>
      <c r="K41" s="7" t="s">
        <v>433</v>
      </c>
      <c r="L41" s="7" t="s">
        <v>434</v>
      </c>
      <c r="M41" s="7" t="s">
        <v>435</v>
      </c>
      <c r="N41" s="7" t="s">
        <v>436</v>
      </c>
      <c r="O41" s="7" t="s">
        <v>90</v>
      </c>
      <c r="P41" s="7"/>
      <c r="Q41" s="7" t="s">
        <v>93</v>
      </c>
      <c r="R41" s="7"/>
      <c r="S41" s="8"/>
      <c r="T41" s="8"/>
      <c r="U41" s="9" t="str">
        <f>IF(COUNTIFS(Contacts_Activation!D:D,D41,Contacts_Activation!N:N,"oui")&gt;0,"oui","non")</f>
        <v>oui</v>
      </c>
      <c r="V41" s="9" t="str">
        <f>IF(COUNTIFS(Travaux!C:C,D41,Travaux!X:X,"en_cours")&gt;0,"travaux_en_cours",IF(COUNTIFS(Ventes!C:C,D41,Ventes!L:L,"signature")&gt;0,"vente_signature",IF(COUNTIFS(Ventes!C:C,D41,Ventes!AD:AD,"oui")&gt;0,"vente_bloquee",IF(COUNTIFS(Gestion_Locative!C:C,D41,Gestion_Locative!O:O,"incomplet")&gt;0,"gestion_fragile","stable"))))</f>
        <v>vente_bloquee</v>
      </c>
    </row>
    <row r="42" spans="1:22" ht="14.4" hidden="1" x14ac:dyDescent="0.3">
      <c r="A42" s="6" t="s">
        <v>262</v>
      </c>
      <c r="B42" s="1" t="s">
        <v>4512</v>
      </c>
      <c r="C42" s="6" t="s">
        <v>419</v>
      </c>
      <c r="D42" s="6" t="s">
        <v>437</v>
      </c>
      <c r="E42" s="6" t="s">
        <v>421</v>
      </c>
      <c r="F42" s="6" t="s">
        <v>438</v>
      </c>
      <c r="G42" s="18">
        <v>25</v>
      </c>
      <c r="H42">
        <v>57</v>
      </c>
      <c r="I42">
        <v>20</v>
      </c>
      <c r="J42" s="7" t="s">
        <v>439</v>
      </c>
      <c r="K42" s="7" t="s">
        <v>440</v>
      </c>
      <c r="L42" s="7" t="s">
        <v>441</v>
      </c>
      <c r="M42" s="7"/>
      <c r="N42" s="7"/>
      <c r="O42" s="7" t="s">
        <v>90</v>
      </c>
      <c r="P42" s="7"/>
      <c r="Q42" s="7" t="s">
        <v>93</v>
      </c>
      <c r="R42" s="7"/>
      <c r="S42" s="8"/>
      <c r="T42" s="8"/>
      <c r="U42" s="9" t="str">
        <f>IF(COUNTIFS(Contacts_Activation!D:D,D42,Contacts_Activation!N:N,"oui")&gt;0,"oui","non")</f>
        <v>oui</v>
      </c>
      <c r="V42" s="9" t="str">
        <f>IF(COUNTIFS(Travaux!C:C,D42,Travaux!X:X,"en_cours")&gt;0,"travaux_en_cours",IF(COUNTIFS(Ventes!C:C,D42,Ventes!L:L,"signature")&gt;0,"vente_signature",IF(COUNTIFS(Ventes!C:C,D42,Ventes!AD:AD,"oui")&gt;0,"vente_bloquee",IF(COUNTIFS(Gestion_Locative!C:C,D42,Gestion_Locative!O:O,"incomplet")&gt;0,"gestion_fragile","stable"))))</f>
        <v>vente_bloquee</v>
      </c>
    </row>
    <row r="43" spans="1:22" ht="14.4" hidden="1" x14ac:dyDescent="0.3">
      <c r="A43" s="6" t="s">
        <v>262</v>
      </c>
      <c r="B43" s="1" t="s">
        <v>4512</v>
      </c>
      <c r="C43" s="6" t="s">
        <v>419</v>
      </c>
      <c r="D43" s="6" t="s">
        <v>442</v>
      </c>
      <c r="E43" s="6" t="s">
        <v>421</v>
      </c>
      <c r="F43" s="6" t="s">
        <v>443</v>
      </c>
      <c r="G43" s="18">
        <v>25</v>
      </c>
      <c r="H43">
        <v>57</v>
      </c>
      <c r="I43">
        <v>20</v>
      </c>
      <c r="J43" s="7" t="s">
        <v>444</v>
      </c>
      <c r="K43" s="7" t="s">
        <v>445</v>
      </c>
      <c r="L43" s="7" t="s">
        <v>446</v>
      </c>
      <c r="M43" s="7"/>
      <c r="N43" s="7"/>
      <c r="O43" s="7" t="s">
        <v>90</v>
      </c>
      <c r="P43" s="7"/>
      <c r="Q43" s="7" t="s">
        <v>93</v>
      </c>
      <c r="R43" s="7"/>
      <c r="S43" s="8"/>
      <c r="T43" s="8"/>
      <c r="U43" s="9" t="str">
        <f>IF(COUNTIFS(Contacts_Activation!D:D,D43,Contacts_Activation!N:N,"oui")&gt;0,"oui","non")</f>
        <v>oui</v>
      </c>
      <c r="V43" s="9" t="str">
        <f>IF(COUNTIFS(Travaux!C:C,D43,Travaux!X:X,"en_cours")&gt;0,"travaux_en_cours",IF(COUNTIFS(Ventes!C:C,D43,Ventes!L:L,"signature")&gt;0,"vente_signature",IF(COUNTIFS(Ventes!C:C,D43,Ventes!AD:AD,"oui")&gt;0,"vente_bloquee",IF(COUNTIFS(Gestion_Locative!C:C,D43,Gestion_Locative!O:O,"incomplet")&gt;0,"gestion_fragile","stable"))))</f>
        <v>vente_bloquee</v>
      </c>
    </row>
    <row r="44" spans="1:22" ht="14.4" hidden="1" x14ac:dyDescent="0.3">
      <c r="A44" s="6" t="s">
        <v>262</v>
      </c>
      <c r="B44" s="1" t="s">
        <v>4512</v>
      </c>
      <c r="C44" s="6" t="s">
        <v>419</v>
      </c>
      <c r="D44" s="6" t="s">
        <v>447</v>
      </c>
      <c r="E44" s="6" t="s">
        <v>421</v>
      </c>
      <c r="F44" s="6" t="s">
        <v>448</v>
      </c>
      <c r="G44" s="18">
        <v>25</v>
      </c>
      <c r="H44">
        <v>57</v>
      </c>
      <c r="I44">
        <v>20</v>
      </c>
      <c r="J44" s="7" t="s">
        <v>449</v>
      </c>
      <c r="K44" s="7" t="s">
        <v>450</v>
      </c>
      <c r="L44" s="7"/>
      <c r="M44" s="7"/>
      <c r="N44" s="7"/>
      <c r="O44" s="7" t="s">
        <v>90</v>
      </c>
      <c r="P44" s="7"/>
      <c r="Q44" s="7" t="s">
        <v>93</v>
      </c>
      <c r="R44" s="7"/>
      <c r="S44" s="8"/>
      <c r="T44" s="8"/>
      <c r="U44" s="9" t="str">
        <f>IF(COUNTIFS(Contacts_Activation!D:D,D44,Contacts_Activation!N:N,"oui")&gt;0,"oui","non")</f>
        <v>oui</v>
      </c>
      <c r="V44" s="9" t="str">
        <f>IF(COUNTIFS(Travaux!C:C,D44,Travaux!X:X,"en_cours")&gt;0,"travaux_en_cours",IF(COUNTIFS(Ventes!C:C,D44,Ventes!L:L,"signature")&gt;0,"vente_signature",IF(COUNTIFS(Ventes!C:C,D44,Ventes!AD:AD,"oui")&gt;0,"vente_bloquee",IF(COUNTIFS(Gestion_Locative!C:C,D44,Gestion_Locative!O:O,"incomplet")&gt;0,"gestion_fragile","stable"))))</f>
        <v>vente_bloquee</v>
      </c>
    </row>
    <row r="45" spans="1:22" ht="27.6" hidden="1" x14ac:dyDescent="0.3">
      <c r="A45" s="6" t="s">
        <v>262</v>
      </c>
      <c r="B45" s="1" t="s">
        <v>4512</v>
      </c>
      <c r="C45" s="6" t="s">
        <v>419</v>
      </c>
      <c r="D45" s="6" t="s">
        <v>451</v>
      </c>
      <c r="E45" s="6" t="s">
        <v>421</v>
      </c>
      <c r="F45" s="6" t="s">
        <v>452</v>
      </c>
      <c r="G45" s="18">
        <v>25</v>
      </c>
      <c r="H45">
        <v>57</v>
      </c>
      <c r="I45">
        <v>20</v>
      </c>
      <c r="J45" s="7" t="s">
        <v>453</v>
      </c>
      <c r="K45" s="7" t="s">
        <v>454</v>
      </c>
      <c r="L45" s="7" t="s">
        <v>455</v>
      </c>
      <c r="M45" s="7"/>
      <c r="N45" s="7"/>
      <c r="O45" s="7" t="s">
        <v>90</v>
      </c>
      <c r="P45" s="7"/>
      <c r="Q45" s="7" t="s">
        <v>93</v>
      </c>
      <c r="R45" s="7"/>
      <c r="S45" s="8"/>
      <c r="T45" s="8"/>
      <c r="U45" s="9" t="str">
        <f>IF(COUNTIFS(Contacts_Activation!D:D,D45,Contacts_Activation!N:N,"oui")&gt;0,"oui","non")</f>
        <v>oui</v>
      </c>
      <c r="V45" s="9" t="str">
        <f>IF(COUNTIFS(Travaux!C:C,D45,Travaux!X:X,"en_cours")&gt;0,"travaux_en_cours",IF(COUNTIFS(Ventes!C:C,D45,Ventes!L:L,"signature")&gt;0,"vente_signature",IF(COUNTIFS(Ventes!C:C,D45,Ventes!AD:AD,"oui")&gt;0,"vente_bloquee",IF(COUNTIFS(Gestion_Locative!C:C,D45,Gestion_Locative!O:O,"incomplet")&gt;0,"gestion_fragile","stable"))))</f>
        <v>vente_bloquee</v>
      </c>
    </row>
    <row r="46" spans="1:22" ht="14.4" hidden="1" x14ac:dyDescent="0.3">
      <c r="A46" s="6" t="s">
        <v>262</v>
      </c>
      <c r="B46" s="1" t="s">
        <v>4512</v>
      </c>
      <c r="C46" s="6" t="s">
        <v>419</v>
      </c>
      <c r="D46" s="6" t="s">
        <v>456</v>
      </c>
      <c r="E46" s="6" t="s">
        <v>421</v>
      </c>
      <c r="F46" s="6" t="s">
        <v>457</v>
      </c>
      <c r="G46" s="18">
        <v>25</v>
      </c>
      <c r="H46">
        <v>57</v>
      </c>
      <c r="I46">
        <v>20</v>
      </c>
      <c r="J46" s="7" t="s">
        <v>458</v>
      </c>
      <c r="K46" s="7" t="s">
        <v>459</v>
      </c>
      <c r="L46" s="7" t="s">
        <v>460</v>
      </c>
      <c r="M46" s="7" t="s">
        <v>461</v>
      </c>
      <c r="N46" s="7" t="s">
        <v>462</v>
      </c>
      <c r="O46" s="7" t="s">
        <v>90</v>
      </c>
      <c r="P46" s="7"/>
      <c r="Q46" s="7" t="s">
        <v>93</v>
      </c>
      <c r="R46" s="7"/>
      <c r="S46" s="8"/>
      <c r="T46" s="8"/>
      <c r="U46" s="9" t="str">
        <f>IF(COUNTIFS(Contacts_Activation!D:D,D46,Contacts_Activation!N:N,"oui")&gt;0,"oui","non")</f>
        <v>oui</v>
      </c>
      <c r="V46" s="9" t="str">
        <f>IF(COUNTIFS(Travaux!C:C,D46,Travaux!X:X,"en_cours")&gt;0,"travaux_en_cours",IF(COUNTIFS(Ventes!C:C,D46,Ventes!L:L,"signature")&gt;0,"vente_signature",IF(COUNTIFS(Ventes!C:C,D46,Ventes!AD:AD,"oui")&gt;0,"vente_bloquee",IF(COUNTIFS(Gestion_Locative!C:C,D46,Gestion_Locative!O:O,"incomplet")&gt;0,"gestion_fragile","stable"))))</f>
        <v>vente_bloquee</v>
      </c>
    </row>
    <row r="47" spans="1:22" ht="14.4" hidden="1" x14ac:dyDescent="0.3">
      <c r="A47" s="6" t="s">
        <v>262</v>
      </c>
      <c r="B47" s="1" t="s">
        <v>4512</v>
      </c>
      <c r="C47" s="6" t="s">
        <v>419</v>
      </c>
      <c r="D47" s="6" t="s">
        <v>463</v>
      </c>
      <c r="E47" s="6" t="s">
        <v>421</v>
      </c>
      <c r="F47" s="6" t="s">
        <v>464</v>
      </c>
      <c r="G47" s="18">
        <v>25</v>
      </c>
      <c r="H47">
        <v>57</v>
      </c>
      <c r="I47">
        <v>20</v>
      </c>
      <c r="J47" s="7" t="s">
        <v>465</v>
      </c>
      <c r="K47" s="7" t="s">
        <v>466</v>
      </c>
      <c r="L47" s="7" t="s">
        <v>467</v>
      </c>
      <c r="M47" s="7" t="s">
        <v>468</v>
      </c>
      <c r="N47" s="7" t="s">
        <v>469</v>
      </c>
      <c r="O47" s="7" t="s">
        <v>90</v>
      </c>
      <c r="P47" s="7"/>
      <c r="Q47" s="7" t="s">
        <v>93</v>
      </c>
      <c r="R47" s="7"/>
      <c r="S47" s="8"/>
      <c r="T47" s="8"/>
      <c r="U47" s="9" t="str">
        <f>IF(COUNTIFS(Contacts_Activation!D:D,D47,Contacts_Activation!N:N,"oui")&gt;0,"oui","non")</f>
        <v>oui</v>
      </c>
      <c r="V47" s="9" t="str">
        <f>IF(COUNTIFS(Travaux!C:C,D47,Travaux!X:X,"en_cours")&gt;0,"travaux_en_cours",IF(COUNTIFS(Ventes!C:C,D47,Ventes!L:L,"signature")&gt;0,"vente_signature",IF(COUNTIFS(Ventes!C:C,D47,Ventes!AD:AD,"oui")&gt;0,"vente_bloquee",IF(COUNTIFS(Gestion_Locative!C:C,D47,Gestion_Locative!O:O,"incomplet")&gt;0,"gestion_fragile","stable"))))</f>
        <v>vente_bloquee</v>
      </c>
    </row>
    <row r="48" spans="1:22" ht="14.4" hidden="1" x14ac:dyDescent="0.3">
      <c r="A48" s="6" t="s">
        <v>262</v>
      </c>
      <c r="B48" s="1" t="s">
        <v>4512</v>
      </c>
      <c r="C48" s="6" t="s">
        <v>419</v>
      </c>
      <c r="D48" s="6" t="s">
        <v>470</v>
      </c>
      <c r="E48" s="6" t="s">
        <v>421</v>
      </c>
      <c r="F48" s="6" t="s">
        <v>471</v>
      </c>
      <c r="G48" s="18">
        <v>25</v>
      </c>
      <c r="H48">
        <v>57</v>
      </c>
      <c r="I48">
        <v>20</v>
      </c>
      <c r="J48" s="7" t="s">
        <v>472</v>
      </c>
      <c r="K48" s="7" t="s">
        <v>473</v>
      </c>
      <c r="L48" s="7" t="s">
        <v>474</v>
      </c>
      <c r="M48" s="7"/>
      <c r="N48" s="7"/>
      <c r="O48" s="7" t="s">
        <v>90</v>
      </c>
      <c r="P48" s="7"/>
      <c r="Q48" s="7" t="s">
        <v>93</v>
      </c>
      <c r="R48" s="7"/>
      <c r="S48" s="8"/>
      <c r="T48" s="8"/>
      <c r="U48" s="9" t="str">
        <f>IF(COUNTIFS(Contacts_Activation!D:D,D48,Contacts_Activation!N:N,"oui")&gt;0,"oui","non")</f>
        <v>oui</v>
      </c>
      <c r="V48" s="9" t="str">
        <f>IF(COUNTIFS(Travaux!C:C,D48,Travaux!X:X,"en_cours")&gt;0,"travaux_en_cours",IF(COUNTIFS(Ventes!C:C,D48,Ventes!L:L,"signature")&gt;0,"vente_signature",IF(COUNTIFS(Ventes!C:C,D48,Ventes!AD:AD,"oui")&gt;0,"vente_bloquee",IF(COUNTIFS(Gestion_Locative!C:C,D48,Gestion_Locative!O:O,"incomplet")&gt;0,"gestion_fragile","stable"))))</f>
        <v>vente_bloquee</v>
      </c>
    </row>
    <row r="49" spans="1:22" ht="14.4" hidden="1" x14ac:dyDescent="0.3">
      <c r="A49" s="6" t="s">
        <v>262</v>
      </c>
      <c r="B49" s="1" t="s">
        <v>4512</v>
      </c>
      <c r="C49" s="6" t="s">
        <v>419</v>
      </c>
      <c r="D49" s="6" t="s">
        <v>475</v>
      </c>
      <c r="E49" s="6" t="s">
        <v>421</v>
      </c>
      <c r="F49" s="6" t="s">
        <v>476</v>
      </c>
      <c r="G49" s="18">
        <v>25</v>
      </c>
      <c r="H49">
        <v>57</v>
      </c>
      <c r="I49">
        <v>20</v>
      </c>
      <c r="J49" s="7" t="s">
        <v>477</v>
      </c>
      <c r="K49" s="7" t="s">
        <v>380</v>
      </c>
      <c r="L49" s="7" t="s">
        <v>478</v>
      </c>
      <c r="M49" s="7"/>
      <c r="N49" s="7"/>
      <c r="O49" s="7" t="s">
        <v>90</v>
      </c>
      <c r="P49" s="7"/>
      <c r="Q49" s="7" t="s">
        <v>93</v>
      </c>
      <c r="R49" s="7"/>
      <c r="S49" s="8"/>
      <c r="T49" s="8"/>
      <c r="U49" s="9" t="str">
        <f>IF(COUNTIFS(Contacts_Activation!D:D,D49,Contacts_Activation!N:N,"oui")&gt;0,"oui","non")</f>
        <v>oui</v>
      </c>
      <c r="V49" s="9" t="str">
        <f>IF(COUNTIFS(Travaux!C:C,D49,Travaux!X:X,"en_cours")&gt;0,"travaux_en_cours",IF(COUNTIFS(Ventes!C:C,D49,Ventes!L:L,"signature")&gt;0,"vente_signature",IF(COUNTIFS(Ventes!C:C,D49,Ventes!AD:AD,"oui")&gt;0,"vente_bloquee",IF(COUNTIFS(Gestion_Locative!C:C,D49,Gestion_Locative!O:O,"incomplet")&gt;0,"gestion_fragile","stable"))))</f>
        <v>vente_bloquee</v>
      </c>
    </row>
    <row r="50" spans="1:22" ht="27.6" hidden="1" x14ac:dyDescent="0.3">
      <c r="A50" s="6" t="s">
        <v>262</v>
      </c>
      <c r="B50" s="1" t="s">
        <v>4512</v>
      </c>
      <c r="C50" s="6" t="s">
        <v>419</v>
      </c>
      <c r="D50" s="6" t="s">
        <v>479</v>
      </c>
      <c r="E50" s="6" t="s">
        <v>421</v>
      </c>
      <c r="F50" s="6" t="s">
        <v>480</v>
      </c>
      <c r="G50" s="18">
        <v>25</v>
      </c>
      <c r="H50">
        <v>57</v>
      </c>
      <c r="I50">
        <v>20</v>
      </c>
      <c r="J50" s="7" t="s">
        <v>481</v>
      </c>
      <c r="K50" s="7" t="s">
        <v>482</v>
      </c>
      <c r="L50" s="7" t="s">
        <v>483</v>
      </c>
      <c r="M50" s="7" t="s">
        <v>484</v>
      </c>
      <c r="N50" s="7" t="s">
        <v>485</v>
      </c>
      <c r="O50" s="7" t="s">
        <v>90</v>
      </c>
      <c r="P50" s="7"/>
      <c r="Q50" s="7" t="s">
        <v>93</v>
      </c>
      <c r="R50" s="7"/>
      <c r="S50" s="8"/>
      <c r="T50" s="8"/>
      <c r="U50" s="9" t="str">
        <f>IF(COUNTIFS(Contacts_Activation!D:D,D50,Contacts_Activation!N:N,"oui")&gt;0,"oui","non")</f>
        <v>oui</v>
      </c>
      <c r="V50" s="9" t="str">
        <f>IF(COUNTIFS(Travaux!C:C,D50,Travaux!X:X,"en_cours")&gt;0,"travaux_en_cours",IF(COUNTIFS(Ventes!C:C,D50,Ventes!L:L,"signature")&gt;0,"vente_signature",IF(COUNTIFS(Ventes!C:C,D50,Ventes!AD:AD,"oui")&gt;0,"vente_bloquee",IF(COUNTIFS(Gestion_Locative!C:C,D50,Gestion_Locative!O:O,"incomplet")&gt;0,"gestion_fragile","stable"))))</f>
        <v>vente_bloquee</v>
      </c>
    </row>
    <row r="51" spans="1:22" ht="14.4" hidden="1" x14ac:dyDescent="0.3">
      <c r="A51" s="6" t="s">
        <v>262</v>
      </c>
      <c r="B51" s="1" t="s">
        <v>4512</v>
      </c>
      <c r="C51" s="6" t="s">
        <v>419</v>
      </c>
      <c r="D51" s="6" t="s">
        <v>486</v>
      </c>
      <c r="E51" s="6" t="s">
        <v>421</v>
      </c>
      <c r="F51" s="6" t="s">
        <v>487</v>
      </c>
      <c r="G51" s="18">
        <v>25</v>
      </c>
      <c r="H51">
        <v>57</v>
      </c>
      <c r="I51">
        <v>20</v>
      </c>
      <c r="J51" s="7" t="s">
        <v>488</v>
      </c>
      <c r="K51" s="7" t="s">
        <v>489</v>
      </c>
      <c r="L51" s="7" t="s">
        <v>490</v>
      </c>
      <c r="M51" s="7"/>
      <c r="N51" s="7"/>
      <c r="O51" s="7" t="s">
        <v>90</v>
      </c>
      <c r="P51" s="7"/>
      <c r="Q51" s="7" t="s">
        <v>93</v>
      </c>
      <c r="R51" s="7"/>
      <c r="S51" s="8"/>
      <c r="T51" s="8"/>
      <c r="U51" s="9" t="str">
        <f>IF(COUNTIFS(Contacts_Activation!D:D,D51,Contacts_Activation!N:N,"oui")&gt;0,"oui","non")</f>
        <v>oui</v>
      </c>
      <c r="V51" s="9" t="str">
        <f>IF(COUNTIFS(Travaux!C:C,D51,Travaux!X:X,"en_cours")&gt;0,"travaux_en_cours",IF(COUNTIFS(Ventes!C:C,D51,Ventes!L:L,"signature")&gt;0,"vente_signature",IF(COUNTIFS(Ventes!C:C,D51,Ventes!AD:AD,"oui")&gt;0,"vente_bloquee",IF(COUNTIFS(Gestion_Locative!C:C,D51,Gestion_Locative!O:O,"incomplet")&gt;0,"gestion_fragile","stable"))))</f>
        <v>vente_bloquee</v>
      </c>
    </row>
    <row r="52" spans="1:22" ht="14.4" hidden="1" x14ac:dyDescent="0.3">
      <c r="A52" s="6" t="s">
        <v>262</v>
      </c>
      <c r="B52" s="1" t="s">
        <v>4512</v>
      </c>
      <c r="C52" s="6" t="s">
        <v>419</v>
      </c>
      <c r="D52" s="6" t="s">
        <v>491</v>
      </c>
      <c r="E52" s="6" t="s">
        <v>421</v>
      </c>
      <c r="F52" s="6" t="s">
        <v>492</v>
      </c>
      <c r="G52" s="18">
        <v>25</v>
      </c>
      <c r="H52">
        <v>57</v>
      </c>
      <c r="I52">
        <v>20</v>
      </c>
      <c r="J52" s="7" t="s">
        <v>294</v>
      </c>
      <c r="K52" s="7" t="s">
        <v>493</v>
      </c>
      <c r="L52" s="7"/>
      <c r="M52" s="7"/>
      <c r="N52" s="7"/>
      <c r="O52" s="7" t="s">
        <v>90</v>
      </c>
      <c r="P52" s="7"/>
      <c r="Q52" s="7" t="s">
        <v>93</v>
      </c>
      <c r="R52" s="7"/>
      <c r="S52" s="8"/>
      <c r="T52" s="8"/>
      <c r="U52" s="9" t="str">
        <f>IF(COUNTIFS(Contacts_Activation!D:D,D52,Contacts_Activation!N:N,"oui")&gt;0,"oui","non")</f>
        <v>oui</v>
      </c>
      <c r="V52" s="9" t="str">
        <f>IF(COUNTIFS(Travaux!C:C,D52,Travaux!X:X,"en_cours")&gt;0,"travaux_en_cours",IF(COUNTIFS(Ventes!C:C,D52,Ventes!L:L,"signature")&gt;0,"vente_signature",IF(COUNTIFS(Ventes!C:C,D52,Ventes!AD:AD,"oui")&gt;0,"vente_bloquee",IF(COUNTIFS(Gestion_Locative!C:C,D52,Gestion_Locative!O:O,"incomplet")&gt;0,"gestion_fragile","stable"))))</f>
        <v>vente_bloquee</v>
      </c>
    </row>
    <row r="53" spans="1:22" ht="14.4" hidden="1" x14ac:dyDescent="0.3">
      <c r="A53" s="6" t="s">
        <v>262</v>
      </c>
      <c r="B53" s="1" t="s">
        <v>4512</v>
      </c>
      <c r="C53" s="6" t="s">
        <v>419</v>
      </c>
      <c r="D53" s="6" t="s">
        <v>494</v>
      </c>
      <c r="E53" s="6" t="s">
        <v>421</v>
      </c>
      <c r="F53" s="6" t="s">
        <v>495</v>
      </c>
      <c r="G53" s="18">
        <v>25</v>
      </c>
      <c r="H53">
        <v>57</v>
      </c>
      <c r="I53">
        <v>20</v>
      </c>
      <c r="J53" s="7" t="s">
        <v>496</v>
      </c>
      <c r="K53" s="7" t="s">
        <v>497</v>
      </c>
      <c r="L53" s="7" t="s">
        <v>498</v>
      </c>
      <c r="M53" s="7"/>
      <c r="N53" s="7"/>
      <c r="O53" s="7" t="s">
        <v>90</v>
      </c>
      <c r="P53" s="7"/>
      <c r="Q53" s="7" t="s">
        <v>93</v>
      </c>
      <c r="R53" s="7"/>
      <c r="S53" s="8"/>
      <c r="T53" s="8"/>
      <c r="U53" s="9" t="str">
        <f>IF(COUNTIFS(Contacts_Activation!D:D,D53,Contacts_Activation!N:N,"oui")&gt;0,"oui","non")</f>
        <v>oui</v>
      </c>
      <c r="V53" s="9" t="str">
        <f>IF(COUNTIFS(Travaux!C:C,D53,Travaux!X:X,"en_cours")&gt;0,"travaux_en_cours",IF(COUNTIFS(Ventes!C:C,D53,Ventes!L:L,"signature")&gt;0,"vente_signature",IF(COUNTIFS(Ventes!C:C,D53,Ventes!AD:AD,"oui")&gt;0,"vente_bloquee",IF(COUNTIFS(Gestion_Locative!C:C,D53,Gestion_Locative!O:O,"incomplet")&gt;0,"gestion_fragile","stable"))))</f>
        <v>vente_bloquee</v>
      </c>
    </row>
    <row r="54" spans="1:22" ht="14.4" hidden="1" x14ac:dyDescent="0.3">
      <c r="A54" s="6" t="s">
        <v>262</v>
      </c>
      <c r="B54" s="1" t="s">
        <v>4512</v>
      </c>
      <c r="C54" s="6" t="s">
        <v>419</v>
      </c>
      <c r="D54" s="6" t="s">
        <v>499</v>
      </c>
      <c r="E54" s="6" t="s">
        <v>421</v>
      </c>
      <c r="F54" s="6" t="s">
        <v>500</v>
      </c>
      <c r="G54" s="18">
        <v>25</v>
      </c>
      <c r="H54">
        <v>57</v>
      </c>
      <c r="I54">
        <v>20</v>
      </c>
      <c r="J54" s="7" t="s">
        <v>501</v>
      </c>
      <c r="K54" s="7"/>
      <c r="L54" s="7"/>
      <c r="M54" s="7"/>
      <c r="N54" s="7" t="s">
        <v>502</v>
      </c>
      <c r="O54" s="7" t="s">
        <v>90</v>
      </c>
      <c r="P54" s="7"/>
      <c r="Q54" s="7" t="s">
        <v>93</v>
      </c>
      <c r="R54" s="7"/>
      <c r="S54" s="8"/>
      <c r="T54" s="8"/>
      <c r="U54" s="9" t="str">
        <f>IF(COUNTIFS(Contacts_Activation!D:D,D54,Contacts_Activation!N:N,"oui")&gt;0,"oui","non")</f>
        <v>oui</v>
      </c>
      <c r="V54" s="9" t="str">
        <f>IF(COUNTIFS(Travaux!C:C,D54,Travaux!X:X,"en_cours")&gt;0,"travaux_en_cours",IF(COUNTIFS(Ventes!C:C,D54,Ventes!L:L,"signature")&gt;0,"vente_signature",IF(COUNTIFS(Ventes!C:C,D54,Ventes!AD:AD,"oui")&gt;0,"vente_bloquee",IF(COUNTIFS(Gestion_Locative!C:C,D54,Gestion_Locative!O:O,"incomplet")&gt;0,"gestion_fragile","stable"))))</f>
        <v>vente_bloquee</v>
      </c>
    </row>
    <row r="55" spans="1:22" ht="14.4" hidden="1" x14ac:dyDescent="0.3">
      <c r="A55" s="6" t="s">
        <v>262</v>
      </c>
      <c r="B55" s="1" t="s">
        <v>4512</v>
      </c>
      <c r="C55" s="6" t="s">
        <v>419</v>
      </c>
      <c r="D55" s="6" t="s">
        <v>503</v>
      </c>
      <c r="E55" s="6" t="s">
        <v>421</v>
      </c>
      <c r="F55" s="6" t="s">
        <v>504</v>
      </c>
      <c r="G55" s="18">
        <v>25</v>
      </c>
      <c r="H55">
        <v>57</v>
      </c>
      <c r="I55">
        <v>20</v>
      </c>
      <c r="J55" s="7" t="s">
        <v>505</v>
      </c>
      <c r="K55" s="7" t="s">
        <v>506</v>
      </c>
      <c r="L55" s="7" t="s">
        <v>507</v>
      </c>
      <c r="M55" s="7"/>
      <c r="N55" s="7"/>
      <c r="O55" s="7" t="s">
        <v>90</v>
      </c>
      <c r="P55" s="7"/>
      <c r="Q55" s="7" t="s">
        <v>93</v>
      </c>
      <c r="R55" s="7"/>
      <c r="S55" s="8"/>
      <c r="T55" s="8"/>
      <c r="U55" s="9" t="str">
        <f>IF(COUNTIFS(Contacts_Activation!D:D,D55,Contacts_Activation!N:N,"oui")&gt;0,"oui","non")</f>
        <v>oui</v>
      </c>
      <c r="V55" s="9" t="str">
        <f>IF(COUNTIFS(Travaux!C:C,D55,Travaux!X:X,"en_cours")&gt;0,"travaux_en_cours",IF(COUNTIFS(Ventes!C:C,D55,Ventes!L:L,"signature")&gt;0,"vente_signature",IF(COUNTIFS(Ventes!C:C,D55,Ventes!AD:AD,"oui")&gt;0,"vente_bloquee",IF(COUNTIFS(Gestion_Locative!C:C,D55,Gestion_Locative!O:O,"incomplet")&gt;0,"gestion_fragile","stable"))))</f>
        <v>vente_bloquee</v>
      </c>
    </row>
    <row r="56" spans="1:22" ht="14.4" hidden="1" x14ac:dyDescent="0.3">
      <c r="A56" s="6" t="s">
        <v>262</v>
      </c>
      <c r="B56" s="1" t="s">
        <v>4512</v>
      </c>
      <c r="C56" s="6" t="s">
        <v>419</v>
      </c>
      <c r="D56" s="6" t="s">
        <v>508</v>
      </c>
      <c r="E56" s="6" t="s">
        <v>421</v>
      </c>
      <c r="F56" s="6" t="s">
        <v>509</v>
      </c>
      <c r="G56" s="18">
        <v>25</v>
      </c>
      <c r="H56">
        <v>57</v>
      </c>
      <c r="I56">
        <v>20</v>
      </c>
      <c r="J56" s="7" t="s">
        <v>305</v>
      </c>
      <c r="K56" s="7" t="s">
        <v>510</v>
      </c>
      <c r="L56" s="7" t="s">
        <v>511</v>
      </c>
      <c r="M56" s="7"/>
      <c r="N56" s="7"/>
      <c r="O56" s="7" t="s">
        <v>90</v>
      </c>
      <c r="P56" s="7"/>
      <c r="Q56" s="7" t="s">
        <v>93</v>
      </c>
      <c r="R56" s="7"/>
      <c r="S56" s="8"/>
      <c r="T56" s="8"/>
      <c r="U56" s="9" t="str">
        <f>IF(COUNTIFS(Contacts_Activation!D:D,D56,Contacts_Activation!N:N,"oui")&gt;0,"oui","non")</f>
        <v>oui</v>
      </c>
      <c r="V56" s="9" t="str">
        <f>IF(COUNTIFS(Travaux!C:C,D56,Travaux!X:X,"en_cours")&gt;0,"travaux_en_cours",IF(COUNTIFS(Ventes!C:C,D56,Ventes!L:L,"signature")&gt;0,"vente_signature",IF(COUNTIFS(Ventes!C:C,D56,Ventes!AD:AD,"oui")&gt;0,"vente_bloquee",IF(COUNTIFS(Gestion_Locative!C:C,D56,Gestion_Locative!O:O,"incomplet")&gt;0,"gestion_fragile","stable"))))</f>
        <v>vente_bloquee</v>
      </c>
    </row>
    <row r="57" spans="1:22" ht="14.4" hidden="1" x14ac:dyDescent="0.3">
      <c r="A57" s="6" t="s">
        <v>262</v>
      </c>
      <c r="B57" s="1" t="s">
        <v>4512</v>
      </c>
      <c r="C57" s="6" t="s">
        <v>419</v>
      </c>
      <c r="D57" s="6" t="s">
        <v>512</v>
      </c>
      <c r="E57" s="6" t="s">
        <v>421</v>
      </c>
      <c r="F57" s="6" t="s">
        <v>513</v>
      </c>
      <c r="G57" s="18">
        <v>25</v>
      </c>
      <c r="H57">
        <v>57</v>
      </c>
      <c r="I57">
        <v>20</v>
      </c>
      <c r="J57" s="7" t="s">
        <v>305</v>
      </c>
      <c r="K57" s="7" t="s">
        <v>514</v>
      </c>
      <c r="L57" s="7" t="s">
        <v>515</v>
      </c>
      <c r="M57" s="7"/>
      <c r="N57" s="7"/>
      <c r="O57" s="7" t="s">
        <v>90</v>
      </c>
      <c r="P57" s="7"/>
      <c r="Q57" s="7" t="s">
        <v>93</v>
      </c>
      <c r="R57" s="7"/>
      <c r="S57" s="8"/>
      <c r="T57" s="8"/>
      <c r="U57" s="9" t="str">
        <f>IF(COUNTIFS(Contacts_Activation!D:D,D57,Contacts_Activation!N:N,"oui")&gt;0,"oui","non")</f>
        <v>oui</v>
      </c>
      <c r="V57" s="9" t="str">
        <f>IF(COUNTIFS(Travaux!C:C,D57,Travaux!X:X,"en_cours")&gt;0,"travaux_en_cours",IF(COUNTIFS(Ventes!C:C,D57,Ventes!L:L,"signature")&gt;0,"vente_signature",IF(COUNTIFS(Ventes!C:C,D57,Ventes!AD:AD,"oui")&gt;0,"vente_bloquee",IF(COUNTIFS(Gestion_Locative!C:C,D57,Gestion_Locative!O:O,"incomplet")&gt;0,"gestion_fragile","stable"))))</f>
        <v>vente_bloquee</v>
      </c>
    </row>
    <row r="58" spans="1:22" ht="14.4" hidden="1" x14ac:dyDescent="0.3">
      <c r="A58" s="6" t="s">
        <v>262</v>
      </c>
      <c r="B58" s="1" t="s">
        <v>4512</v>
      </c>
      <c r="C58" s="6" t="s">
        <v>419</v>
      </c>
      <c r="D58" s="6" t="s">
        <v>516</v>
      </c>
      <c r="E58" s="6" t="s">
        <v>421</v>
      </c>
      <c r="F58" s="6" t="s">
        <v>517</v>
      </c>
      <c r="G58" s="18">
        <v>25</v>
      </c>
      <c r="H58">
        <v>57</v>
      </c>
      <c r="I58">
        <v>20</v>
      </c>
      <c r="J58" s="7" t="s">
        <v>518</v>
      </c>
      <c r="K58" s="7" t="s">
        <v>519</v>
      </c>
      <c r="L58" s="7" t="s">
        <v>520</v>
      </c>
      <c r="M58" s="7"/>
      <c r="N58" s="7"/>
      <c r="O58" s="7" t="s">
        <v>90</v>
      </c>
      <c r="P58" s="7"/>
      <c r="Q58" s="7" t="s">
        <v>93</v>
      </c>
      <c r="R58" s="7"/>
      <c r="S58" s="8"/>
      <c r="T58" s="8"/>
      <c r="U58" s="9" t="str">
        <f>IF(COUNTIFS(Contacts_Activation!D:D,D58,Contacts_Activation!N:N,"oui")&gt;0,"oui","non")</f>
        <v>oui</v>
      </c>
      <c r="V58" s="9" t="str">
        <f>IF(COUNTIFS(Travaux!C:C,D58,Travaux!X:X,"en_cours")&gt;0,"travaux_en_cours",IF(COUNTIFS(Ventes!C:C,D58,Ventes!L:L,"signature")&gt;0,"vente_signature",IF(COUNTIFS(Ventes!C:C,D58,Ventes!AD:AD,"oui")&gt;0,"vente_bloquee",IF(COUNTIFS(Gestion_Locative!C:C,D58,Gestion_Locative!O:O,"incomplet")&gt;0,"gestion_fragile","stable"))))</f>
        <v>vente_bloquee</v>
      </c>
    </row>
    <row r="59" spans="1:22" ht="14.4" hidden="1" x14ac:dyDescent="0.3">
      <c r="A59" s="6" t="s">
        <v>262</v>
      </c>
      <c r="B59" s="1" t="s">
        <v>4512</v>
      </c>
      <c r="C59" s="6" t="s">
        <v>419</v>
      </c>
      <c r="D59" s="6" t="s">
        <v>521</v>
      </c>
      <c r="E59" s="6" t="s">
        <v>421</v>
      </c>
      <c r="F59" s="6" t="s">
        <v>522</v>
      </c>
      <c r="G59" s="18">
        <v>25</v>
      </c>
      <c r="H59">
        <v>57</v>
      </c>
      <c r="I59">
        <v>20</v>
      </c>
      <c r="J59" s="7" t="s">
        <v>523</v>
      </c>
      <c r="K59" s="7" t="s">
        <v>524</v>
      </c>
      <c r="L59" s="7"/>
      <c r="M59" s="7"/>
      <c r="N59" s="7"/>
      <c r="O59" s="7" t="s">
        <v>90</v>
      </c>
      <c r="P59" s="7"/>
      <c r="Q59" s="7" t="s">
        <v>93</v>
      </c>
      <c r="R59" s="7"/>
      <c r="S59" s="8"/>
      <c r="T59" s="8"/>
      <c r="U59" s="9" t="str">
        <f>IF(COUNTIFS(Contacts_Activation!D:D,D59,Contacts_Activation!N:N,"oui")&gt;0,"oui","non")</f>
        <v>oui</v>
      </c>
      <c r="V59" s="9" t="str">
        <f>IF(COUNTIFS(Travaux!C:C,D59,Travaux!X:X,"en_cours")&gt;0,"travaux_en_cours",IF(COUNTIFS(Ventes!C:C,D59,Ventes!L:L,"signature")&gt;0,"vente_signature",IF(COUNTIFS(Ventes!C:C,D59,Ventes!AD:AD,"oui")&gt;0,"vente_bloquee",IF(COUNTIFS(Gestion_Locative!C:C,D59,Gestion_Locative!O:O,"incomplet")&gt;0,"gestion_fragile","stable"))))</f>
        <v>vente_bloquee</v>
      </c>
    </row>
    <row r="60" spans="1:22" ht="27.6" hidden="1" x14ac:dyDescent="0.3">
      <c r="A60" s="6" t="s">
        <v>262</v>
      </c>
      <c r="B60" s="1" t="s">
        <v>4512</v>
      </c>
      <c r="C60" s="6" t="s">
        <v>419</v>
      </c>
      <c r="D60" s="6" t="s">
        <v>525</v>
      </c>
      <c r="E60" s="6" t="s">
        <v>421</v>
      </c>
      <c r="F60" s="6" t="s">
        <v>526</v>
      </c>
      <c r="G60" s="18">
        <v>25</v>
      </c>
      <c r="H60">
        <v>57</v>
      </c>
      <c r="I60">
        <v>20</v>
      </c>
      <c r="J60" s="7" t="s">
        <v>527</v>
      </c>
      <c r="K60" s="7" t="s">
        <v>528</v>
      </c>
      <c r="L60" s="7" t="s">
        <v>529</v>
      </c>
      <c r="M60" s="7" t="s">
        <v>530</v>
      </c>
      <c r="N60" s="7"/>
      <c r="O60" s="7" t="s">
        <v>90</v>
      </c>
      <c r="P60" s="7"/>
      <c r="Q60" s="7" t="s">
        <v>93</v>
      </c>
      <c r="R60" s="7"/>
      <c r="S60" s="8"/>
      <c r="T60" s="8"/>
      <c r="U60" s="9" t="str">
        <f>IF(COUNTIFS(Contacts_Activation!D:D,D60,Contacts_Activation!N:N,"oui")&gt;0,"oui","non")</f>
        <v>oui</v>
      </c>
      <c r="V60" s="9" t="str">
        <f>IF(COUNTIFS(Travaux!C:C,D60,Travaux!X:X,"en_cours")&gt;0,"travaux_en_cours",IF(COUNTIFS(Ventes!C:C,D60,Ventes!L:L,"signature")&gt;0,"vente_signature",IF(COUNTIFS(Ventes!C:C,D60,Ventes!AD:AD,"oui")&gt;0,"vente_bloquee",IF(COUNTIFS(Gestion_Locative!C:C,D60,Gestion_Locative!O:O,"incomplet")&gt;0,"gestion_fragile","stable"))))</f>
        <v>vente_bloquee</v>
      </c>
    </row>
    <row r="61" spans="1:22" ht="14.4" hidden="1" x14ac:dyDescent="0.3">
      <c r="A61" s="6" t="s">
        <v>262</v>
      </c>
      <c r="B61" s="1" t="s">
        <v>4512</v>
      </c>
      <c r="C61" s="6" t="s">
        <v>419</v>
      </c>
      <c r="D61" s="6" t="s">
        <v>531</v>
      </c>
      <c r="E61" s="6" t="s">
        <v>421</v>
      </c>
      <c r="F61" s="6" t="s">
        <v>532</v>
      </c>
      <c r="G61" s="18">
        <v>25</v>
      </c>
      <c r="H61">
        <v>57</v>
      </c>
      <c r="I61">
        <v>20</v>
      </c>
      <c r="J61" s="7" t="s">
        <v>533</v>
      </c>
      <c r="K61" s="7" t="s">
        <v>534</v>
      </c>
      <c r="L61" s="7" t="s">
        <v>535</v>
      </c>
      <c r="M61" s="7" t="s">
        <v>536</v>
      </c>
      <c r="N61" s="7" t="s">
        <v>537</v>
      </c>
      <c r="O61" s="7" t="s">
        <v>90</v>
      </c>
      <c r="P61" s="7"/>
      <c r="Q61" s="7" t="s">
        <v>93</v>
      </c>
      <c r="R61" s="7"/>
      <c r="S61" s="8"/>
      <c r="T61" s="8"/>
      <c r="U61" s="9" t="str">
        <f>IF(COUNTIFS(Contacts_Activation!D:D,D61,Contacts_Activation!N:N,"oui")&gt;0,"oui","non")</f>
        <v>oui</v>
      </c>
      <c r="V61" s="9" t="str">
        <f>IF(COUNTIFS(Travaux!C:C,D61,Travaux!X:X,"en_cours")&gt;0,"travaux_en_cours",IF(COUNTIFS(Ventes!C:C,D61,Ventes!L:L,"signature")&gt;0,"vente_signature",IF(COUNTIFS(Ventes!C:C,D61,Ventes!AD:AD,"oui")&gt;0,"vente_bloquee",IF(COUNTIFS(Gestion_Locative!C:C,D61,Gestion_Locative!O:O,"incomplet")&gt;0,"gestion_fragile","stable"))))</f>
        <v>vente_bloquee</v>
      </c>
    </row>
    <row r="62" spans="1:22" ht="14.4" hidden="1" x14ac:dyDescent="0.3">
      <c r="A62" s="6" t="s">
        <v>262</v>
      </c>
      <c r="B62" s="1" t="s">
        <v>4512</v>
      </c>
      <c r="C62" s="6" t="s">
        <v>419</v>
      </c>
      <c r="D62" s="6" t="s">
        <v>538</v>
      </c>
      <c r="E62" s="6" t="s">
        <v>421</v>
      </c>
      <c r="F62" s="6" t="s">
        <v>539</v>
      </c>
      <c r="G62" s="18">
        <v>25</v>
      </c>
      <c r="H62">
        <v>57</v>
      </c>
      <c r="I62">
        <v>20</v>
      </c>
      <c r="J62" s="7" t="s">
        <v>540</v>
      </c>
      <c r="K62" s="7" t="s">
        <v>541</v>
      </c>
      <c r="L62" s="7" t="s">
        <v>542</v>
      </c>
      <c r="M62" s="7"/>
      <c r="N62" s="7"/>
      <c r="O62" s="7" t="s">
        <v>90</v>
      </c>
      <c r="P62" s="7"/>
      <c r="Q62" s="7" t="s">
        <v>93</v>
      </c>
      <c r="R62" s="7"/>
      <c r="S62" s="8"/>
      <c r="T62" s="8"/>
      <c r="U62" s="9" t="str">
        <f>IF(COUNTIFS(Contacts_Activation!D:D,D62,Contacts_Activation!N:N,"oui")&gt;0,"oui","non")</f>
        <v>oui</v>
      </c>
      <c r="V62" s="9" t="str">
        <f>IF(COUNTIFS(Travaux!C:C,D62,Travaux!X:X,"en_cours")&gt;0,"travaux_en_cours",IF(COUNTIFS(Ventes!C:C,D62,Ventes!L:L,"signature")&gt;0,"vente_signature",IF(COUNTIFS(Ventes!C:C,D62,Ventes!AD:AD,"oui")&gt;0,"vente_bloquee",IF(COUNTIFS(Gestion_Locative!C:C,D62,Gestion_Locative!O:O,"incomplet")&gt;0,"gestion_fragile","stable"))))</f>
        <v>vente_bloquee</v>
      </c>
    </row>
    <row r="63" spans="1:22" ht="14.4" hidden="1" x14ac:dyDescent="0.3">
      <c r="A63" s="6" t="s">
        <v>262</v>
      </c>
      <c r="B63" s="1" t="s">
        <v>4512</v>
      </c>
      <c r="C63" s="6" t="s">
        <v>419</v>
      </c>
      <c r="D63" s="6" t="s">
        <v>543</v>
      </c>
      <c r="E63" s="6" t="s">
        <v>421</v>
      </c>
      <c r="F63" s="6" t="s">
        <v>544</v>
      </c>
      <c r="G63" s="18">
        <v>25</v>
      </c>
      <c r="H63">
        <v>57</v>
      </c>
      <c r="I63">
        <v>20</v>
      </c>
      <c r="J63" s="7" t="s">
        <v>545</v>
      </c>
      <c r="K63" s="7" t="s">
        <v>546</v>
      </c>
      <c r="L63" s="7" t="s">
        <v>547</v>
      </c>
      <c r="M63" s="7"/>
      <c r="N63" s="7"/>
      <c r="O63" s="7" t="s">
        <v>90</v>
      </c>
      <c r="P63" s="7"/>
      <c r="Q63" s="7" t="s">
        <v>93</v>
      </c>
      <c r="R63" s="7"/>
      <c r="S63" s="8"/>
      <c r="T63" s="8"/>
      <c r="U63" s="9" t="str">
        <f>IF(COUNTIFS(Contacts_Activation!D:D,D63,Contacts_Activation!N:N,"oui")&gt;0,"oui","non")</f>
        <v>oui</v>
      </c>
      <c r="V63" s="9" t="str">
        <f>IF(COUNTIFS(Travaux!C:C,D63,Travaux!X:X,"en_cours")&gt;0,"travaux_en_cours",IF(COUNTIFS(Ventes!C:C,D63,Ventes!L:L,"signature")&gt;0,"vente_signature",IF(COUNTIFS(Ventes!C:C,D63,Ventes!AD:AD,"oui")&gt;0,"vente_bloquee",IF(COUNTIFS(Gestion_Locative!C:C,D63,Gestion_Locative!O:O,"incomplet")&gt;0,"gestion_fragile","stable"))))</f>
        <v>vente_bloquee</v>
      </c>
    </row>
    <row r="64" spans="1:22" ht="14.4" hidden="1" x14ac:dyDescent="0.3">
      <c r="A64" s="6" t="s">
        <v>270</v>
      </c>
      <c r="B64" s="1" t="s">
        <v>4513</v>
      </c>
      <c r="C64" s="6" t="s">
        <v>548</v>
      </c>
      <c r="D64" s="6" t="s">
        <v>549</v>
      </c>
      <c r="E64" s="6" t="s">
        <v>550</v>
      </c>
      <c r="F64" s="6" t="s">
        <v>551</v>
      </c>
      <c r="G64" s="18">
        <v>24</v>
      </c>
      <c r="H64">
        <v>66</v>
      </c>
      <c r="I64">
        <v>33</v>
      </c>
      <c r="J64" s="7" t="s">
        <v>552</v>
      </c>
      <c r="K64" s="7" t="s">
        <v>553</v>
      </c>
      <c r="L64" s="7" t="s">
        <v>554</v>
      </c>
      <c r="M64" s="7"/>
      <c r="N64" s="7"/>
      <c r="O64" s="7" t="s">
        <v>90</v>
      </c>
      <c r="P64" s="7"/>
      <c r="Q64" s="7" t="s">
        <v>93</v>
      </c>
      <c r="R64" s="7"/>
      <c r="S64" s="8"/>
      <c r="T64" s="8"/>
      <c r="U64" s="9" t="str">
        <f>IF(COUNTIFS(Contacts_Activation!D:D,D64,Contacts_Activation!N:N,"oui")&gt;0,"oui","non")</f>
        <v>oui</v>
      </c>
      <c r="V64" s="9" t="str">
        <f>IF(COUNTIFS(Travaux!C:C,D64,Travaux!X:X,"en_cours")&gt;0,"travaux_en_cours",IF(COUNTIFS(Ventes!C:C,D64,Ventes!L:L,"signature")&gt;0,"vente_signature",IF(COUNTIFS(Ventes!C:C,D64,Ventes!AD:AD,"oui")&gt;0,"vente_bloquee",IF(COUNTIFS(Gestion_Locative!C:C,D64,Gestion_Locative!O:O,"incomplet")&gt;0,"gestion_fragile","stable"))))</f>
        <v>vente_bloquee</v>
      </c>
    </row>
    <row r="65" spans="1:22" ht="14.4" hidden="1" x14ac:dyDescent="0.3">
      <c r="A65" s="6" t="s">
        <v>270</v>
      </c>
      <c r="B65" s="1" t="s">
        <v>4513</v>
      </c>
      <c r="C65" s="6" t="s">
        <v>548</v>
      </c>
      <c r="D65" s="6" t="s">
        <v>555</v>
      </c>
      <c r="E65" s="6" t="s">
        <v>550</v>
      </c>
      <c r="F65" s="6" t="s">
        <v>556</v>
      </c>
      <c r="G65" s="18">
        <v>24</v>
      </c>
      <c r="H65">
        <v>66</v>
      </c>
      <c r="I65">
        <v>33</v>
      </c>
      <c r="J65" s="7" t="s">
        <v>557</v>
      </c>
      <c r="K65" s="7" t="s">
        <v>558</v>
      </c>
      <c r="L65" s="7" t="s">
        <v>559</v>
      </c>
      <c r="M65" s="7"/>
      <c r="N65" s="7"/>
      <c r="O65" s="7" t="s">
        <v>90</v>
      </c>
      <c r="P65" s="7"/>
      <c r="Q65" s="7" t="s">
        <v>93</v>
      </c>
      <c r="R65" s="7"/>
      <c r="S65" s="8"/>
      <c r="T65" s="8"/>
      <c r="U65" s="9" t="str">
        <f>IF(COUNTIFS(Contacts_Activation!D:D,D65,Contacts_Activation!N:N,"oui")&gt;0,"oui","non")</f>
        <v>oui</v>
      </c>
      <c r="V65" s="9" t="str">
        <f>IF(COUNTIFS(Travaux!C:C,D65,Travaux!X:X,"en_cours")&gt;0,"travaux_en_cours",IF(COUNTIFS(Ventes!C:C,D65,Ventes!L:L,"signature")&gt;0,"vente_signature",IF(COUNTIFS(Ventes!C:C,D65,Ventes!AD:AD,"oui")&gt;0,"vente_bloquee",IF(COUNTIFS(Gestion_Locative!C:C,D65,Gestion_Locative!O:O,"incomplet")&gt;0,"gestion_fragile","stable"))))</f>
        <v>vente_bloquee</v>
      </c>
    </row>
    <row r="66" spans="1:22" ht="14.4" hidden="1" x14ac:dyDescent="0.3">
      <c r="A66" s="6" t="s">
        <v>270</v>
      </c>
      <c r="B66" s="1" t="s">
        <v>4513</v>
      </c>
      <c r="C66" s="6" t="s">
        <v>548</v>
      </c>
      <c r="D66" s="6" t="s">
        <v>560</v>
      </c>
      <c r="E66" s="6" t="s">
        <v>550</v>
      </c>
      <c r="F66" s="6" t="s">
        <v>561</v>
      </c>
      <c r="G66" s="18">
        <v>24</v>
      </c>
      <c r="H66">
        <v>66</v>
      </c>
      <c r="I66">
        <v>33</v>
      </c>
      <c r="J66" s="7" t="s">
        <v>311</v>
      </c>
      <c r="K66" s="7" t="s">
        <v>562</v>
      </c>
      <c r="L66" s="7" t="s">
        <v>563</v>
      </c>
      <c r="M66" s="7"/>
      <c r="N66" s="7" t="s">
        <v>564</v>
      </c>
      <c r="O66" s="7" t="s">
        <v>90</v>
      </c>
      <c r="P66" s="7"/>
      <c r="Q66" s="7" t="s">
        <v>93</v>
      </c>
      <c r="R66" s="7"/>
      <c r="S66" s="8"/>
      <c r="T66" s="8"/>
      <c r="U66" s="9" t="str">
        <f>IF(COUNTIFS(Contacts_Activation!D:D,D66,Contacts_Activation!N:N,"oui")&gt;0,"oui","non")</f>
        <v>oui</v>
      </c>
      <c r="V66" s="9" t="str">
        <f>IF(COUNTIFS(Travaux!C:C,D66,Travaux!X:X,"en_cours")&gt;0,"travaux_en_cours",IF(COUNTIFS(Ventes!C:C,D66,Ventes!L:L,"signature")&gt;0,"vente_signature",IF(COUNTIFS(Ventes!C:C,D66,Ventes!AD:AD,"oui")&gt;0,"vente_bloquee",IF(COUNTIFS(Gestion_Locative!C:C,D66,Gestion_Locative!O:O,"incomplet")&gt;0,"gestion_fragile","stable"))))</f>
        <v>vente_bloquee</v>
      </c>
    </row>
    <row r="67" spans="1:22" ht="14.4" hidden="1" x14ac:dyDescent="0.3">
      <c r="A67" s="6" t="s">
        <v>270</v>
      </c>
      <c r="B67" s="1" t="s">
        <v>4513</v>
      </c>
      <c r="C67" s="6" t="s">
        <v>548</v>
      </c>
      <c r="D67" s="6" t="s">
        <v>565</v>
      </c>
      <c r="E67" s="6" t="s">
        <v>550</v>
      </c>
      <c r="F67" s="6" t="s">
        <v>566</v>
      </c>
      <c r="G67" s="18">
        <v>24</v>
      </c>
      <c r="H67">
        <v>66</v>
      </c>
      <c r="I67">
        <v>33</v>
      </c>
      <c r="J67" s="7" t="s">
        <v>567</v>
      </c>
      <c r="K67" s="7" t="s">
        <v>568</v>
      </c>
      <c r="L67" s="7" t="s">
        <v>569</v>
      </c>
      <c r="M67" s="7"/>
      <c r="N67" s="7"/>
      <c r="O67" s="7" t="s">
        <v>90</v>
      </c>
      <c r="P67" s="7"/>
      <c r="Q67" s="7" t="s">
        <v>93</v>
      </c>
      <c r="R67" s="7"/>
      <c r="S67" s="8"/>
      <c r="T67" s="8"/>
      <c r="U67" s="9" t="str">
        <f>IF(COUNTIFS(Contacts_Activation!D:D,D67,Contacts_Activation!N:N,"oui")&gt;0,"oui","non")</f>
        <v>oui</v>
      </c>
      <c r="V67" s="9" t="str">
        <f>IF(COUNTIFS(Travaux!C:C,D67,Travaux!X:X,"en_cours")&gt;0,"travaux_en_cours",IF(COUNTIFS(Ventes!C:C,D67,Ventes!L:L,"signature")&gt;0,"vente_signature",IF(COUNTIFS(Ventes!C:C,D67,Ventes!AD:AD,"oui")&gt;0,"vente_bloquee",IF(COUNTIFS(Gestion_Locative!C:C,D67,Gestion_Locative!O:O,"incomplet")&gt;0,"gestion_fragile","stable"))))</f>
        <v>vente_bloquee</v>
      </c>
    </row>
    <row r="68" spans="1:22" ht="14.4" hidden="1" x14ac:dyDescent="0.3">
      <c r="A68" s="6" t="s">
        <v>270</v>
      </c>
      <c r="B68" s="1" t="s">
        <v>4513</v>
      </c>
      <c r="C68" s="6" t="s">
        <v>548</v>
      </c>
      <c r="D68" s="6" t="s">
        <v>570</v>
      </c>
      <c r="E68" s="6" t="s">
        <v>550</v>
      </c>
      <c r="F68" s="6" t="s">
        <v>571</v>
      </c>
      <c r="G68" s="18">
        <v>24</v>
      </c>
      <c r="H68">
        <v>66</v>
      </c>
      <c r="I68">
        <v>33</v>
      </c>
      <c r="J68" s="7" t="s">
        <v>567</v>
      </c>
      <c r="K68" s="7" t="s">
        <v>572</v>
      </c>
      <c r="L68" s="7" t="s">
        <v>573</v>
      </c>
      <c r="M68" s="7"/>
      <c r="N68" s="7"/>
      <c r="O68" s="7" t="s">
        <v>90</v>
      </c>
      <c r="P68" s="7"/>
      <c r="Q68" s="7" t="s">
        <v>93</v>
      </c>
      <c r="R68" s="7"/>
      <c r="S68" s="8"/>
      <c r="T68" s="8"/>
      <c r="U68" s="9" t="str">
        <f>IF(COUNTIFS(Contacts_Activation!D:D,D68,Contacts_Activation!N:N,"oui")&gt;0,"oui","non")</f>
        <v>oui</v>
      </c>
      <c r="V68" s="9" t="str">
        <f>IF(COUNTIFS(Travaux!C:C,D68,Travaux!X:X,"en_cours")&gt;0,"travaux_en_cours",IF(COUNTIFS(Ventes!C:C,D68,Ventes!L:L,"signature")&gt;0,"vente_signature",IF(COUNTIFS(Ventes!C:C,D68,Ventes!AD:AD,"oui")&gt;0,"vente_bloquee",IF(COUNTIFS(Gestion_Locative!C:C,D68,Gestion_Locative!O:O,"incomplet")&gt;0,"gestion_fragile","stable"))))</f>
        <v>vente_bloquee</v>
      </c>
    </row>
    <row r="69" spans="1:22" ht="14.4" hidden="1" x14ac:dyDescent="0.3">
      <c r="A69" s="6" t="s">
        <v>270</v>
      </c>
      <c r="B69" s="1" t="s">
        <v>4513</v>
      </c>
      <c r="C69" s="6" t="s">
        <v>548</v>
      </c>
      <c r="D69" s="6" t="s">
        <v>574</v>
      </c>
      <c r="E69" s="6" t="s">
        <v>550</v>
      </c>
      <c r="F69" s="6" t="s">
        <v>575</v>
      </c>
      <c r="G69" s="18">
        <v>24</v>
      </c>
      <c r="H69">
        <v>66</v>
      </c>
      <c r="I69">
        <v>33</v>
      </c>
      <c r="J69" s="7" t="s">
        <v>576</v>
      </c>
      <c r="K69" s="7" t="s">
        <v>577</v>
      </c>
      <c r="L69" s="7" t="s">
        <v>578</v>
      </c>
      <c r="M69" s="7"/>
      <c r="N69" s="7"/>
      <c r="O69" s="7" t="s">
        <v>90</v>
      </c>
      <c r="P69" s="7"/>
      <c r="Q69" s="7" t="s">
        <v>93</v>
      </c>
      <c r="R69" s="7"/>
      <c r="S69" s="8"/>
      <c r="T69" s="8"/>
      <c r="U69" s="9" t="str">
        <f>IF(COUNTIFS(Contacts_Activation!D:D,D69,Contacts_Activation!N:N,"oui")&gt;0,"oui","non")</f>
        <v>oui</v>
      </c>
      <c r="V69" s="9" t="str">
        <f>IF(COUNTIFS(Travaux!C:C,D69,Travaux!X:X,"en_cours")&gt;0,"travaux_en_cours",IF(COUNTIFS(Ventes!C:C,D69,Ventes!L:L,"signature")&gt;0,"vente_signature",IF(COUNTIFS(Ventes!C:C,D69,Ventes!AD:AD,"oui")&gt;0,"vente_bloquee",IF(COUNTIFS(Gestion_Locative!C:C,D69,Gestion_Locative!O:O,"incomplet")&gt;0,"gestion_fragile","stable"))))</f>
        <v>vente_bloquee</v>
      </c>
    </row>
    <row r="70" spans="1:22" ht="14.4" hidden="1" x14ac:dyDescent="0.3">
      <c r="A70" s="6" t="s">
        <v>270</v>
      </c>
      <c r="B70" s="1" t="s">
        <v>4513</v>
      </c>
      <c r="C70" s="6" t="s">
        <v>548</v>
      </c>
      <c r="D70" s="6" t="s">
        <v>579</v>
      </c>
      <c r="E70" s="6" t="s">
        <v>550</v>
      </c>
      <c r="F70" s="6" t="s">
        <v>580</v>
      </c>
      <c r="G70" s="18">
        <v>24</v>
      </c>
      <c r="H70">
        <v>66</v>
      </c>
      <c r="I70">
        <v>33</v>
      </c>
      <c r="J70" s="7" t="s">
        <v>581</v>
      </c>
      <c r="K70" s="7" t="s">
        <v>582</v>
      </c>
      <c r="L70" s="7" t="s">
        <v>583</v>
      </c>
      <c r="M70" s="7" t="s">
        <v>584</v>
      </c>
      <c r="N70" s="7"/>
      <c r="O70" s="7" t="s">
        <v>90</v>
      </c>
      <c r="P70" s="7"/>
      <c r="Q70" s="7" t="s">
        <v>93</v>
      </c>
      <c r="R70" s="7"/>
      <c r="S70" s="8"/>
      <c r="T70" s="8"/>
      <c r="U70" s="9" t="str">
        <f>IF(COUNTIFS(Contacts_Activation!D:D,D70,Contacts_Activation!N:N,"oui")&gt;0,"oui","non")</f>
        <v>oui</v>
      </c>
      <c r="V70" s="9" t="str">
        <f>IF(COUNTIFS(Travaux!C:C,D70,Travaux!X:X,"en_cours")&gt;0,"travaux_en_cours",IF(COUNTIFS(Ventes!C:C,D70,Ventes!L:L,"signature")&gt;0,"vente_signature",IF(COUNTIFS(Ventes!C:C,D70,Ventes!AD:AD,"oui")&gt;0,"vente_bloquee",IF(COUNTIFS(Gestion_Locative!C:C,D70,Gestion_Locative!O:O,"incomplet")&gt;0,"gestion_fragile","stable"))))</f>
        <v>vente_bloquee</v>
      </c>
    </row>
    <row r="71" spans="1:22" ht="14.4" hidden="1" x14ac:dyDescent="0.3">
      <c r="A71" s="6" t="s">
        <v>270</v>
      </c>
      <c r="B71" s="1" t="s">
        <v>4513</v>
      </c>
      <c r="C71" s="6" t="s">
        <v>548</v>
      </c>
      <c r="D71" s="6" t="s">
        <v>585</v>
      </c>
      <c r="E71" s="6" t="s">
        <v>550</v>
      </c>
      <c r="F71" s="6" t="s">
        <v>586</v>
      </c>
      <c r="G71" s="18">
        <v>24</v>
      </c>
      <c r="H71">
        <v>66</v>
      </c>
      <c r="I71">
        <v>33</v>
      </c>
      <c r="J71" s="7" t="s">
        <v>587</v>
      </c>
      <c r="K71" s="7" t="s">
        <v>485</v>
      </c>
      <c r="L71" s="7" t="s">
        <v>588</v>
      </c>
      <c r="M71" s="7"/>
      <c r="N71" s="7"/>
      <c r="O71" s="7" t="s">
        <v>90</v>
      </c>
      <c r="P71" s="7"/>
      <c r="Q71" s="7" t="s">
        <v>93</v>
      </c>
      <c r="R71" s="7"/>
      <c r="S71" s="8"/>
      <c r="T71" s="8"/>
      <c r="U71" s="9" t="str">
        <f>IF(COUNTIFS(Contacts_Activation!D:D,D71,Contacts_Activation!N:N,"oui")&gt;0,"oui","non")</f>
        <v>oui</v>
      </c>
      <c r="V71" s="9" t="str">
        <f>IF(COUNTIFS(Travaux!C:C,D71,Travaux!X:X,"en_cours")&gt;0,"travaux_en_cours",IF(COUNTIFS(Ventes!C:C,D71,Ventes!L:L,"signature")&gt;0,"vente_signature",IF(COUNTIFS(Ventes!C:C,D71,Ventes!AD:AD,"oui")&gt;0,"vente_bloquee",IF(COUNTIFS(Gestion_Locative!C:C,D71,Gestion_Locative!O:O,"incomplet")&gt;0,"gestion_fragile","stable"))))</f>
        <v>vente_bloquee</v>
      </c>
    </row>
    <row r="72" spans="1:22" ht="14.4" hidden="1" x14ac:dyDescent="0.3">
      <c r="A72" s="6" t="s">
        <v>270</v>
      </c>
      <c r="B72" s="1" t="s">
        <v>4513</v>
      </c>
      <c r="C72" s="6" t="s">
        <v>548</v>
      </c>
      <c r="D72" s="6" t="s">
        <v>589</v>
      </c>
      <c r="E72" s="6" t="s">
        <v>550</v>
      </c>
      <c r="F72" s="6" t="s">
        <v>590</v>
      </c>
      <c r="G72" s="18">
        <v>24</v>
      </c>
      <c r="H72">
        <v>66</v>
      </c>
      <c r="I72">
        <v>33</v>
      </c>
      <c r="J72" s="7" t="s">
        <v>458</v>
      </c>
      <c r="K72" s="7" t="s">
        <v>591</v>
      </c>
      <c r="L72" s="7" t="s">
        <v>592</v>
      </c>
      <c r="M72" s="7" t="s">
        <v>593</v>
      </c>
      <c r="N72" s="7" t="s">
        <v>316</v>
      </c>
      <c r="O72" s="7" t="s">
        <v>90</v>
      </c>
      <c r="P72" s="7"/>
      <c r="Q72" s="7" t="s">
        <v>93</v>
      </c>
      <c r="R72" s="7"/>
      <c r="S72" s="8"/>
      <c r="T72" s="8"/>
      <c r="U72" s="9" t="str">
        <f>IF(COUNTIFS(Contacts_Activation!D:D,D72,Contacts_Activation!N:N,"oui")&gt;0,"oui","non")</f>
        <v>oui</v>
      </c>
      <c r="V72" s="9" t="str">
        <f>IF(COUNTIFS(Travaux!C:C,D72,Travaux!X:X,"en_cours")&gt;0,"travaux_en_cours",IF(COUNTIFS(Ventes!C:C,D72,Ventes!L:L,"signature")&gt;0,"vente_signature",IF(COUNTIFS(Ventes!C:C,D72,Ventes!AD:AD,"oui")&gt;0,"vente_bloquee",IF(COUNTIFS(Gestion_Locative!C:C,D72,Gestion_Locative!O:O,"incomplet")&gt;0,"gestion_fragile","stable"))))</f>
        <v>vente_bloquee</v>
      </c>
    </row>
    <row r="73" spans="1:22" ht="14.4" hidden="1" x14ac:dyDescent="0.3">
      <c r="A73" s="6" t="s">
        <v>270</v>
      </c>
      <c r="B73" s="1" t="s">
        <v>4513</v>
      </c>
      <c r="C73" s="6" t="s">
        <v>548</v>
      </c>
      <c r="D73" s="6" t="s">
        <v>594</v>
      </c>
      <c r="E73" s="6" t="s">
        <v>550</v>
      </c>
      <c r="F73" s="6" t="s">
        <v>595</v>
      </c>
      <c r="G73" s="18">
        <v>24</v>
      </c>
      <c r="H73">
        <v>66</v>
      </c>
      <c r="I73">
        <v>33</v>
      </c>
      <c r="J73" s="7" t="s">
        <v>587</v>
      </c>
      <c r="K73" s="7" t="s">
        <v>596</v>
      </c>
      <c r="L73" s="7" t="s">
        <v>597</v>
      </c>
      <c r="M73" s="7"/>
      <c r="N73" s="7"/>
      <c r="O73" s="7" t="s">
        <v>90</v>
      </c>
      <c r="P73" s="7"/>
      <c r="Q73" s="7" t="s">
        <v>93</v>
      </c>
      <c r="R73" s="7"/>
      <c r="S73" s="8"/>
      <c r="T73" s="8"/>
      <c r="U73" s="9" t="str">
        <f>IF(COUNTIFS(Contacts_Activation!D:D,D73,Contacts_Activation!N:N,"oui")&gt;0,"oui","non")</f>
        <v>oui</v>
      </c>
      <c r="V73" s="9" t="str">
        <f>IF(COUNTIFS(Travaux!C:C,D73,Travaux!X:X,"en_cours")&gt;0,"travaux_en_cours",IF(COUNTIFS(Ventes!C:C,D73,Ventes!L:L,"signature")&gt;0,"vente_signature",IF(COUNTIFS(Ventes!C:C,D73,Ventes!AD:AD,"oui")&gt;0,"vente_bloquee",IF(COUNTIFS(Gestion_Locative!C:C,D73,Gestion_Locative!O:O,"incomplet")&gt;0,"gestion_fragile","stable"))))</f>
        <v>vente_bloquee</v>
      </c>
    </row>
    <row r="74" spans="1:22" ht="14.4" hidden="1" x14ac:dyDescent="0.3">
      <c r="A74" s="6" t="s">
        <v>270</v>
      </c>
      <c r="B74" s="1" t="s">
        <v>4513</v>
      </c>
      <c r="C74" s="6" t="s">
        <v>548</v>
      </c>
      <c r="D74" s="6" t="s">
        <v>598</v>
      </c>
      <c r="E74" s="6" t="s">
        <v>550</v>
      </c>
      <c r="F74" s="6" t="s">
        <v>599</v>
      </c>
      <c r="G74" s="18">
        <v>24</v>
      </c>
      <c r="H74">
        <v>66</v>
      </c>
      <c r="I74">
        <v>33</v>
      </c>
      <c r="J74" s="7" t="s">
        <v>600</v>
      </c>
      <c r="K74" s="7" t="s">
        <v>601</v>
      </c>
      <c r="L74" s="7" t="s">
        <v>602</v>
      </c>
      <c r="M74" s="7"/>
      <c r="N74" s="7"/>
      <c r="O74" s="7" t="s">
        <v>90</v>
      </c>
      <c r="P74" s="7"/>
      <c r="Q74" s="7" t="s">
        <v>93</v>
      </c>
      <c r="R74" s="7"/>
      <c r="S74" s="8"/>
      <c r="T74" s="8"/>
      <c r="U74" s="9" t="str">
        <f>IF(COUNTIFS(Contacts_Activation!D:D,D74,Contacts_Activation!N:N,"oui")&gt;0,"oui","non")</f>
        <v>oui</v>
      </c>
      <c r="V74" s="9" t="str">
        <f>IF(COUNTIFS(Travaux!C:C,D74,Travaux!X:X,"en_cours")&gt;0,"travaux_en_cours",IF(COUNTIFS(Ventes!C:C,D74,Ventes!L:L,"signature")&gt;0,"vente_signature",IF(COUNTIFS(Ventes!C:C,D74,Ventes!AD:AD,"oui")&gt;0,"vente_bloquee",IF(COUNTIFS(Gestion_Locative!C:C,D74,Gestion_Locative!O:O,"incomplet")&gt;0,"gestion_fragile","stable"))))</f>
        <v>vente_bloquee</v>
      </c>
    </row>
    <row r="75" spans="1:22" ht="14.4" hidden="1" x14ac:dyDescent="0.3">
      <c r="A75" s="6" t="s">
        <v>270</v>
      </c>
      <c r="B75" s="1" t="s">
        <v>4513</v>
      </c>
      <c r="C75" s="6" t="s">
        <v>548</v>
      </c>
      <c r="D75" s="6" t="s">
        <v>603</v>
      </c>
      <c r="E75" s="6" t="s">
        <v>550</v>
      </c>
      <c r="F75" s="6" t="s">
        <v>604</v>
      </c>
      <c r="G75" s="18">
        <v>24</v>
      </c>
      <c r="H75">
        <v>66</v>
      </c>
      <c r="I75">
        <v>33</v>
      </c>
      <c r="J75" s="7" t="s">
        <v>605</v>
      </c>
      <c r="K75" s="7" t="s">
        <v>606</v>
      </c>
      <c r="L75" s="7" t="s">
        <v>607</v>
      </c>
      <c r="M75" s="7" t="s">
        <v>608</v>
      </c>
      <c r="N75" s="7"/>
      <c r="O75" s="7" t="s">
        <v>90</v>
      </c>
      <c r="P75" s="7"/>
      <c r="Q75" s="7" t="s">
        <v>93</v>
      </c>
      <c r="R75" s="7"/>
      <c r="S75" s="8"/>
      <c r="T75" s="8"/>
      <c r="U75" s="9" t="str">
        <f>IF(COUNTIFS(Contacts_Activation!D:D,D75,Contacts_Activation!N:N,"oui")&gt;0,"oui","non")</f>
        <v>oui</v>
      </c>
      <c r="V75" s="9" t="str">
        <f>IF(COUNTIFS(Travaux!C:C,D75,Travaux!X:X,"en_cours")&gt;0,"travaux_en_cours",IF(COUNTIFS(Ventes!C:C,D75,Ventes!L:L,"signature")&gt;0,"vente_signature",IF(COUNTIFS(Ventes!C:C,D75,Ventes!AD:AD,"oui")&gt;0,"vente_bloquee",IF(COUNTIFS(Gestion_Locative!C:C,D75,Gestion_Locative!O:O,"incomplet")&gt;0,"gestion_fragile","stable"))))</f>
        <v>vente_bloquee</v>
      </c>
    </row>
    <row r="76" spans="1:22" ht="14.4" hidden="1" x14ac:dyDescent="0.3">
      <c r="A76" s="6" t="s">
        <v>270</v>
      </c>
      <c r="B76" s="1" t="s">
        <v>4513</v>
      </c>
      <c r="C76" s="6" t="s">
        <v>548</v>
      </c>
      <c r="D76" s="6" t="s">
        <v>609</v>
      </c>
      <c r="E76" s="6" t="s">
        <v>550</v>
      </c>
      <c r="F76" s="6" t="s">
        <v>610</v>
      </c>
      <c r="G76" s="18">
        <v>24</v>
      </c>
      <c r="H76">
        <v>66</v>
      </c>
      <c r="I76">
        <v>33</v>
      </c>
      <c r="J76" s="7" t="s">
        <v>605</v>
      </c>
      <c r="K76" s="7" t="s">
        <v>611</v>
      </c>
      <c r="L76" s="7" t="s">
        <v>612</v>
      </c>
      <c r="M76" s="7"/>
      <c r="N76" s="7"/>
      <c r="O76" s="7" t="s">
        <v>90</v>
      </c>
      <c r="P76" s="7"/>
      <c r="Q76" s="7" t="s">
        <v>93</v>
      </c>
      <c r="R76" s="7"/>
      <c r="S76" s="8"/>
      <c r="T76" s="8"/>
      <c r="U76" s="9" t="str">
        <f>IF(COUNTIFS(Contacts_Activation!D:D,D76,Contacts_Activation!N:N,"oui")&gt;0,"oui","non")</f>
        <v>oui</v>
      </c>
      <c r="V76" s="9" t="str">
        <f>IF(COUNTIFS(Travaux!C:C,D76,Travaux!X:X,"en_cours")&gt;0,"travaux_en_cours",IF(COUNTIFS(Ventes!C:C,D76,Ventes!L:L,"signature")&gt;0,"vente_signature",IF(COUNTIFS(Ventes!C:C,D76,Ventes!AD:AD,"oui")&gt;0,"vente_bloquee",IF(COUNTIFS(Gestion_Locative!C:C,D76,Gestion_Locative!O:O,"incomplet")&gt;0,"gestion_fragile","stable"))))</f>
        <v>vente_bloquee</v>
      </c>
    </row>
    <row r="77" spans="1:22" ht="14.4" hidden="1" x14ac:dyDescent="0.3">
      <c r="A77" s="6" t="s">
        <v>270</v>
      </c>
      <c r="B77" s="1" t="s">
        <v>4513</v>
      </c>
      <c r="C77" s="6" t="s">
        <v>548</v>
      </c>
      <c r="D77" s="6" t="s">
        <v>613</v>
      </c>
      <c r="E77" s="6" t="s">
        <v>550</v>
      </c>
      <c r="F77" s="6" t="s">
        <v>614</v>
      </c>
      <c r="G77" s="18">
        <v>24</v>
      </c>
      <c r="H77">
        <v>66</v>
      </c>
      <c r="I77">
        <v>33</v>
      </c>
      <c r="J77" s="7" t="s">
        <v>615</v>
      </c>
      <c r="K77" s="7" t="s">
        <v>616</v>
      </c>
      <c r="L77" s="7" t="s">
        <v>617</v>
      </c>
      <c r="M77" s="7"/>
      <c r="N77" s="7"/>
      <c r="O77" s="7" t="s">
        <v>90</v>
      </c>
      <c r="P77" s="7"/>
      <c r="Q77" s="7" t="s">
        <v>93</v>
      </c>
      <c r="R77" s="7"/>
      <c r="S77" s="8"/>
      <c r="T77" s="8"/>
      <c r="U77" s="9" t="str">
        <f>IF(COUNTIFS(Contacts_Activation!D:D,D77,Contacts_Activation!N:N,"oui")&gt;0,"oui","non")</f>
        <v>oui</v>
      </c>
      <c r="V77" s="9" t="str">
        <f>IF(COUNTIFS(Travaux!C:C,D77,Travaux!X:X,"en_cours")&gt;0,"travaux_en_cours",IF(COUNTIFS(Ventes!C:C,D77,Ventes!L:L,"signature")&gt;0,"vente_signature",IF(COUNTIFS(Ventes!C:C,D77,Ventes!AD:AD,"oui")&gt;0,"vente_bloquee",IF(COUNTIFS(Gestion_Locative!C:C,D77,Gestion_Locative!O:O,"incomplet")&gt;0,"gestion_fragile","stable"))))</f>
        <v>vente_bloquee</v>
      </c>
    </row>
    <row r="78" spans="1:22" ht="14.4" hidden="1" x14ac:dyDescent="0.3">
      <c r="A78" s="6" t="s">
        <v>270</v>
      </c>
      <c r="B78" s="1" t="s">
        <v>4513</v>
      </c>
      <c r="C78" s="6" t="s">
        <v>548</v>
      </c>
      <c r="D78" s="6" t="s">
        <v>618</v>
      </c>
      <c r="E78" s="6" t="s">
        <v>550</v>
      </c>
      <c r="F78" s="6" t="s">
        <v>619</v>
      </c>
      <c r="G78" s="18">
        <v>24</v>
      </c>
      <c r="H78">
        <v>66</v>
      </c>
      <c r="I78">
        <v>33</v>
      </c>
      <c r="J78" s="7" t="s">
        <v>620</v>
      </c>
      <c r="K78" s="7" t="s">
        <v>621</v>
      </c>
      <c r="L78" s="7" t="s">
        <v>622</v>
      </c>
      <c r="M78" s="7"/>
      <c r="N78" s="7"/>
      <c r="O78" s="7" t="s">
        <v>90</v>
      </c>
      <c r="P78" s="7"/>
      <c r="Q78" s="7" t="s">
        <v>93</v>
      </c>
      <c r="R78" s="7"/>
      <c r="S78" s="8"/>
      <c r="T78" s="8"/>
      <c r="U78" s="9" t="str">
        <f>IF(COUNTIFS(Contacts_Activation!D:D,D78,Contacts_Activation!N:N,"oui")&gt;0,"oui","non")</f>
        <v>oui</v>
      </c>
      <c r="V78" s="9" t="str">
        <f>IF(COUNTIFS(Travaux!C:C,D78,Travaux!X:X,"en_cours")&gt;0,"travaux_en_cours",IF(COUNTIFS(Ventes!C:C,D78,Ventes!L:L,"signature")&gt;0,"vente_signature",IF(COUNTIFS(Ventes!C:C,D78,Ventes!AD:AD,"oui")&gt;0,"vente_bloquee",IF(COUNTIFS(Gestion_Locative!C:C,D78,Gestion_Locative!O:O,"incomplet")&gt;0,"gestion_fragile","stable"))))</f>
        <v>vente_bloquee</v>
      </c>
    </row>
    <row r="79" spans="1:22" ht="14.4" hidden="1" x14ac:dyDescent="0.3">
      <c r="A79" s="6" t="s">
        <v>270</v>
      </c>
      <c r="B79" s="1" t="s">
        <v>4513</v>
      </c>
      <c r="C79" s="6" t="s">
        <v>548</v>
      </c>
      <c r="D79" s="6" t="s">
        <v>623</v>
      </c>
      <c r="E79" s="6" t="s">
        <v>550</v>
      </c>
      <c r="F79" s="6" t="s">
        <v>624</v>
      </c>
      <c r="G79" s="18">
        <v>24</v>
      </c>
      <c r="H79">
        <v>66</v>
      </c>
      <c r="I79">
        <v>33</v>
      </c>
      <c r="J79" s="7" t="s">
        <v>625</v>
      </c>
      <c r="K79" s="7" t="s">
        <v>626</v>
      </c>
      <c r="L79" s="7" t="s">
        <v>627</v>
      </c>
      <c r="M79" s="7"/>
      <c r="N79" s="7"/>
      <c r="O79" s="7" t="s">
        <v>90</v>
      </c>
      <c r="P79" s="7"/>
      <c r="Q79" s="7" t="s">
        <v>93</v>
      </c>
      <c r="R79" s="7"/>
      <c r="S79" s="8"/>
      <c r="T79" s="8"/>
      <c r="U79" s="9" t="str">
        <f>IF(COUNTIFS(Contacts_Activation!D:D,D79,Contacts_Activation!N:N,"oui")&gt;0,"oui","non")</f>
        <v>oui</v>
      </c>
      <c r="V79" s="9" t="str">
        <f>IF(COUNTIFS(Travaux!C:C,D79,Travaux!X:X,"en_cours")&gt;0,"travaux_en_cours",IF(COUNTIFS(Ventes!C:C,D79,Ventes!L:L,"signature")&gt;0,"vente_signature",IF(COUNTIFS(Ventes!C:C,D79,Ventes!AD:AD,"oui")&gt;0,"vente_bloquee",IF(COUNTIFS(Gestion_Locative!C:C,D79,Gestion_Locative!O:O,"incomplet")&gt;0,"gestion_fragile","stable"))))</f>
        <v>vente_bloquee</v>
      </c>
    </row>
    <row r="80" spans="1:22" ht="14.4" hidden="1" x14ac:dyDescent="0.3">
      <c r="A80" s="6" t="s">
        <v>270</v>
      </c>
      <c r="B80" s="1" t="s">
        <v>4513</v>
      </c>
      <c r="C80" s="6" t="s">
        <v>548</v>
      </c>
      <c r="D80" s="6" t="s">
        <v>628</v>
      </c>
      <c r="E80" s="6" t="s">
        <v>550</v>
      </c>
      <c r="F80" s="6" t="s">
        <v>629</v>
      </c>
      <c r="G80" s="18">
        <v>24</v>
      </c>
      <c r="H80">
        <v>66</v>
      </c>
      <c r="I80">
        <v>33</v>
      </c>
      <c r="J80" s="7" t="s">
        <v>630</v>
      </c>
      <c r="K80" s="7" t="s">
        <v>631</v>
      </c>
      <c r="L80" s="7" t="s">
        <v>632</v>
      </c>
      <c r="M80" s="7"/>
      <c r="N80" s="7"/>
      <c r="O80" s="7" t="s">
        <v>90</v>
      </c>
      <c r="P80" s="7"/>
      <c r="Q80" s="7" t="s">
        <v>93</v>
      </c>
      <c r="R80" s="7"/>
      <c r="S80" s="8"/>
      <c r="T80" s="8"/>
      <c r="U80" s="9" t="str">
        <f>IF(COUNTIFS(Contacts_Activation!D:D,D80,Contacts_Activation!N:N,"oui")&gt;0,"oui","non")</f>
        <v>oui</v>
      </c>
      <c r="V80" s="9" t="str">
        <f>IF(COUNTIFS(Travaux!C:C,D80,Travaux!X:X,"en_cours")&gt;0,"travaux_en_cours",IF(COUNTIFS(Ventes!C:C,D80,Ventes!L:L,"signature")&gt;0,"vente_signature",IF(COUNTIFS(Ventes!C:C,D80,Ventes!AD:AD,"oui")&gt;0,"vente_bloquee",IF(COUNTIFS(Gestion_Locative!C:C,D80,Gestion_Locative!O:O,"incomplet")&gt;0,"gestion_fragile","stable"))))</f>
        <v>vente_bloquee</v>
      </c>
    </row>
    <row r="81" spans="1:22" ht="14.4" hidden="1" x14ac:dyDescent="0.3">
      <c r="A81" s="6" t="s">
        <v>270</v>
      </c>
      <c r="B81" s="1" t="s">
        <v>4513</v>
      </c>
      <c r="C81" s="6" t="s">
        <v>548</v>
      </c>
      <c r="D81" s="6" t="s">
        <v>633</v>
      </c>
      <c r="E81" s="6" t="s">
        <v>550</v>
      </c>
      <c r="F81" s="6" t="s">
        <v>634</v>
      </c>
      <c r="G81" s="18">
        <v>24</v>
      </c>
      <c r="H81">
        <v>66</v>
      </c>
      <c r="I81">
        <v>33</v>
      </c>
      <c r="J81" s="7" t="s">
        <v>635</v>
      </c>
      <c r="K81" s="7" t="s">
        <v>636</v>
      </c>
      <c r="L81" s="7" t="s">
        <v>637</v>
      </c>
      <c r="M81" s="7" t="s">
        <v>638</v>
      </c>
      <c r="N81" s="7" t="s">
        <v>639</v>
      </c>
      <c r="O81" s="7" t="s">
        <v>90</v>
      </c>
      <c r="P81" s="7"/>
      <c r="Q81" s="7" t="s">
        <v>93</v>
      </c>
      <c r="R81" s="7"/>
      <c r="S81" s="8"/>
      <c r="T81" s="8"/>
      <c r="U81" s="9" t="str">
        <f>IF(COUNTIFS(Contacts_Activation!D:D,D81,Contacts_Activation!N:N,"oui")&gt;0,"oui","non")</f>
        <v>oui</v>
      </c>
      <c r="V81" s="9" t="str">
        <f>IF(COUNTIFS(Travaux!C:C,D81,Travaux!X:X,"en_cours")&gt;0,"travaux_en_cours",IF(COUNTIFS(Ventes!C:C,D81,Ventes!L:L,"signature")&gt;0,"vente_signature",IF(COUNTIFS(Ventes!C:C,D81,Ventes!AD:AD,"oui")&gt;0,"vente_bloquee",IF(COUNTIFS(Gestion_Locative!C:C,D81,Gestion_Locative!O:O,"incomplet")&gt;0,"gestion_fragile","stable"))))</f>
        <v>vente_bloquee</v>
      </c>
    </row>
    <row r="82" spans="1:22" ht="14.4" hidden="1" x14ac:dyDescent="0.3">
      <c r="A82" s="6" t="s">
        <v>270</v>
      </c>
      <c r="B82" s="1" t="s">
        <v>4513</v>
      </c>
      <c r="C82" s="6" t="s">
        <v>548</v>
      </c>
      <c r="D82" s="6" t="s">
        <v>640</v>
      </c>
      <c r="E82" s="6" t="s">
        <v>550</v>
      </c>
      <c r="F82" s="6" t="s">
        <v>641</v>
      </c>
      <c r="G82" s="18">
        <v>24</v>
      </c>
      <c r="H82">
        <v>66</v>
      </c>
      <c r="I82">
        <v>33</v>
      </c>
      <c r="J82" s="7" t="s">
        <v>311</v>
      </c>
      <c r="K82" s="7" t="s">
        <v>642</v>
      </c>
      <c r="L82" s="7" t="s">
        <v>643</v>
      </c>
      <c r="M82" s="7"/>
      <c r="N82" s="7"/>
      <c r="O82" s="7" t="s">
        <v>90</v>
      </c>
      <c r="P82" s="7"/>
      <c r="Q82" s="7" t="s">
        <v>93</v>
      </c>
      <c r="R82" s="7"/>
      <c r="S82" s="8"/>
      <c r="T82" s="8"/>
      <c r="U82" s="9" t="str">
        <f>IF(COUNTIFS(Contacts_Activation!D:D,D82,Contacts_Activation!N:N,"oui")&gt;0,"oui","non")</f>
        <v>oui</v>
      </c>
      <c r="V82" s="9" t="str">
        <f>IF(COUNTIFS(Travaux!C:C,D82,Travaux!X:X,"en_cours")&gt;0,"travaux_en_cours",IF(COUNTIFS(Ventes!C:C,D82,Ventes!L:L,"signature")&gt;0,"vente_signature",IF(COUNTIFS(Ventes!C:C,D82,Ventes!AD:AD,"oui")&gt;0,"vente_bloquee",IF(COUNTIFS(Gestion_Locative!C:C,D82,Gestion_Locative!O:O,"incomplet")&gt;0,"gestion_fragile","stable"))))</f>
        <v>vente_bloquee</v>
      </c>
    </row>
    <row r="83" spans="1:22" ht="14.4" hidden="1" x14ac:dyDescent="0.3">
      <c r="A83" s="6" t="s">
        <v>270</v>
      </c>
      <c r="B83" s="1" t="s">
        <v>4513</v>
      </c>
      <c r="C83" s="6" t="s">
        <v>548</v>
      </c>
      <c r="D83" s="6" t="s">
        <v>644</v>
      </c>
      <c r="E83" s="6" t="s">
        <v>550</v>
      </c>
      <c r="F83" s="6" t="s">
        <v>645</v>
      </c>
      <c r="G83" s="18">
        <v>24</v>
      </c>
      <c r="H83">
        <v>66</v>
      </c>
      <c r="I83">
        <v>33</v>
      </c>
      <c r="J83" s="7" t="s">
        <v>646</v>
      </c>
      <c r="K83" s="7" t="s">
        <v>647</v>
      </c>
      <c r="L83" s="7" t="s">
        <v>648</v>
      </c>
      <c r="M83" s="7" t="s">
        <v>649</v>
      </c>
      <c r="N83" s="7" t="s">
        <v>650</v>
      </c>
      <c r="O83" s="7" t="s">
        <v>90</v>
      </c>
      <c r="P83" s="7"/>
      <c r="Q83" s="7" t="s">
        <v>93</v>
      </c>
      <c r="R83" s="7"/>
      <c r="S83" s="8"/>
      <c r="T83" s="8"/>
      <c r="U83" s="9" t="str">
        <f>IF(COUNTIFS(Contacts_Activation!D:D,D83,Contacts_Activation!N:N,"oui")&gt;0,"oui","non")</f>
        <v>oui</v>
      </c>
      <c r="V83" s="9" t="str">
        <f>IF(COUNTIFS(Travaux!C:C,D83,Travaux!X:X,"en_cours")&gt;0,"travaux_en_cours",IF(COUNTIFS(Ventes!C:C,D83,Ventes!L:L,"signature")&gt;0,"vente_signature",IF(COUNTIFS(Ventes!C:C,D83,Ventes!AD:AD,"oui")&gt;0,"vente_bloquee",IF(COUNTIFS(Gestion_Locative!C:C,D83,Gestion_Locative!O:O,"incomplet")&gt;0,"gestion_fragile","stable"))))</f>
        <v>vente_bloquee</v>
      </c>
    </row>
    <row r="84" spans="1:22" ht="14.4" hidden="1" x14ac:dyDescent="0.3">
      <c r="A84" s="6" t="s">
        <v>270</v>
      </c>
      <c r="B84" s="1" t="s">
        <v>4513</v>
      </c>
      <c r="C84" s="6" t="s">
        <v>548</v>
      </c>
      <c r="D84" s="6" t="s">
        <v>651</v>
      </c>
      <c r="E84" s="6" t="s">
        <v>550</v>
      </c>
      <c r="F84" s="6" t="s">
        <v>652</v>
      </c>
      <c r="G84" s="18">
        <v>24</v>
      </c>
      <c r="H84">
        <v>66</v>
      </c>
      <c r="I84">
        <v>33</v>
      </c>
      <c r="J84" s="7" t="s">
        <v>653</v>
      </c>
      <c r="K84" s="7" t="s">
        <v>654</v>
      </c>
      <c r="L84" s="7" t="s">
        <v>655</v>
      </c>
      <c r="M84" s="7"/>
      <c r="N84" s="7"/>
      <c r="O84" s="7" t="s">
        <v>90</v>
      </c>
      <c r="P84" s="7"/>
      <c r="Q84" s="7" t="s">
        <v>93</v>
      </c>
      <c r="R84" s="7"/>
      <c r="S84" s="8"/>
      <c r="T84" s="8"/>
      <c r="U84" s="9" t="str">
        <f>IF(COUNTIFS(Contacts_Activation!D:D,D84,Contacts_Activation!N:N,"oui")&gt;0,"oui","non")</f>
        <v>oui</v>
      </c>
      <c r="V84" s="9" t="str">
        <f>IF(COUNTIFS(Travaux!C:C,D84,Travaux!X:X,"en_cours")&gt;0,"travaux_en_cours",IF(COUNTIFS(Ventes!C:C,D84,Ventes!L:L,"signature")&gt;0,"vente_signature",IF(COUNTIFS(Ventes!C:C,D84,Ventes!AD:AD,"oui")&gt;0,"vente_bloquee",IF(COUNTIFS(Gestion_Locative!C:C,D84,Gestion_Locative!O:O,"incomplet")&gt;0,"gestion_fragile","stable"))))</f>
        <v>vente_bloquee</v>
      </c>
    </row>
    <row r="85" spans="1:22" ht="14.4" hidden="1" x14ac:dyDescent="0.3">
      <c r="A85" s="6" t="s">
        <v>270</v>
      </c>
      <c r="B85" s="1" t="s">
        <v>4513</v>
      </c>
      <c r="C85" s="6" t="s">
        <v>548</v>
      </c>
      <c r="D85" s="6" t="s">
        <v>656</v>
      </c>
      <c r="E85" s="6" t="s">
        <v>550</v>
      </c>
      <c r="F85" s="6" t="s">
        <v>657</v>
      </c>
      <c r="G85" s="18">
        <v>24</v>
      </c>
      <c r="H85">
        <v>66</v>
      </c>
      <c r="I85">
        <v>33</v>
      </c>
      <c r="J85" s="7" t="s">
        <v>658</v>
      </c>
      <c r="K85" s="7" t="s">
        <v>659</v>
      </c>
      <c r="L85" s="7" t="s">
        <v>660</v>
      </c>
      <c r="M85" s="7"/>
      <c r="N85" s="7"/>
      <c r="O85" s="7" t="s">
        <v>90</v>
      </c>
      <c r="P85" s="7"/>
      <c r="Q85" s="7" t="s">
        <v>93</v>
      </c>
      <c r="R85" s="7"/>
      <c r="S85" s="8"/>
      <c r="T85" s="8"/>
      <c r="U85" s="9" t="str">
        <f>IF(COUNTIFS(Contacts_Activation!D:D,D85,Contacts_Activation!N:N,"oui")&gt;0,"oui","non")</f>
        <v>oui</v>
      </c>
      <c r="V85" s="9" t="str">
        <f>IF(COUNTIFS(Travaux!C:C,D85,Travaux!X:X,"en_cours")&gt;0,"travaux_en_cours",IF(COUNTIFS(Ventes!C:C,D85,Ventes!L:L,"signature")&gt;0,"vente_signature",IF(COUNTIFS(Ventes!C:C,D85,Ventes!AD:AD,"oui")&gt;0,"vente_bloquee",IF(COUNTIFS(Gestion_Locative!C:C,D85,Gestion_Locative!O:O,"incomplet")&gt;0,"gestion_fragile","stable"))))</f>
        <v>vente_bloquee</v>
      </c>
    </row>
    <row r="86" spans="1:22" ht="14.4" hidden="1" x14ac:dyDescent="0.3">
      <c r="A86" s="6" t="s">
        <v>270</v>
      </c>
      <c r="B86" s="1" t="s">
        <v>4513</v>
      </c>
      <c r="C86" s="6" t="s">
        <v>548</v>
      </c>
      <c r="D86" s="6" t="s">
        <v>661</v>
      </c>
      <c r="E86" s="6" t="s">
        <v>550</v>
      </c>
      <c r="F86" s="6" t="s">
        <v>662</v>
      </c>
      <c r="G86" s="18">
        <v>24</v>
      </c>
      <c r="H86">
        <v>66</v>
      </c>
      <c r="I86">
        <v>33</v>
      </c>
      <c r="J86" s="7" t="s">
        <v>658</v>
      </c>
      <c r="K86" s="7" t="s">
        <v>663</v>
      </c>
      <c r="L86" s="7" t="s">
        <v>664</v>
      </c>
      <c r="M86" s="7" t="s">
        <v>665</v>
      </c>
      <c r="N86" s="7"/>
      <c r="O86" s="7" t="s">
        <v>90</v>
      </c>
      <c r="P86" s="7"/>
      <c r="Q86" s="7" t="s">
        <v>93</v>
      </c>
      <c r="R86" s="7"/>
      <c r="S86" s="8"/>
      <c r="T86" s="8"/>
      <c r="U86" s="9" t="str">
        <f>IF(COUNTIFS(Contacts_Activation!D:D,D86,Contacts_Activation!N:N,"oui")&gt;0,"oui","non")</f>
        <v>oui</v>
      </c>
      <c r="V86" s="9" t="str">
        <f>IF(COUNTIFS(Travaux!C:C,D86,Travaux!X:X,"en_cours")&gt;0,"travaux_en_cours",IF(COUNTIFS(Ventes!C:C,D86,Ventes!L:L,"signature")&gt;0,"vente_signature",IF(COUNTIFS(Ventes!C:C,D86,Ventes!AD:AD,"oui")&gt;0,"vente_bloquee",IF(COUNTIFS(Gestion_Locative!C:C,D86,Gestion_Locative!O:O,"incomplet")&gt;0,"gestion_fragile","stable"))))</f>
        <v>vente_bloquee</v>
      </c>
    </row>
    <row r="87" spans="1:22" ht="14.4" hidden="1" x14ac:dyDescent="0.3">
      <c r="A87" s="6" t="s">
        <v>270</v>
      </c>
      <c r="B87" s="1" t="s">
        <v>4513</v>
      </c>
      <c r="C87" s="6" t="s">
        <v>548</v>
      </c>
      <c r="D87" s="6" t="s">
        <v>666</v>
      </c>
      <c r="E87" s="6" t="s">
        <v>550</v>
      </c>
      <c r="F87" s="6" t="s">
        <v>667</v>
      </c>
      <c r="G87" s="18">
        <v>24</v>
      </c>
      <c r="H87">
        <v>66</v>
      </c>
      <c r="I87">
        <v>33</v>
      </c>
      <c r="J87" s="7" t="s">
        <v>668</v>
      </c>
      <c r="K87" s="7" t="s">
        <v>669</v>
      </c>
      <c r="L87" s="7" t="s">
        <v>670</v>
      </c>
      <c r="M87" s="7" t="s">
        <v>671</v>
      </c>
      <c r="N87" s="7" t="s">
        <v>672</v>
      </c>
      <c r="O87" s="7" t="s">
        <v>90</v>
      </c>
      <c r="P87" s="7"/>
      <c r="Q87" s="7" t="s">
        <v>93</v>
      </c>
      <c r="R87" s="7"/>
      <c r="S87" s="8"/>
      <c r="T87" s="8"/>
      <c r="U87" s="9" t="str">
        <f>IF(COUNTIFS(Contacts_Activation!D:D,D87,Contacts_Activation!N:N,"oui")&gt;0,"oui","non")</f>
        <v>oui</v>
      </c>
      <c r="V87" s="9" t="str">
        <f>IF(COUNTIFS(Travaux!C:C,D87,Travaux!X:X,"en_cours")&gt;0,"travaux_en_cours",IF(COUNTIFS(Ventes!C:C,D87,Ventes!L:L,"signature")&gt;0,"vente_signature",IF(COUNTIFS(Ventes!C:C,D87,Ventes!AD:AD,"oui")&gt;0,"vente_bloquee",IF(COUNTIFS(Gestion_Locative!C:C,D87,Gestion_Locative!O:O,"incomplet")&gt;0,"gestion_fragile","stable"))))</f>
        <v>vente_bloquee</v>
      </c>
    </row>
    <row r="88" spans="1:22" ht="14.4" hidden="1" x14ac:dyDescent="0.3">
      <c r="A88" s="6" t="s">
        <v>270</v>
      </c>
      <c r="B88" s="1" t="s">
        <v>4519</v>
      </c>
      <c r="C88" s="6" t="s">
        <v>673</v>
      </c>
      <c r="D88" s="6" t="s">
        <v>674</v>
      </c>
      <c r="E88" s="6" t="s">
        <v>675</v>
      </c>
      <c r="F88" s="6" t="s">
        <v>676</v>
      </c>
      <c r="G88" s="18">
        <v>2</v>
      </c>
      <c r="H88">
        <v>81</v>
      </c>
      <c r="I88">
        <v>68</v>
      </c>
      <c r="J88" s="7" t="s">
        <v>677</v>
      </c>
      <c r="K88" s="7"/>
      <c r="L88" s="7" t="s">
        <v>678</v>
      </c>
      <c r="M88" s="7"/>
      <c r="N88" s="7"/>
      <c r="O88" s="7" t="s">
        <v>90</v>
      </c>
      <c r="P88" s="7"/>
      <c r="Q88" s="7" t="s">
        <v>93</v>
      </c>
      <c r="R88" s="7"/>
      <c r="S88" s="8"/>
      <c r="T88" s="8"/>
      <c r="U88" s="9" t="str">
        <f>IF(COUNTIFS(Contacts_Activation!D:D,D88,Contacts_Activation!N:N,"oui")&gt;0,"oui","non")</f>
        <v>oui</v>
      </c>
      <c r="V88" s="9" t="str">
        <f>IF(COUNTIFS(Travaux!C:C,D88,Travaux!X:X,"en_cours")&gt;0,"travaux_en_cours",IF(COUNTIFS(Ventes!C:C,D88,Ventes!L:L,"signature")&gt;0,"vente_signature",IF(COUNTIFS(Ventes!C:C,D88,Ventes!AD:AD,"oui")&gt;0,"vente_bloquee",IF(COUNTIFS(Gestion_Locative!C:C,D88,Gestion_Locative!O:O,"incomplet")&gt;0,"gestion_fragile","stable"))))</f>
        <v>vente_bloquee</v>
      </c>
    </row>
    <row r="89" spans="1:22" ht="14.4" hidden="1" x14ac:dyDescent="0.3">
      <c r="A89" s="6" t="s">
        <v>270</v>
      </c>
      <c r="B89" s="1" t="s">
        <v>4519</v>
      </c>
      <c r="C89" s="6" t="s">
        <v>673</v>
      </c>
      <c r="D89" s="6" t="s">
        <v>679</v>
      </c>
      <c r="E89" s="6" t="s">
        <v>675</v>
      </c>
      <c r="F89" s="6" t="s">
        <v>680</v>
      </c>
      <c r="G89" s="18">
        <v>2</v>
      </c>
      <c r="H89">
        <v>81</v>
      </c>
      <c r="I89">
        <v>68</v>
      </c>
      <c r="J89" s="7" t="s">
        <v>681</v>
      </c>
      <c r="K89" s="7"/>
      <c r="L89" s="7" t="s">
        <v>682</v>
      </c>
      <c r="M89" s="7"/>
      <c r="N89" s="7"/>
      <c r="O89" s="7" t="s">
        <v>90</v>
      </c>
      <c r="P89" s="7"/>
      <c r="Q89" s="7" t="s">
        <v>93</v>
      </c>
      <c r="R89" s="7"/>
      <c r="S89" s="8"/>
      <c r="T89" s="8"/>
      <c r="U89" s="9" t="str">
        <f>IF(COUNTIFS(Contacts_Activation!D:D,D89,Contacts_Activation!N:N,"oui")&gt;0,"oui","non")</f>
        <v>oui</v>
      </c>
      <c r="V89" s="9" t="str">
        <f>IF(COUNTIFS(Travaux!C:C,D89,Travaux!X:X,"en_cours")&gt;0,"travaux_en_cours",IF(COUNTIFS(Ventes!C:C,D89,Ventes!L:L,"signature")&gt;0,"vente_signature",IF(COUNTIFS(Ventes!C:C,D89,Ventes!AD:AD,"oui")&gt;0,"vente_bloquee",IF(COUNTIFS(Gestion_Locative!C:C,D89,Gestion_Locative!O:O,"incomplet")&gt;0,"gestion_fragile","stable"))))</f>
        <v>vente_bloquee</v>
      </c>
    </row>
    <row r="90" spans="1:22" ht="14.4" hidden="1" x14ac:dyDescent="0.3">
      <c r="A90" s="6" t="s">
        <v>292</v>
      </c>
      <c r="B90" s="1" t="s">
        <v>4515</v>
      </c>
      <c r="C90" s="6" t="s">
        <v>683</v>
      </c>
      <c r="D90" s="6" t="s">
        <v>684</v>
      </c>
      <c r="E90" s="6" t="s">
        <v>685</v>
      </c>
      <c r="F90" s="6" t="s">
        <v>686</v>
      </c>
      <c r="G90" s="18">
        <v>9</v>
      </c>
      <c r="H90">
        <v>73</v>
      </c>
      <c r="I90">
        <v>63</v>
      </c>
      <c r="J90" s="7" t="s">
        <v>687</v>
      </c>
      <c r="K90" s="7" t="s">
        <v>688</v>
      </c>
      <c r="L90" s="7" t="s">
        <v>689</v>
      </c>
      <c r="M90" s="7"/>
      <c r="N90" s="7"/>
      <c r="O90" s="7" t="s">
        <v>90</v>
      </c>
      <c r="P90" s="7"/>
      <c r="Q90" s="7" t="s">
        <v>93</v>
      </c>
      <c r="R90" s="7"/>
      <c r="S90" s="8"/>
      <c r="T90" s="8"/>
      <c r="U90" s="9" t="str">
        <f>IF(COUNTIFS(Contacts_Activation!D:D,D90,Contacts_Activation!N:N,"oui")&gt;0,"oui","non")</f>
        <v>oui</v>
      </c>
      <c r="V90" s="9" t="str">
        <f>IF(COUNTIFS(Travaux!C:C,D90,Travaux!X:X,"en_cours")&gt;0,"travaux_en_cours",IF(COUNTIFS(Ventes!C:C,D90,Ventes!L:L,"signature")&gt;0,"vente_signature",IF(COUNTIFS(Ventes!C:C,D90,Ventes!AD:AD,"oui")&gt;0,"vente_bloquee",IF(COUNTIFS(Gestion_Locative!C:C,D90,Gestion_Locative!O:O,"incomplet")&gt;0,"gestion_fragile","stable"))))</f>
        <v>vente_bloquee</v>
      </c>
    </row>
    <row r="91" spans="1:22" ht="14.4" hidden="1" x14ac:dyDescent="0.3">
      <c r="A91" s="6" t="s">
        <v>292</v>
      </c>
      <c r="B91" s="1" t="s">
        <v>4515</v>
      </c>
      <c r="C91" s="6" t="s">
        <v>683</v>
      </c>
      <c r="D91" s="6" t="s">
        <v>690</v>
      </c>
      <c r="E91" s="6" t="s">
        <v>685</v>
      </c>
      <c r="F91" s="6" t="s">
        <v>691</v>
      </c>
      <c r="G91" s="18">
        <v>9</v>
      </c>
      <c r="H91">
        <v>73</v>
      </c>
      <c r="I91">
        <v>63</v>
      </c>
      <c r="J91" s="7" t="s">
        <v>692</v>
      </c>
      <c r="K91" s="7" t="s">
        <v>693</v>
      </c>
      <c r="L91" s="7" t="s">
        <v>694</v>
      </c>
      <c r="M91" s="7"/>
      <c r="N91" s="7"/>
      <c r="O91" s="7" t="s">
        <v>90</v>
      </c>
      <c r="P91" s="7"/>
      <c r="Q91" s="7" t="s">
        <v>93</v>
      </c>
      <c r="R91" s="7"/>
      <c r="S91" s="8"/>
      <c r="T91" s="8"/>
      <c r="U91" s="9" t="str">
        <f>IF(COUNTIFS(Contacts_Activation!D:D,D91,Contacts_Activation!N:N,"oui")&gt;0,"oui","non")</f>
        <v>oui</v>
      </c>
      <c r="V91" s="9" t="str">
        <f>IF(COUNTIFS(Travaux!C:C,D91,Travaux!X:X,"en_cours")&gt;0,"travaux_en_cours",IF(COUNTIFS(Ventes!C:C,D91,Ventes!L:L,"signature")&gt;0,"vente_signature",IF(COUNTIFS(Ventes!C:C,D91,Ventes!AD:AD,"oui")&gt;0,"vente_bloquee",IF(COUNTIFS(Gestion_Locative!C:C,D91,Gestion_Locative!O:O,"incomplet")&gt;0,"gestion_fragile","stable"))))</f>
        <v>vente_bloquee</v>
      </c>
    </row>
    <row r="92" spans="1:22" ht="14.4" hidden="1" x14ac:dyDescent="0.3">
      <c r="A92" s="6" t="s">
        <v>292</v>
      </c>
      <c r="B92" s="1" t="s">
        <v>4515</v>
      </c>
      <c r="C92" s="6" t="s">
        <v>683</v>
      </c>
      <c r="D92" s="6" t="s">
        <v>695</v>
      </c>
      <c r="E92" s="6" t="s">
        <v>685</v>
      </c>
      <c r="F92" s="6" t="s">
        <v>696</v>
      </c>
      <c r="G92" s="18">
        <v>9</v>
      </c>
      <c r="H92">
        <v>73</v>
      </c>
      <c r="I92">
        <v>63</v>
      </c>
      <c r="J92" s="7" t="s">
        <v>697</v>
      </c>
      <c r="K92" s="7" t="s">
        <v>698</v>
      </c>
      <c r="L92" s="7" t="s">
        <v>699</v>
      </c>
      <c r="M92" s="7" t="s">
        <v>700</v>
      </c>
      <c r="N92" s="7"/>
      <c r="O92" s="7" t="s">
        <v>90</v>
      </c>
      <c r="P92" s="7"/>
      <c r="Q92" s="7" t="s">
        <v>93</v>
      </c>
      <c r="R92" s="7"/>
      <c r="S92" s="8"/>
      <c r="T92" s="8"/>
      <c r="U92" s="9" t="str">
        <f>IF(COUNTIFS(Contacts_Activation!D:D,D92,Contacts_Activation!N:N,"oui")&gt;0,"oui","non")</f>
        <v>oui</v>
      </c>
      <c r="V92" s="9" t="str">
        <f>IF(COUNTIFS(Travaux!C:C,D92,Travaux!X:X,"en_cours")&gt;0,"travaux_en_cours",IF(COUNTIFS(Ventes!C:C,D92,Ventes!L:L,"signature")&gt;0,"vente_signature",IF(COUNTIFS(Ventes!C:C,D92,Ventes!AD:AD,"oui")&gt;0,"vente_bloquee",IF(COUNTIFS(Gestion_Locative!C:C,D92,Gestion_Locative!O:O,"incomplet")&gt;0,"gestion_fragile","stable"))))</f>
        <v>vente_bloquee</v>
      </c>
    </row>
    <row r="93" spans="1:22" ht="14.4" hidden="1" x14ac:dyDescent="0.3">
      <c r="A93" s="6" t="s">
        <v>292</v>
      </c>
      <c r="B93" s="1" t="s">
        <v>4515</v>
      </c>
      <c r="C93" s="6" t="s">
        <v>683</v>
      </c>
      <c r="D93" s="6" t="s">
        <v>701</v>
      </c>
      <c r="E93" s="6" t="s">
        <v>685</v>
      </c>
      <c r="F93" s="6" t="s">
        <v>702</v>
      </c>
      <c r="G93" s="18">
        <v>9</v>
      </c>
      <c r="H93">
        <v>73</v>
      </c>
      <c r="I93">
        <v>63</v>
      </c>
      <c r="J93" s="7" t="s">
        <v>703</v>
      </c>
      <c r="K93" s="7" t="s">
        <v>424</v>
      </c>
      <c r="L93" s="7"/>
      <c r="M93" s="7"/>
      <c r="N93" s="7"/>
      <c r="O93" s="7" t="s">
        <v>90</v>
      </c>
      <c r="P93" s="7"/>
      <c r="Q93" s="7" t="s">
        <v>93</v>
      </c>
      <c r="R93" s="7"/>
      <c r="S93" s="8"/>
      <c r="T93" s="8"/>
      <c r="U93" s="9" t="str">
        <f>IF(COUNTIFS(Contacts_Activation!D:D,D93,Contacts_Activation!N:N,"oui")&gt;0,"oui","non")</f>
        <v>oui</v>
      </c>
      <c r="V93" s="9" t="str">
        <f>IF(COUNTIFS(Travaux!C:C,D93,Travaux!X:X,"en_cours")&gt;0,"travaux_en_cours",IF(COUNTIFS(Ventes!C:C,D93,Ventes!L:L,"signature")&gt;0,"vente_signature",IF(COUNTIFS(Ventes!C:C,D93,Ventes!AD:AD,"oui")&gt;0,"vente_bloquee",IF(COUNTIFS(Gestion_Locative!C:C,D93,Gestion_Locative!O:O,"incomplet")&gt;0,"gestion_fragile","stable"))))</f>
        <v>vente_bloquee</v>
      </c>
    </row>
    <row r="94" spans="1:22" ht="14.4" hidden="1" x14ac:dyDescent="0.3">
      <c r="A94" s="6" t="s">
        <v>292</v>
      </c>
      <c r="B94" s="1" t="s">
        <v>4515</v>
      </c>
      <c r="C94" s="6" t="s">
        <v>683</v>
      </c>
      <c r="D94" s="6" t="s">
        <v>704</v>
      </c>
      <c r="E94" s="6" t="s">
        <v>685</v>
      </c>
      <c r="F94" s="6" t="s">
        <v>705</v>
      </c>
      <c r="G94" s="18">
        <v>9</v>
      </c>
      <c r="H94">
        <v>73</v>
      </c>
      <c r="I94">
        <v>63</v>
      </c>
      <c r="J94" s="7" t="s">
        <v>428</v>
      </c>
      <c r="K94" s="7" t="s">
        <v>706</v>
      </c>
      <c r="L94" s="7" t="s">
        <v>707</v>
      </c>
      <c r="M94" s="7" t="s">
        <v>708</v>
      </c>
      <c r="N94" s="7" t="s">
        <v>709</v>
      </c>
      <c r="O94" s="7" t="s">
        <v>90</v>
      </c>
      <c r="P94" s="7"/>
      <c r="Q94" s="7" t="s">
        <v>93</v>
      </c>
      <c r="R94" s="7"/>
      <c r="S94" s="8"/>
      <c r="T94" s="8"/>
      <c r="U94" s="9" t="str">
        <f>IF(COUNTIFS(Contacts_Activation!D:D,D94,Contacts_Activation!N:N,"oui")&gt;0,"oui","non")</f>
        <v>oui</v>
      </c>
      <c r="V94" s="9" t="str">
        <f>IF(COUNTIFS(Travaux!C:C,D94,Travaux!X:X,"en_cours")&gt;0,"travaux_en_cours",IF(COUNTIFS(Ventes!C:C,D94,Ventes!L:L,"signature")&gt;0,"vente_signature",IF(COUNTIFS(Ventes!C:C,D94,Ventes!AD:AD,"oui")&gt;0,"vente_bloquee",IF(COUNTIFS(Gestion_Locative!C:C,D94,Gestion_Locative!O:O,"incomplet")&gt;0,"gestion_fragile","stable"))))</f>
        <v>vente_bloquee</v>
      </c>
    </row>
    <row r="95" spans="1:22" ht="14.4" hidden="1" x14ac:dyDescent="0.3">
      <c r="A95" s="6" t="s">
        <v>292</v>
      </c>
      <c r="B95" s="1" t="s">
        <v>4515</v>
      </c>
      <c r="C95" s="6" t="s">
        <v>683</v>
      </c>
      <c r="D95" s="6" t="s">
        <v>710</v>
      </c>
      <c r="E95" s="6" t="s">
        <v>685</v>
      </c>
      <c r="F95" s="6" t="s">
        <v>711</v>
      </c>
      <c r="G95" s="18">
        <v>9</v>
      </c>
      <c r="H95">
        <v>73</v>
      </c>
      <c r="I95">
        <v>63</v>
      </c>
      <c r="J95" s="7" t="s">
        <v>712</v>
      </c>
      <c r="K95" s="7" t="s">
        <v>713</v>
      </c>
      <c r="L95" s="7" t="s">
        <v>714</v>
      </c>
      <c r="M95" s="7"/>
      <c r="N95" s="7"/>
      <c r="O95" s="7" t="s">
        <v>90</v>
      </c>
      <c r="P95" s="7"/>
      <c r="Q95" s="7" t="s">
        <v>93</v>
      </c>
      <c r="R95" s="7"/>
      <c r="S95" s="8"/>
      <c r="T95" s="8"/>
      <c r="U95" s="9" t="str">
        <f>IF(COUNTIFS(Contacts_Activation!D:D,D95,Contacts_Activation!N:N,"oui")&gt;0,"oui","non")</f>
        <v>oui</v>
      </c>
      <c r="V95" s="9" t="str">
        <f>IF(COUNTIFS(Travaux!C:C,D95,Travaux!X:X,"en_cours")&gt;0,"travaux_en_cours",IF(COUNTIFS(Ventes!C:C,D95,Ventes!L:L,"signature")&gt;0,"vente_signature",IF(COUNTIFS(Ventes!C:C,D95,Ventes!AD:AD,"oui")&gt;0,"vente_bloquee",IF(COUNTIFS(Gestion_Locative!C:C,D95,Gestion_Locative!O:O,"incomplet")&gt;0,"gestion_fragile","stable"))))</f>
        <v>vente_bloquee</v>
      </c>
    </row>
    <row r="96" spans="1:22" ht="14.4" hidden="1" x14ac:dyDescent="0.3">
      <c r="A96" s="6" t="s">
        <v>292</v>
      </c>
      <c r="B96" s="1" t="s">
        <v>4515</v>
      </c>
      <c r="C96" s="6" t="s">
        <v>683</v>
      </c>
      <c r="D96" s="6" t="s">
        <v>715</v>
      </c>
      <c r="E96" s="6" t="s">
        <v>685</v>
      </c>
      <c r="F96" s="6" t="s">
        <v>716</v>
      </c>
      <c r="G96" s="18">
        <v>9</v>
      </c>
      <c r="H96">
        <v>73</v>
      </c>
      <c r="I96">
        <v>63</v>
      </c>
      <c r="J96" s="7" t="s">
        <v>712</v>
      </c>
      <c r="K96" s="7" t="s">
        <v>506</v>
      </c>
      <c r="L96" s="7" t="s">
        <v>717</v>
      </c>
      <c r="M96" s="7"/>
      <c r="N96" s="7"/>
      <c r="O96" s="7" t="s">
        <v>90</v>
      </c>
      <c r="P96" s="7"/>
      <c r="Q96" s="7" t="s">
        <v>93</v>
      </c>
      <c r="R96" s="7"/>
      <c r="S96" s="8"/>
      <c r="T96" s="8"/>
      <c r="U96" s="9" t="str">
        <f>IF(COUNTIFS(Contacts_Activation!D:D,D96,Contacts_Activation!N:N,"oui")&gt;0,"oui","non")</f>
        <v>oui</v>
      </c>
      <c r="V96" s="9" t="str">
        <f>IF(COUNTIFS(Travaux!C:C,D96,Travaux!X:X,"en_cours")&gt;0,"travaux_en_cours",IF(COUNTIFS(Ventes!C:C,D96,Ventes!L:L,"signature")&gt;0,"vente_signature",IF(COUNTIFS(Ventes!C:C,D96,Ventes!AD:AD,"oui")&gt;0,"vente_bloquee",IF(COUNTIFS(Gestion_Locative!C:C,D96,Gestion_Locative!O:O,"incomplet")&gt;0,"gestion_fragile","stable"))))</f>
        <v>vente_bloquee</v>
      </c>
    </row>
    <row r="97" spans="1:22" ht="27.6" hidden="1" x14ac:dyDescent="0.3">
      <c r="A97" s="6" t="s">
        <v>292</v>
      </c>
      <c r="B97" s="1" t="s">
        <v>4515</v>
      </c>
      <c r="C97" s="6" t="s">
        <v>683</v>
      </c>
      <c r="D97" s="6" t="s">
        <v>718</v>
      </c>
      <c r="E97" s="6" t="s">
        <v>685</v>
      </c>
      <c r="F97" s="6" t="s">
        <v>719</v>
      </c>
      <c r="G97" s="18">
        <v>9</v>
      </c>
      <c r="H97">
        <v>73</v>
      </c>
      <c r="I97">
        <v>63</v>
      </c>
      <c r="J97" s="7" t="s">
        <v>720</v>
      </c>
      <c r="K97" s="7" t="s">
        <v>721</v>
      </c>
      <c r="L97" s="7" t="s">
        <v>722</v>
      </c>
      <c r="M97" s="7" t="s">
        <v>723</v>
      </c>
      <c r="N97" s="7"/>
      <c r="O97" s="7" t="s">
        <v>90</v>
      </c>
      <c r="P97" s="7"/>
      <c r="Q97" s="7" t="s">
        <v>93</v>
      </c>
      <c r="R97" s="7"/>
      <c r="S97" s="8"/>
      <c r="T97" s="8"/>
      <c r="U97" s="9" t="str">
        <f>IF(COUNTIFS(Contacts_Activation!D:D,D97,Contacts_Activation!N:N,"oui")&gt;0,"oui","non")</f>
        <v>oui</v>
      </c>
      <c r="V97" s="9" t="str">
        <f>IF(COUNTIFS(Travaux!C:C,D97,Travaux!X:X,"en_cours")&gt;0,"travaux_en_cours",IF(COUNTIFS(Ventes!C:C,D97,Ventes!L:L,"signature")&gt;0,"vente_signature",IF(COUNTIFS(Ventes!C:C,D97,Ventes!AD:AD,"oui")&gt;0,"vente_bloquee",IF(COUNTIFS(Gestion_Locative!C:C,D97,Gestion_Locative!O:O,"incomplet")&gt;0,"gestion_fragile","stable"))))</f>
        <v>vente_bloquee</v>
      </c>
    </row>
    <row r="98" spans="1:22" ht="14.4" hidden="1" x14ac:dyDescent="0.3">
      <c r="A98" s="6" t="s">
        <v>292</v>
      </c>
      <c r="B98" s="1" t="s">
        <v>4515</v>
      </c>
      <c r="C98" s="6" t="s">
        <v>683</v>
      </c>
      <c r="D98" s="6" t="s">
        <v>724</v>
      </c>
      <c r="E98" s="6" t="s">
        <v>685</v>
      </c>
      <c r="F98" s="6" t="s">
        <v>725</v>
      </c>
      <c r="G98" s="18">
        <v>9</v>
      </c>
      <c r="H98">
        <v>73</v>
      </c>
      <c r="I98">
        <v>63</v>
      </c>
      <c r="J98" s="7" t="s">
        <v>658</v>
      </c>
      <c r="K98" s="7" t="s">
        <v>726</v>
      </c>
      <c r="L98" s="7" t="s">
        <v>727</v>
      </c>
      <c r="M98" s="7" t="s">
        <v>728</v>
      </c>
      <c r="N98" s="7"/>
      <c r="O98" s="7" t="s">
        <v>90</v>
      </c>
      <c r="P98" s="7"/>
      <c r="Q98" s="7" t="s">
        <v>93</v>
      </c>
      <c r="R98" s="7"/>
      <c r="S98" s="8"/>
      <c r="T98" s="8"/>
      <c r="U98" s="9" t="str">
        <f>IF(COUNTIFS(Contacts_Activation!D:D,D98,Contacts_Activation!N:N,"oui")&gt;0,"oui","non")</f>
        <v>oui</v>
      </c>
      <c r="V98" s="9" t="str">
        <f>IF(COUNTIFS(Travaux!C:C,D98,Travaux!X:X,"en_cours")&gt;0,"travaux_en_cours",IF(COUNTIFS(Ventes!C:C,D98,Ventes!L:L,"signature")&gt;0,"vente_signature",IF(COUNTIFS(Ventes!C:C,D98,Ventes!AD:AD,"oui")&gt;0,"vente_bloquee",IF(COUNTIFS(Gestion_Locative!C:C,D98,Gestion_Locative!O:O,"incomplet")&gt;0,"gestion_fragile","stable"))))</f>
        <v>vente_bloquee</v>
      </c>
    </row>
    <row r="99" spans="1:22" ht="27.6" hidden="1" x14ac:dyDescent="0.3">
      <c r="A99" s="6" t="s">
        <v>270</v>
      </c>
      <c r="B99" s="1" t="s">
        <v>4516</v>
      </c>
      <c r="C99" s="6" t="s">
        <v>729</v>
      </c>
      <c r="D99" s="6" t="s">
        <v>730</v>
      </c>
      <c r="E99" s="6" t="s">
        <v>88</v>
      </c>
      <c r="F99" s="6" t="s">
        <v>731</v>
      </c>
      <c r="G99" s="18">
        <v>27</v>
      </c>
      <c r="H99">
        <v>61</v>
      </c>
      <c r="I99">
        <v>58</v>
      </c>
      <c r="J99" s="7" t="s">
        <v>732</v>
      </c>
      <c r="K99" s="7" t="s">
        <v>733</v>
      </c>
      <c r="L99" s="7" t="s">
        <v>734</v>
      </c>
      <c r="M99" s="7"/>
      <c r="N99" s="7"/>
      <c r="O99" s="7" t="s">
        <v>93</v>
      </c>
      <c r="P99" s="7" t="s">
        <v>209</v>
      </c>
      <c r="Q99" s="7" t="s">
        <v>93</v>
      </c>
      <c r="R99" s="7"/>
      <c r="S99" s="8"/>
      <c r="T99" s="8"/>
      <c r="U99" s="9" t="str">
        <f>IF(COUNTIFS(Contacts_Activation!D:D,D99,Contacts_Activation!N:N,"oui")&gt;0,"oui","non")</f>
        <v>oui</v>
      </c>
      <c r="V99" s="9" t="str">
        <f>IF(COUNTIFS(Travaux!C:C,D99,Travaux!X:X,"en_cours")&gt;0,"travaux_en_cours",IF(COUNTIFS(Ventes!C:C,D99,Ventes!L:L,"signature")&gt;0,"vente_signature",IF(COUNTIFS(Ventes!C:C,D99,Ventes!AD:AD,"oui")&gt;0,"vente_bloquee",IF(COUNTIFS(Gestion_Locative!C:C,D99,Gestion_Locative!O:O,"incomplet")&gt;0,"gestion_fragile","stable"))))</f>
        <v>vente_bloquee</v>
      </c>
    </row>
    <row r="100" spans="1:22" ht="27.6" hidden="1" x14ac:dyDescent="0.3">
      <c r="A100" s="6" t="s">
        <v>270</v>
      </c>
      <c r="B100" s="1" t="s">
        <v>4516</v>
      </c>
      <c r="C100" s="6" t="s">
        <v>729</v>
      </c>
      <c r="D100" s="6" t="s">
        <v>735</v>
      </c>
      <c r="E100" s="6" t="s">
        <v>88</v>
      </c>
      <c r="F100" s="6" t="s">
        <v>736</v>
      </c>
      <c r="G100" s="18">
        <v>27</v>
      </c>
      <c r="H100">
        <v>61</v>
      </c>
      <c r="I100">
        <v>58</v>
      </c>
      <c r="J100" s="7" t="s">
        <v>737</v>
      </c>
      <c r="K100" s="7" t="s">
        <v>738</v>
      </c>
      <c r="L100" s="7" t="s">
        <v>739</v>
      </c>
      <c r="M100" s="7"/>
      <c r="N100" s="7"/>
      <c r="O100" s="7" t="s">
        <v>93</v>
      </c>
      <c r="P100" s="7" t="s">
        <v>209</v>
      </c>
      <c r="Q100" s="7" t="s">
        <v>93</v>
      </c>
      <c r="R100" s="7"/>
      <c r="S100" s="8"/>
      <c r="T100" s="8"/>
      <c r="U100" s="9" t="str">
        <f>IF(COUNTIFS(Contacts_Activation!D:D,D100,Contacts_Activation!N:N,"oui")&gt;0,"oui","non")</f>
        <v>oui</v>
      </c>
      <c r="V100" s="9" t="str">
        <f>IF(COUNTIFS(Travaux!C:C,D100,Travaux!X:X,"en_cours")&gt;0,"travaux_en_cours",IF(COUNTIFS(Ventes!C:C,D100,Ventes!L:L,"signature")&gt;0,"vente_signature",IF(COUNTIFS(Ventes!C:C,D100,Ventes!AD:AD,"oui")&gt;0,"vente_bloquee",IF(COUNTIFS(Gestion_Locative!C:C,D100,Gestion_Locative!O:O,"incomplet")&gt;0,"gestion_fragile","stable"))))</f>
        <v>vente_bloquee</v>
      </c>
    </row>
    <row r="101" spans="1:22" ht="27.6" hidden="1" x14ac:dyDescent="0.3">
      <c r="A101" s="6" t="s">
        <v>270</v>
      </c>
      <c r="B101" s="1" t="s">
        <v>4516</v>
      </c>
      <c r="C101" s="6" t="s">
        <v>729</v>
      </c>
      <c r="D101" s="6" t="s">
        <v>740</v>
      </c>
      <c r="E101" s="6" t="s">
        <v>88</v>
      </c>
      <c r="F101" s="6" t="s">
        <v>741</v>
      </c>
      <c r="G101" s="18">
        <v>27</v>
      </c>
      <c r="H101">
        <v>61</v>
      </c>
      <c r="I101">
        <v>58</v>
      </c>
      <c r="J101" s="7" t="s">
        <v>567</v>
      </c>
      <c r="K101" s="7" t="s">
        <v>742</v>
      </c>
      <c r="L101" s="7" t="s">
        <v>743</v>
      </c>
      <c r="M101" s="7" t="s">
        <v>744</v>
      </c>
      <c r="N101" s="7"/>
      <c r="O101" s="7" t="s">
        <v>93</v>
      </c>
      <c r="P101" s="7" t="s">
        <v>209</v>
      </c>
      <c r="Q101" s="7" t="s">
        <v>93</v>
      </c>
      <c r="R101" s="7"/>
      <c r="S101" s="8"/>
      <c r="T101" s="8"/>
      <c r="U101" s="9" t="str">
        <f>IF(COUNTIFS(Contacts_Activation!D:D,D101,Contacts_Activation!N:N,"oui")&gt;0,"oui","non")</f>
        <v>oui</v>
      </c>
      <c r="V101" s="9" t="str">
        <f>IF(COUNTIFS(Travaux!C:C,D101,Travaux!X:X,"en_cours")&gt;0,"travaux_en_cours",IF(COUNTIFS(Ventes!C:C,D101,Ventes!L:L,"signature")&gt;0,"vente_signature",IF(COUNTIFS(Ventes!C:C,D101,Ventes!AD:AD,"oui")&gt;0,"vente_bloquee",IF(COUNTIFS(Gestion_Locative!C:C,D101,Gestion_Locative!O:O,"incomplet")&gt;0,"gestion_fragile","stable"))))</f>
        <v>vente_bloquee</v>
      </c>
    </row>
    <row r="102" spans="1:22" ht="27.6" hidden="1" x14ac:dyDescent="0.3">
      <c r="A102" s="6" t="s">
        <v>270</v>
      </c>
      <c r="B102" s="1" t="s">
        <v>4516</v>
      </c>
      <c r="C102" s="6" t="s">
        <v>729</v>
      </c>
      <c r="D102" s="6" t="s">
        <v>745</v>
      </c>
      <c r="E102" s="6" t="s">
        <v>88</v>
      </c>
      <c r="F102" s="6" t="s">
        <v>746</v>
      </c>
      <c r="G102" s="18">
        <v>27</v>
      </c>
      <c r="H102">
        <v>61</v>
      </c>
      <c r="I102">
        <v>58</v>
      </c>
      <c r="J102" s="7" t="s">
        <v>747</v>
      </c>
      <c r="K102" s="7" t="s">
        <v>748</v>
      </c>
      <c r="L102" s="7" t="s">
        <v>749</v>
      </c>
      <c r="M102" s="7" t="s">
        <v>750</v>
      </c>
      <c r="N102" s="7"/>
      <c r="O102" s="7" t="s">
        <v>93</v>
      </c>
      <c r="P102" s="7" t="s">
        <v>209</v>
      </c>
      <c r="Q102" s="7" t="s">
        <v>93</v>
      </c>
      <c r="R102" s="7"/>
      <c r="S102" s="8"/>
      <c r="T102" s="8"/>
      <c r="U102" s="9" t="str">
        <f>IF(COUNTIFS(Contacts_Activation!D:D,D102,Contacts_Activation!N:N,"oui")&gt;0,"oui","non")</f>
        <v>oui</v>
      </c>
      <c r="V102" s="9" t="str">
        <f>IF(COUNTIFS(Travaux!C:C,D102,Travaux!X:X,"en_cours")&gt;0,"travaux_en_cours",IF(COUNTIFS(Ventes!C:C,D102,Ventes!L:L,"signature")&gt;0,"vente_signature",IF(COUNTIFS(Ventes!C:C,D102,Ventes!AD:AD,"oui")&gt;0,"vente_bloquee",IF(COUNTIFS(Gestion_Locative!C:C,D102,Gestion_Locative!O:O,"incomplet")&gt;0,"gestion_fragile","stable"))))</f>
        <v>vente_bloquee</v>
      </c>
    </row>
    <row r="103" spans="1:22" ht="27.6" hidden="1" x14ac:dyDescent="0.3">
      <c r="A103" s="6" t="s">
        <v>270</v>
      </c>
      <c r="B103" s="1" t="s">
        <v>4516</v>
      </c>
      <c r="C103" s="6" t="s">
        <v>729</v>
      </c>
      <c r="D103" s="6" t="s">
        <v>751</v>
      </c>
      <c r="E103" s="6" t="s">
        <v>88</v>
      </c>
      <c r="F103" s="6" t="s">
        <v>752</v>
      </c>
      <c r="G103" s="18">
        <v>27</v>
      </c>
      <c r="H103">
        <v>61</v>
      </c>
      <c r="I103">
        <v>58</v>
      </c>
      <c r="J103" s="7" t="s">
        <v>753</v>
      </c>
      <c r="K103" s="7" t="s">
        <v>754</v>
      </c>
      <c r="L103" s="7" t="s">
        <v>755</v>
      </c>
      <c r="M103" s="7"/>
      <c r="N103" s="7"/>
      <c r="O103" s="7" t="s">
        <v>93</v>
      </c>
      <c r="P103" s="7" t="s">
        <v>209</v>
      </c>
      <c r="Q103" s="7" t="s">
        <v>93</v>
      </c>
      <c r="R103" s="7"/>
      <c r="S103" s="8"/>
      <c r="T103" s="8"/>
      <c r="U103" s="9" t="str">
        <f>IF(COUNTIFS(Contacts_Activation!D:D,D103,Contacts_Activation!N:N,"oui")&gt;0,"oui","non")</f>
        <v>oui</v>
      </c>
      <c r="V103" s="9" t="str">
        <f>IF(COUNTIFS(Travaux!C:C,D103,Travaux!X:X,"en_cours")&gt;0,"travaux_en_cours",IF(COUNTIFS(Ventes!C:C,D103,Ventes!L:L,"signature")&gt;0,"vente_signature",IF(COUNTIFS(Ventes!C:C,D103,Ventes!AD:AD,"oui")&gt;0,"vente_bloquee",IF(COUNTIFS(Gestion_Locative!C:C,D103,Gestion_Locative!O:O,"incomplet")&gt;0,"gestion_fragile","stable"))))</f>
        <v>vente_bloquee</v>
      </c>
    </row>
    <row r="104" spans="1:22" ht="27.6" hidden="1" x14ac:dyDescent="0.3">
      <c r="A104" s="6" t="s">
        <v>270</v>
      </c>
      <c r="B104" s="1" t="s">
        <v>4516</v>
      </c>
      <c r="C104" s="6" t="s">
        <v>729</v>
      </c>
      <c r="D104" s="6" t="s">
        <v>756</v>
      </c>
      <c r="E104" s="6" t="s">
        <v>88</v>
      </c>
      <c r="F104" s="6" t="s">
        <v>757</v>
      </c>
      <c r="G104" s="18">
        <v>27</v>
      </c>
      <c r="H104">
        <v>61</v>
      </c>
      <c r="I104">
        <v>58</v>
      </c>
      <c r="J104" s="7" t="s">
        <v>758</v>
      </c>
      <c r="K104" s="7" t="s">
        <v>759</v>
      </c>
      <c r="L104" s="7" t="s">
        <v>760</v>
      </c>
      <c r="M104" s="7"/>
      <c r="N104" s="7"/>
      <c r="O104" s="7" t="s">
        <v>93</v>
      </c>
      <c r="P104" s="7" t="s">
        <v>209</v>
      </c>
      <c r="Q104" s="7" t="s">
        <v>93</v>
      </c>
      <c r="R104" s="7"/>
      <c r="S104" s="8"/>
      <c r="T104" s="8"/>
      <c r="U104" s="9" t="str">
        <f>IF(COUNTIFS(Contacts_Activation!D:D,D104,Contacts_Activation!N:N,"oui")&gt;0,"oui","non")</f>
        <v>oui</v>
      </c>
      <c r="V104" s="9" t="str">
        <f>IF(COUNTIFS(Travaux!C:C,D104,Travaux!X:X,"en_cours")&gt;0,"travaux_en_cours",IF(COUNTIFS(Ventes!C:C,D104,Ventes!L:L,"signature")&gt;0,"vente_signature",IF(COUNTIFS(Ventes!C:C,D104,Ventes!AD:AD,"oui")&gt;0,"vente_bloquee",IF(COUNTIFS(Gestion_Locative!C:C,D104,Gestion_Locative!O:O,"incomplet")&gt;0,"gestion_fragile","stable"))))</f>
        <v>vente_bloquee</v>
      </c>
    </row>
    <row r="105" spans="1:22" ht="27.6" hidden="1" x14ac:dyDescent="0.3">
      <c r="A105" s="6" t="s">
        <v>270</v>
      </c>
      <c r="B105" s="1" t="s">
        <v>4516</v>
      </c>
      <c r="C105" s="6" t="s">
        <v>729</v>
      </c>
      <c r="D105" s="6" t="s">
        <v>761</v>
      </c>
      <c r="E105" s="6" t="s">
        <v>88</v>
      </c>
      <c r="F105" s="6" t="s">
        <v>762</v>
      </c>
      <c r="G105" s="18">
        <v>27</v>
      </c>
      <c r="H105">
        <v>61</v>
      </c>
      <c r="I105">
        <v>58</v>
      </c>
      <c r="J105" s="7" t="s">
        <v>687</v>
      </c>
      <c r="K105" s="7" t="s">
        <v>763</v>
      </c>
      <c r="L105" s="7" t="s">
        <v>764</v>
      </c>
      <c r="M105" s="7" t="s">
        <v>765</v>
      </c>
      <c r="N105" s="7"/>
      <c r="O105" s="7" t="s">
        <v>93</v>
      </c>
      <c r="P105" s="7" t="s">
        <v>209</v>
      </c>
      <c r="Q105" s="7" t="s">
        <v>93</v>
      </c>
      <c r="R105" s="7"/>
      <c r="S105" s="8"/>
      <c r="T105" s="8"/>
      <c r="U105" s="9" t="str">
        <f>IF(COUNTIFS(Contacts_Activation!D:D,D105,Contacts_Activation!N:N,"oui")&gt;0,"oui","non")</f>
        <v>oui</v>
      </c>
      <c r="V105" s="9" t="str">
        <f>IF(COUNTIFS(Travaux!C:C,D105,Travaux!X:X,"en_cours")&gt;0,"travaux_en_cours",IF(COUNTIFS(Ventes!C:C,D105,Ventes!L:L,"signature")&gt;0,"vente_signature",IF(COUNTIFS(Ventes!C:C,D105,Ventes!AD:AD,"oui")&gt;0,"vente_bloquee",IF(COUNTIFS(Gestion_Locative!C:C,D105,Gestion_Locative!O:O,"incomplet")&gt;0,"gestion_fragile","stable"))))</f>
        <v>vente_bloquee</v>
      </c>
    </row>
    <row r="106" spans="1:22" ht="27.6" hidden="1" x14ac:dyDescent="0.3">
      <c r="A106" s="6" t="s">
        <v>270</v>
      </c>
      <c r="B106" s="1" t="s">
        <v>4516</v>
      </c>
      <c r="C106" s="6" t="s">
        <v>729</v>
      </c>
      <c r="D106" s="6" t="s">
        <v>766</v>
      </c>
      <c r="E106" s="6" t="s">
        <v>88</v>
      </c>
      <c r="F106" s="6" t="s">
        <v>767</v>
      </c>
      <c r="G106" s="18">
        <v>27</v>
      </c>
      <c r="H106">
        <v>61</v>
      </c>
      <c r="I106">
        <v>58</v>
      </c>
      <c r="J106" s="7" t="s">
        <v>687</v>
      </c>
      <c r="K106" s="7" t="s">
        <v>236</v>
      </c>
      <c r="L106" s="7" t="s">
        <v>768</v>
      </c>
      <c r="M106" s="7"/>
      <c r="N106" s="7"/>
      <c r="O106" s="7" t="s">
        <v>93</v>
      </c>
      <c r="P106" s="7" t="s">
        <v>209</v>
      </c>
      <c r="Q106" s="7" t="s">
        <v>93</v>
      </c>
      <c r="R106" s="7"/>
      <c r="S106" s="8"/>
      <c r="T106" s="8"/>
      <c r="U106" s="9" t="str">
        <f>IF(COUNTIFS(Contacts_Activation!D:D,D106,Contacts_Activation!N:N,"oui")&gt;0,"oui","non")</f>
        <v>oui</v>
      </c>
      <c r="V106" s="9" t="str">
        <f>IF(COUNTIFS(Travaux!C:C,D106,Travaux!X:X,"en_cours")&gt;0,"travaux_en_cours",IF(COUNTIFS(Ventes!C:C,D106,Ventes!L:L,"signature")&gt;0,"vente_signature",IF(COUNTIFS(Ventes!C:C,D106,Ventes!AD:AD,"oui")&gt;0,"vente_bloquee",IF(COUNTIFS(Gestion_Locative!C:C,D106,Gestion_Locative!O:O,"incomplet")&gt;0,"gestion_fragile","stable"))))</f>
        <v>vente_bloquee</v>
      </c>
    </row>
    <row r="107" spans="1:22" ht="27.6" hidden="1" x14ac:dyDescent="0.3">
      <c r="A107" s="6" t="s">
        <v>270</v>
      </c>
      <c r="B107" s="1" t="s">
        <v>4516</v>
      </c>
      <c r="C107" s="6" t="s">
        <v>729</v>
      </c>
      <c r="D107" s="6" t="s">
        <v>769</v>
      </c>
      <c r="E107" s="6" t="s">
        <v>88</v>
      </c>
      <c r="F107" s="6" t="s">
        <v>770</v>
      </c>
      <c r="G107" s="18">
        <v>27</v>
      </c>
      <c r="H107">
        <v>61</v>
      </c>
      <c r="I107">
        <v>58</v>
      </c>
      <c r="J107" s="7" t="s">
        <v>771</v>
      </c>
      <c r="K107" s="7" t="s">
        <v>772</v>
      </c>
      <c r="L107" s="7" t="s">
        <v>773</v>
      </c>
      <c r="M107" s="7"/>
      <c r="N107" s="7"/>
      <c r="O107" s="7" t="s">
        <v>93</v>
      </c>
      <c r="P107" s="7" t="s">
        <v>209</v>
      </c>
      <c r="Q107" s="7" t="s">
        <v>93</v>
      </c>
      <c r="R107" s="7"/>
      <c r="S107" s="8"/>
      <c r="T107" s="8"/>
      <c r="U107" s="9" t="str">
        <f>IF(COUNTIFS(Contacts_Activation!D:D,D107,Contacts_Activation!N:N,"oui")&gt;0,"oui","non")</f>
        <v>oui</v>
      </c>
      <c r="V107" s="9" t="str">
        <f>IF(COUNTIFS(Travaux!C:C,D107,Travaux!X:X,"en_cours")&gt;0,"travaux_en_cours",IF(COUNTIFS(Ventes!C:C,D107,Ventes!L:L,"signature")&gt;0,"vente_signature",IF(COUNTIFS(Ventes!C:C,D107,Ventes!AD:AD,"oui")&gt;0,"vente_bloquee",IF(COUNTIFS(Gestion_Locative!C:C,D107,Gestion_Locative!O:O,"incomplet")&gt;0,"gestion_fragile","stable"))))</f>
        <v>vente_bloquee</v>
      </c>
    </row>
    <row r="108" spans="1:22" ht="27.6" hidden="1" x14ac:dyDescent="0.3">
      <c r="A108" s="6" t="s">
        <v>270</v>
      </c>
      <c r="B108" s="1" t="s">
        <v>4516</v>
      </c>
      <c r="C108" s="6" t="s">
        <v>729</v>
      </c>
      <c r="D108" s="6" t="s">
        <v>774</v>
      </c>
      <c r="E108" s="6" t="s">
        <v>88</v>
      </c>
      <c r="F108" s="6" t="s">
        <v>775</v>
      </c>
      <c r="G108" s="18">
        <v>27</v>
      </c>
      <c r="H108">
        <v>61</v>
      </c>
      <c r="I108">
        <v>58</v>
      </c>
      <c r="J108" s="7" t="s">
        <v>458</v>
      </c>
      <c r="K108" s="7" t="s">
        <v>776</v>
      </c>
      <c r="L108" s="7" t="s">
        <v>777</v>
      </c>
      <c r="M108" s="7"/>
      <c r="N108" s="7"/>
      <c r="O108" s="7" t="s">
        <v>93</v>
      </c>
      <c r="P108" s="7" t="s">
        <v>209</v>
      </c>
      <c r="Q108" s="7" t="s">
        <v>93</v>
      </c>
      <c r="R108" s="7"/>
      <c r="S108" s="8"/>
      <c r="T108" s="8"/>
      <c r="U108" s="9" t="str">
        <f>IF(COUNTIFS(Contacts_Activation!D:D,D108,Contacts_Activation!N:N,"oui")&gt;0,"oui","non")</f>
        <v>oui</v>
      </c>
      <c r="V108" s="9" t="str">
        <f>IF(COUNTIFS(Travaux!C:C,D108,Travaux!X:X,"en_cours")&gt;0,"travaux_en_cours",IF(COUNTIFS(Ventes!C:C,D108,Ventes!L:L,"signature")&gt;0,"vente_signature",IF(COUNTIFS(Ventes!C:C,D108,Ventes!AD:AD,"oui")&gt;0,"vente_bloquee",IF(COUNTIFS(Gestion_Locative!C:C,D108,Gestion_Locative!O:O,"incomplet")&gt;0,"gestion_fragile","stable"))))</f>
        <v>vente_bloquee</v>
      </c>
    </row>
    <row r="109" spans="1:22" ht="27.6" hidden="1" x14ac:dyDescent="0.3">
      <c r="A109" s="6" t="s">
        <v>270</v>
      </c>
      <c r="B109" s="1" t="s">
        <v>4516</v>
      </c>
      <c r="C109" s="6" t="s">
        <v>729</v>
      </c>
      <c r="D109" s="6" t="s">
        <v>778</v>
      </c>
      <c r="E109" s="6" t="s">
        <v>88</v>
      </c>
      <c r="F109" s="6" t="s">
        <v>779</v>
      </c>
      <c r="G109" s="18">
        <v>27</v>
      </c>
      <c r="H109">
        <v>61</v>
      </c>
      <c r="I109">
        <v>58</v>
      </c>
      <c r="J109" s="7" t="s">
        <v>780</v>
      </c>
      <c r="K109" s="7" t="s">
        <v>781</v>
      </c>
      <c r="L109" s="7" t="s">
        <v>782</v>
      </c>
      <c r="M109" s="7"/>
      <c r="N109" s="7" t="s">
        <v>672</v>
      </c>
      <c r="O109" s="7" t="s">
        <v>93</v>
      </c>
      <c r="P109" s="7" t="s">
        <v>209</v>
      </c>
      <c r="Q109" s="7" t="s">
        <v>93</v>
      </c>
      <c r="R109" s="7"/>
      <c r="S109" s="8"/>
      <c r="T109" s="8"/>
      <c r="U109" s="9" t="str">
        <f>IF(COUNTIFS(Contacts_Activation!D:D,D109,Contacts_Activation!N:N,"oui")&gt;0,"oui","non")</f>
        <v>oui</v>
      </c>
      <c r="V109" s="9" t="str">
        <f>IF(COUNTIFS(Travaux!C:C,D109,Travaux!X:X,"en_cours")&gt;0,"travaux_en_cours",IF(COUNTIFS(Ventes!C:C,D109,Ventes!L:L,"signature")&gt;0,"vente_signature",IF(COUNTIFS(Ventes!C:C,D109,Ventes!AD:AD,"oui")&gt;0,"vente_bloquee",IF(COUNTIFS(Gestion_Locative!C:C,D109,Gestion_Locative!O:O,"incomplet")&gt;0,"gestion_fragile","stable"))))</f>
        <v>vente_bloquee</v>
      </c>
    </row>
    <row r="110" spans="1:22" ht="27.6" hidden="1" x14ac:dyDescent="0.3">
      <c r="A110" s="6" t="s">
        <v>270</v>
      </c>
      <c r="B110" s="1" t="s">
        <v>4516</v>
      </c>
      <c r="C110" s="6" t="s">
        <v>729</v>
      </c>
      <c r="D110" s="6" t="s">
        <v>783</v>
      </c>
      <c r="E110" s="6" t="s">
        <v>88</v>
      </c>
      <c r="F110" s="6" t="s">
        <v>784</v>
      </c>
      <c r="G110" s="18">
        <v>27</v>
      </c>
      <c r="H110">
        <v>61</v>
      </c>
      <c r="I110">
        <v>58</v>
      </c>
      <c r="J110" s="7" t="s">
        <v>279</v>
      </c>
      <c r="K110" s="7" t="s">
        <v>785</v>
      </c>
      <c r="L110" s="7" t="s">
        <v>786</v>
      </c>
      <c r="M110" s="7"/>
      <c r="N110" s="7"/>
      <c r="O110" s="7" t="s">
        <v>93</v>
      </c>
      <c r="P110" s="7" t="s">
        <v>209</v>
      </c>
      <c r="Q110" s="7" t="s">
        <v>93</v>
      </c>
      <c r="R110" s="7"/>
      <c r="S110" s="8"/>
      <c r="T110" s="8"/>
      <c r="U110" s="9" t="str">
        <f>IF(COUNTIFS(Contacts_Activation!D:D,D110,Contacts_Activation!N:N,"oui")&gt;0,"oui","non")</f>
        <v>oui</v>
      </c>
      <c r="V110" s="9" t="str">
        <f>IF(COUNTIFS(Travaux!C:C,D110,Travaux!X:X,"en_cours")&gt;0,"travaux_en_cours",IF(COUNTIFS(Ventes!C:C,D110,Ventes!L:L,"signature")&gt;0,"vente_signature",IF(COUNTIFS(Ventes!C:C,D110,Ventes!AD:AD,"oui")&gt;0,"vente_bloquee",IF(COUNTIFS(Gestion_Locative!C:C,D110,Gestion_Locative!O:O,"incomplet")&gt;0,"gestion_fragile","stable"))))</f>
        <v>vente_bloquee</v>
      </c>
    </row>
    <row r="111" spans="1:22" ht="27.6" hidden="1" x14ac:dyDescent="0.3">
      <c r="A111" s="6" t="s">
        <v>270</v>
      </c>
      <c r="B111" s="1" t="s">
        <v>4516</v>
      </c>
      <c r="C111" s="6" t="s">
        <v>729</v>
      </c>
      <c r="D111" s="6" t="s">
        <v>787</v>
      </c>
      <c r="E111" s="6" t="s">
        <v>88</v>
      </c>
      <c r="F111" s="6" t="s">
        <v>788</v>
      </c>
      <c r="G111" s="18">
        <v>27</v>
      </c>
      <c r="H111">
        <v>61</v>
      </c>
      <c r="I111">
        <v>58</v>
      </c>
      <c r="J111" s="7" t="s">
        <v>789</v>
      </c>
      <c r="K111" s="7" t="s">
        <v>790</v>
      </c>
      <c r="L111" s="7"/>
      <c r="M111" s="7"/>
      <c r="N111" s="7"/>
      <c r="O111" s="7" t="s">
        <v>93</v>
      </c>
      <c r="P111" s="7" t="s">
        <v>209</v>
      </c>
      <c r="Q111" s="7" t="s">
        <v>93</v>
      </c>
      <c r="R111" s="7"/>
      <c r="S111" s="8"/>
      <c r="T111" s="8"/>
      <c r="U111" s="9" t="str">
        <f>IF(COUNTIFS(Contacts_Activation!D:D,D111,Contacts_Activation!N:N,"oui")&gt;0,"oui","non")</f>
        <v>oui</v>
      </c>
      <c r="V111" s="9" t="str">
        <f>IF(COUNTIFS(Travaux!C:C,D111,Travaux!X:X,"en_cours")&gt;0,"travaux_en_cours",IF(COUNTIFS(Ventes!C:C,D111,Ventes!L:L,"signature")&gt;0,"vente_signature",IF(COUNTIFS(Ventes!C:C,D111,Ventes!AD:AD,"oui")&gt;0,"vente_bloquee",IF(COUNTIFS(Gestion_Locative!C:C,D111,Gestion_Locative!O:O,"incomplet")&gt;0,"gestion_fragile","stable"))))</f>
        <v>vente_bloquee</v>
      </c>
    </row>
    <row r="112" spans="1:22" ht="27.6" hidden="1" x14ac:dyDescent="0.3">
      <c r="A112" s="6" t="s">
        <v>270</v>
      </c>
      <c r="B112" s="1" t="s">
        <v>4516</v>
      </c>
      <c r="C112" s="6" t="s">
        <v>729</v>
      </c>
      <c r="D112" s="6" t="s">
        <v>791</v>
      </c>
      <c r="E112" s="6" t="s">
        <v>88</v>
      </c>
      <c r="F112" s="6" t="s">
        <v>792</v>
      </c>
      <c r="G112" s="18">
        <v>27</v>
      </c>
      <c r="H112">
        <v>61</v>
      </c>
      <c r="I112">
        <v>58</v>
      </c>
      <c r="J112" s="7" t="s">
        <v>793</v>
      </c>
      <c r="K112" s="7" t="s">
        <v>794</v>
      </c>
      <c r="L112" s="7" t="s">
        <v>795</v>
      </c>
      <c r="M112" s="7" t="s">
        <v>796</v>
      </c>
      <c r="N112" s="7" t="s">
        <v>797</v>
      </c>
      <c r="O112" s="7" t="s">
        <v>93</v>
      </c>
      <c r="P112" s="7" t="s">
        <v>209</v>
      </c>
      <c r="Q112" s="7" t="s">
        <v>93</v>
      </c>
      <c r="R112" s="7"/>
      <c r="S112" s="8"/>
      <c r="T112" s="8"/>
      <c r="U112" s="9" t="str">
        <f>IF(COUNTIFS(Contacts_Activation!D:D,D112,Contacts_Activation!N:N,"oui")&gt;0,"oui","non")</f>
        <v>oui</v>
      </c>
      <c r="V112" s="9" t="str">
        <f>IF(COUNTIFS(Travaux!C:C,D112,Travaux!X:X,"en_cours")&gt;0,"travaux_en_cours",IF(COUNTIFS(Ventes!C:C,D112,Ventes!L:L,"signature")&gt;0,"vente_signature",IF(COUNTIFS(Ventes!C:C,D112,Ventes!AD:AD,"oui")&gt;0,"vente_bloquee",IF(COUNTIFS(Gestion_Locative!C:C,D112,Gestion_Locative!O:O,"incomplet")&gt;0,"gestion_fragile","stable"))))</f>
        <v>vente_bloquee</v>
      </c>
    </row>
    <row r="113" spans="1:22" ht="27.6" hidden="1" x14ac:dyDescent="0.3">
      <c r="A113" s="6" t="s">
        <v>270</v>
      </c>
      <c r="B113" s="1" t="s">
        <v>4516</v>
      </c>
      <c r="C113" s="6" t="s">
        <v>729</v>
      </c>
      <c r="D113" s="6" t="s">
        <v>798</v>
      </c>
      <c r="E113" s="6" t="s">
        <v>88</v>
      </c>
      <c r="F113" s="6" t="s">
        <v>799</v>
      </c>
      <c r="G113" s="18">
        <v>27</v>
      </c>
      <c r="H113">
        <v>61</v>
      </c>
      <c r="I113">
        <v>58</v>
      </c>
      <c r="J113" s="7" t="s">
        <v>800</v>
      </c>
      <c r="K113" s="7" t="s">
        <v>801</v>
      </c>
      <c r="L113" s="7" t="s">
        <v>802</v>
      </c>
      <c r="M113" s="7" t="s">
        <v>803</v>
      </c>
      <c r="N113" s="7" t="s">
        <v>804</v>
      </c>
      <c r="O113" s="7" t="s">
        <v>93</v>
      </c>
      <c r="P113" s="7" t="s">
        <v>209</v>
      </c>
      <c r="Q113" s="7" t="s">
        <v>93</v>
      </c>
      <c r="R113" s="7"/>
      <c r="S113" s="8"/>
      <c r="T113" s="8"/>
      <c r="U113" s="9" t="str">
        <f>IF(COUNTIFS(Contacts_Activation!D:D,D113,Contacts_Activation!N:N,"oui")&gt;0,"oui","non")</f>
        <v>oui</v>
      </c>
      <c r="V113" s="9" t="str">
        <f>IF(COUNTIFS(Travaux!C:C,D113,Travaux!X:X,"en_cours")&gt;0,"travaux_en_cours",IF(COUNTIFS(Ventes!C:C,D113,Ventes!L:L,"signature")&gt;0,"vente_signature",IF(COUNTIFS(Ventes!C:C,D113,Ventes!AD:AD,"oui")&gt;0,"vente_bloquee",IF(COUNTIFS(Gestion_Locative!C:C,D113,Gestion_Locative!O:O,"incomplet")&gt;0,"gestion_fragile","stable"))))</f>
        <v>vente_bloquee</v>
      </c>
    </row>
    <row r="114" spans="1:22" ht="27.6" hidden="1" x14ac:dyDescent="0.3">
      <c r="A114" s="6" t="s">
        <v>270</v>
      </c>
      <c r="B114" s="1" t="s">
        <v>4516</v>
      </c>
      <c r="C114" s="6" t="s">
        <v>729</v>
      </c>
      <c r="D114" s="6" t="s">
        <v>805</v>
      </c>
      <c r="E114" s="6" t="s">
        <v>88</v>
      </c>
      <c r="F114" s="6" t="s">
        <v>806</v>
      </c>
      <c r="G114" s="18">
        <v>27</v>
      </c>
      <c r="H114">
        <v>61</v>
      </c>
      <c r="I114">
        <v>58</v>
      </c>
      <c r="J114" s="7" t="s">
        <v>807</v>
      </c>
      <c r="K114" s="7" t="s">
        <v>808</v>
      </c>
      <c r="L114" s="7" t="s">
        <v>809</v>
      </c>
      <c r="M114" s="7"/>
      <c r="N114" s="7"/>
      <c r="O114" s="7" t="s">
        <v>93</v>
      </c>
      <c r="P114" s="7" t="s">
        <v>209</v>
      </c>
      <c r="Q114" s="7" t="s">
        <v>93</v>
      </c>
      <c r="R114" s="7"/>
      <c r="S114" s="8"/>
      <c r="T114" s="8"/>
      <c r="U114" s="9" t="str">
        <f>IF(COUNTIFS(Contacts_Activation!D:D,D114,Contacts_Activation!N:N,"oui")&gt;0,"oui","non")</f>
        <v>oui</v>
      </c>
      <c r="V114" s="9" t="str">
        <f>IF(COUNTIFS(Travaux!C:C,D114,Travaux!X:X,"en_cours")&gt;0,"travaux_en_cours",IF(COUNTIFS(Ventes!C:C,D114,Ventes!L:L,"signature")&gt;0,"vente_signature",IF(COUNTIFS(Ventes!C:C,D114,Ventes!AD:AD,"oui")&gt;0,"vente_bloquee",IF(COUNTIFS(Gestion_Locative!C:C,D114,Gestion_Locative!O:O,"incomplet")&gt;0,"gestion_fragile","stable"))))</f>
        <v>vente_bloquee</v>
      </c>
    </row>
    <row r="115" spans="1:22" ht="27.6" hidden="1" x14ac:dyDescent="0.3">
      <c r="A115" s="6" t="s">
        <v>270</v>
      </c>
      <c r="B115" s="1" t="s">
        <v>4516</v>
      </c>
      <c r="C115" s="6" t="s">
        <v>729</v>
      </c>
      <c r="D115" s="6" t="s">
        <v>810</v>
      </c>
      <c r="E115" s="6" t="s">
        <v>88</v>
      </c>
      <c r="F115" s="6" t="s">
        <v>811</v>
      </c>
      <c r="G115" s="18">
        <v>27</v>
      </c>
      <c r="H115">
        <v>61</v>
      </c>
      <c r="I115">
        <v>58</v>
      </c>
      <c r="J115" s="7" t="s">
        <v>812</v>
      </c>
      <c r="K115" s="7" t="s">
        <v>813</v>
      </c>
      <c r="L115" s="7" t="s">
        <v>814</v>
      </c>
      <c r="M115" s="7"/>
      <c r="N115" s="7"/>
      <c r="O115" s="7" t="s">
        <v>93</v>
      </c>
      <c r="P115" s="7" t="s">
        <v>209</v>
      </c>
      <c r="Q115" s="7" t="s">
        <v>93</v>
      </c>
      <c r="R115" s="7"/>
      <c r="S115" s="8"/>
      <c r="T115" s="8"/>
      <c r="U115" s="9" t="str">
        <f>IF(COUNTIFS(Contacts_Activation!D:D,D115,Contacts_Activation!N:N,"oui")&gt;0,"oui","non")</f>
        <v>oui</v>
      </c>
      <c r="V115" s="9" t="str">
        <f>IF(COUNTIFS(Travaux!C:C,D115,Travaux!X:X,"en_cours")&gt;0,"travaux_en_cours",IF(COUNTIFS(Ventes!C:C,D115,Ventes!L:L,"signature")&gt;0,"vente_signature",IF(COUNTIFS(Ventes!C:C,D115,Ventes!AD:AD,"oui")&gt;0,"vente_bloquee",IF(COUNTIFS(Gestion_Locative!C:C,D115,Gestion_Locative!O:O,"incomplet")&gt;0,"gestion_fragile","stable"))))</f>
        <v>vente_bloquee</v>
      </c>
    </row>
    <row r="116" spans="1:22" ht="27.6" hidden="1" x14ac:dyDescent="0.3">
      <c r="A116" s="6" t="s">
        <v>270</v>
      </c>
      <c r="B116" s="1" t="s">
        <v>4516</v>
      </c>
      <c r="C116" s="6" t="s">
        <v>729</v>
      </c>
      <c r="D116" s="6" t="s">
        <v>815</v>
      </c>
      <c r="E116" s="6" t="s">
        <v>88</v>
      </c>
      <c r="F116" s="6" t="s">
        <v>816</v>
      </c>
      <c r="G116" s="18">
        <v>27</v>
      </c>
      <c r="H116">
        <v>61</v>
      </c>
      <c r="I116">
        <v>58</v>
      </c>
      <c r="J116" s="7" t="s">
        <v>817</v>
      </c>
      <c r="K116" s="7" t="s">
        <v>818</v>
      </c>
      <c r="L116" s="7" t="s">
        <v>819</v>
      </c>
      <c r="M116" s="7"/>
      <c r="N116" s="7"/>
      <c r="O116" s="7" t="s">
        <v>93</v>
      </c>
      <c r="P116" s="7" t="s">
        <v>209</v>
      </c>
      <c r="Q116" s="7" t="s">
        <v>93</v>
      </c>
      <c r="R116" s="7"/>
      <c r="S116" s="8"/>
      <c r="T116" s="8"/>
      <c r="U116" s="9" t="str">
        <f>IF(COUNTIFS(Contacts_Activation!D:D,D116,Contacts_Activation!N:N,"oui")&gt;0,"oui","non")</f>
        <v>oui</v>
      </c>
      <c r="V116" s="9" t="str">
        <f>IF(COUNTIFS(Travaux!C:C,D116,Travaux!X:X,"en_cours")&gt;0,"travaux_en_cours",IF(COUNTIFS(Ventes!C:C,D116,Ventes!L:L,"signature")&gt;0,"vente_signature",IF(COUNTIFS(Ventes!C:C,D116,Ventes!AD:AD,"oui")&gt;0,"vente_bloquee",IF(COUNTIFS(Gestion_Locative!C:C,D116,Gestion_Locative!O:O,"incomplet")&gt;0,"gestion_fragile","stable"))))</f>
        <v>vente_bloquee</v>
      </c>
    </row>
    <row r="117" spans="1:22" ht="27.6" hidden="1" x14ac:dyDescent="0.3">
      <c r="A117" s="6" t="s">
        <v>270</v>
      </c>
      <c r="B117" s="1" t="s">
        <v>4516</v>
      </c>
      <c r="C117" s="6" t="s">
        <v>729</v>
      </c>
      <c r="D117" s="6" t="s">
        <v>820</v>
      </c>
      <c r="E117" s="6" t="s">
        <v>88</v>
      </c>
      <c r="F117" s="6" t="s">
        <v>821</v>
      </c>
      <c r="G117" s="18">
        <v>27</v>
      </c>
      <c r="H117">
        <v>61</v>
      </c>
      <c r="I117">
        <v>58</v>
      </c>
      <c r="J117" s="7" t="s">
        <v>822</v>
      </c>
      <c r="K117" s="7" t="s">
        <v>823</v>
      </c>
      <c r="L117" s="7"/>
      <c r="M117" s="7"/>
      <c r="N117" s="7"/>
      <c r="O117" s="7" t="s">
        <v>93</v>
      </c>
      <c r="P117" s="7" t="s">
        <v>209</v>
      </c>
      <c r="Q117" s="7" t="s">
        <v>93</v>
      </c>
      <c r="R117" s="7"/>
      <c r="S117" s="8"/>
      <c r="T117" s="8"/>
      <c r="U117" s="9" t="str">
        <f>IF(COUNTIFS(Contacts_Activation!D:D,D117,Contacts_Activation!N:N,"oui")&gt;0,"oui","non")</f>
        <v>oui</v>
      </c>
      <c r="V117" s="9" t="str">
        <f>IF(COUNTIFS(Travaux!C:C,D117,Travaux!X:X,"en_cours")&gt;0,"travaux_en_cours",IF(COUNTIFS(Ventes!C:C,D117,Ventes!L:L,"signature")&gt;0,"vente_signature",IF(COUNTIFS(Ventes!C:C,D117,Ventes!AD:AD,"oui")&gt;0,"vente_bloquee",IF(COUNTIFS(Gestion_Locative!C:C,D117,Gestion_Locative!O:O,"incomplet")&gt;0,"gestion_fragile","stable"))))</f>
        <v>vente_bloquee</v>
      </c>
    </row>
    <row r="118" spans="1:22" ht="27.6" hidden="1" x14ac:dyDescent="0.3">
      <c r="A118" s="6" t="s">
        <v>270</v>
      </c>
      <c r="B118" s="1" t="s">
        <v>4516</v>
      </c>
      <c r="C118" s="6" t="s">
        <v>729</v>
      </c>
      <c r="D118" s="6" t="s">
        <v>824</v>
      </c>
      <c r="E118" s="6" t="s">
        <v>88</v>
      </c>
      <c r="F118" s="6" t="s">
        <v>825</v>
      </c>
      <c r="G118" s="18">
        <v>27</v>
      </c>
      <c r="H118">
        <v>61</v>
      </c>
      <c r="I118">
        <v>58</v>
      </c>
      <c r="J118" s="7" t="s">
        <v>311</v>
      </c>
      <c r="K118" s="7" t="s">
        <v>826</v>
      </c>
      <c r="L118" s="7" t="s">
        <v>827</v>
      </c>
      <c r="M118" s="7"/>
      <c r="N118" s="7"/>
      <c r="O118" s="7" t="s">
        <v>93</v>
      </c>
      <c r="P118" s="7" t="s">
        <v>209</v>
      </c>
      <c r="Q118" s="7" t="s">
        <v>93</v>
      </c>
      <c r="R118" s="7"/>
      <c r="S118" s="8"/>
      <c r="T118" s="8"/>
      <c r="U118" s="9" t="str">
        <f>IF(COUNTIFS(Contacts_Activation!D:D,D118,Contacts_Activation!N:N,"oui")&gt;0,"oui","non")</f>
        <v>oui</v>
      </c>
      <c r="V118" s="9" t="str">
        <f>IF(COUNTIFS(Travaux!C:C,D118,Travaux!X:X,"en_cours")&gt;0,"travaux_en_cours",IF(COUNTIFS(Ventes!C:C,D118,Ventes!L:L,"signature")&gt;0,"vente_signature",IF(COUNTIFS(Ventes!C:C,D118,Ventes!AD:AD,"oui")&gt;0,"vente_bloquee",IF(COUNTIFS(Gestion_Locative!C:C,D118,Gestion_Locative!O:O,"incomplet")&gt;0,"gestion_fragile","stable"))))</f>
        <v>vente_bloquee</v>
      </c>
    </row>
    <row r="119" spans="1:22" ht="27.6" hidden="1" x14ac:dyDescent="0.3">
      <c r="A119" s="6" t="s">
        <v>270</v>
      </c>
      <c r="B119" s="1" t="s">
        <v>4516</v>
      </c>
      <c r="C119" s="6" t="s">
        <v>729</v>
      </c>
      <c r="D119" s="6" t="s">
        <v>828</v>
      </c>
      <c r="E119" s="6" t="s">
        <v>88</v>
      </c>
      <c r="F119" s="6" t="s">
        <v>829</v>
      </c>
      <c r="G119" s="18">
        <v>27</v>
      </c>
      <c r="H119">
        <v>61</v>
      </c>
      <c r="I119">
        <v>58</v>
      </c>
      <c r="J119" s="7" t="s">
        <v>830</v>
      </c>
      <c r="K119" s="7" t="s">
        <v>831</v>
      </c>
      <c r="L119" s="7" t="s">
        <v>832</v>
      </c>
      <c r="M119" s="7"/>
      <c r="N119" s="7"/>
      <c r="O119" s="7" t="s">
        <v>93</v>
      </c>
      <c r="P119" s="7" t="s">
        <v>209</v>
      </c>
      <c r="Q119" s="7" t="s">
        <v>93</v>
      </c>
      <c r="R119" s="7"/>
      <c r="S119" s="8"/>
      <c r="T119" s="8"/>
      <c r="U119" s="9" t="str">
        <f>IF(COUNTIFS(Contacts_Activation!D:D,D119,Contacts_Activation!N:N,"oui")&gt;0,"oui","non")</f>
        <v>oui</v>
      </c>
      <c r="V119" s="9" t="str">
        <f>IF(COUNTIFS(Travaux!C:C,D119,Travaux!X:X,"en_cours")&gt;0,"travaux_en_cours",IF(COUNTIFS(Ventes!C:C,D119,Ventes!L:L,"signature")&gt;0,"vente_signature",IF(COUNTIFS(Ventes!C:C,D119,Ventes!AD:AD,"oui")&gt;0,"vente_bloquee",IF(COUNTIFS(Gestion_Locative!C:C,D119,Gestion_Locative!O:O,"incomplet")&gt;0,"gestion_fragile","stable"))))</f>
        <v>vente_bloquee</v>
      </c>
    </row>
    <row r="120" spans="1:22" ht="27.6" hidden="1" x14ac:dyDescent="0.3">
      <c r="A120" s="6" t="s">
        <v>270</v>
      </c>
      <c r="B120" s="1" t="s">
        <v>4516</v>
      </c>
      <c r="C120" s="6" t="s">
        <v>729</v>
      </c>
      <c r="D120" s="6" t="s">
        <v>833</v>
      </c>
      <c r="E120" s="6" t="s">
        <v>88</v>
      </c>
      <c r="F120" s="6" t="s">
        <v>834</v>
      </c>
      <c r="G120" s="18">
        <v>27</v>
      </c>
      <c r="H120">
        <v>61</v>
      </c>
      <c r="I120">
        <v>58</v>
      </c>
      <c r="J120" s="7" t="s">
        <v>835</v>
      </c>
      <c r="K120" s="7" t="s">
        <v>836</v>
      </c>
      <c r="L120" s="7" t="s">
        <v>837</v>
      </c>
      <c r="M120" s="7"/>
      <c r="N120" s="7" t="s">
        <v>838</v>
      </c>
      <c r="O120" s="7" t="s">
        <v>93</v>
      </c>
      <c r="P120" s="7" t="s">
        <v>209</v>
      </c>
      <c r="Q120" s="7" t="s">
        <v>93</v>
      </c>
      <c r="R120" s="7"/>
      <c r="S120" s="8"/>
      <c r="T120" s="8"/>
      <c r="U120" s="9" t="str">
        <f>IF(COUNTIFS(Contacts_Activation!D:D,D120,Contacts_Activation!N:N,"oui")&gt;0,"oui","non")</f>
        <v>oui</v>
      </c>
      <c r="V120" s="9" t="str">
        <f>IF(COUNTIFS(Travaux!C:C,D120,Travaux!X:X,"en_cours")&gt;0,"travaux_en_cours",IF(COUNTIFS(Ventes!C:C,D120,Ventes!L:L,"signature")&gt;0,"vente_signature",IF(COUNTIFS(Ventes!C:C,D120,Ventes!AD:AD,"oui")&gt;0,"vente_bloquee",IF(COUNTIFS(Gestion_Locative!C:C,D120,Gestion_Locative!O:O,"incomplet")&gt;0,"gestion_fragile","stable"))))</f>
        <v>vente_bloquee</v>
      </c>
    </row>
    <row r="121" spans="1:22" ht="27.6" hidden="1" x14ac:dyDescent="0.3">
      <c r="A121" s="6" t="s">
        <v>270</v>
      </c>
      <c r="B121" s="1" t="s">
        <v>4516</v>
      </c>
      <c r="C121" s="6" t="s">
        <v>729</v>
      </c>
      <c r="D121" s="6" t="s">
        <v>839</v>
      </c>
      <c r="E121" s="6" t="s">
        <v>88</v>
      </c>
      <c r="F121" s="6" t="s">
        <v>840</v>
      </c>
      <c r="G121" s="18">
        <v>27</v>
      </c>
      <c r="H121">
        <v>61</v>
      </c>
      <c r="I121">
        <v>58</v>
      </c>
      <c r="J121" s="7" t="s">
        <v>841</v>
      </c>
      <c r="K121" s="7" t="s">
        <v>219</v>
      </c>
      <c r="L121" s="7" t="s">
        <v>842</v>
      </c>
      <c r="M121" s="7"/>
      <c r="N121" s="7"/>
      <c r="O121" s="7" t="s">
        <v>93</v>
      </c>
      <c r="P121" s="7" t="s">
        <v>209</v>
      </c>
      <c r="Q121" s="7" t="s">
        <v>93</v>
      </c>
      <c r="R121" s="7"/>
      <c r="S121" s="8"/>
      <c r="T121" s="8"/>
      <c r="U121" s="9" t="str">
        <f>IF(COUNTIFS(Contacts_Activation!D:D,D121,Contacts_Activation!N:N,"oui")&gt;0,"oui","non")</f>
        <v>oui</v>
      </c>
      <c r="V121" s="9" t="str">
        <f>IF(COUNTIFS(Travaux!C:C,D121,Travaux!X:X,"en_cours")&gt;0,"travaux_en_cours",IF(COUNTIFS(Ventes!C:C,D121,Ventes!L:L,"signature")&gt;0,"vente_signature",IF(COUNTIFS(Ventes!C:C,D121,Ventes!AD:AD,"oui")&gt;0,"vente_bloquee",IF(COUNTIFS(Gestion_Locative!C:C,D121,Gestion_Locative!O:O,"incomplet")&gt;0,"gestion_fragile","stable"))))</f>
        <v>vente_bloquee</v>
      </c>
    </row>
    <row r="122" spans="1:22" ht="27.6" hidden="1" x14ac:dyDescent="0.3">
      <c r="A122" s="6" t="s">
        <v>270</v>
      </c>
      <c r="B122" s="1" t="s">
        <v>4516</v>
      </c>
      <c r="C122" s="6" t="s">
        <v>729</v>
      </c>
      <c r="D122" s="6" t="s">
        <v>843</v>
      </c>
      <c r="E122" s="6" t="s">
        <v>88</v>
      </c>
      <c r="F122" s="6" t="s">
        <v>844</v>
      </c>
      <c r="G122" s="18">
        <v>27</v>
      </c>
      <c r="H122">
        <v>61</v>
      </c>
      <c r="I122">
        <v>58</v>
      </c>
      <c r="J122" s="7" t="s">
        <v>845</v>
      </c>
      <c r="K122" s="7" t="s">
        <v>846</v>
      </c>
      <c r="L122" s="7" t="s">
        <v>847</v>
      </c>
      <c r="M122" s="7"/>
      <c r="N122" s="7"/>
      <c r="O122" s="7" t="s">
        <v>93</v>
      </c>
      <c r="P122" s="7" t="s">
        <v>209</v>
      </c>
      <c r="Q122" s="7" t="s">
        <v>93</v>
      </c>
      <c r="R122" s="7"/>
      <c r="S122" s="8"/>
      <c r="T122" s="8"/>
      <c r="U122" s="9" t="str">
        <f>IF(COUNTIFS(Contacts_Activation!D:D,D122,Contacts_Activation!N:N,"oui")&gt;0,"oui","non")</f>
        <v>oui</v>
      </c>
      <c r="V122" s="9" t="str">
        <f>IF(COUNTIFS(Travaux!C:C,D122,Travaux!X:X,"en_cours")&gt;0,"travaux_en_cours",IF(COUNTIFS(Ventes!C:C,D122,Ventes!L:L,"signature")&gt;0,"vente_signature",IF(COUNTIFS(Ventes!C:C,D122,Ventes!AD:AD,"oui")&gt;0,"vente_bloquee",IF(COUNTIFS(Gestion_Locative!C:C,D122,Gestion_Locative!O:O,"incomplet")&gt;0,"gestion_fragile","stable"))))</f>
        <v>vente_bloquee</v>
      </c>
    </row>
    <row r="123" spans="1:22" ht="27.6" hidden="1" x14ac:dyDescent="0.3">
      <c r="A123" s="6" t="s">
        <v>270</v>
      </c>
      <c r="B123" s="1" t="s">
        <v>4516</v>
      </c>
      <c r="C123" s="6" t="s">
        <v>729</v>
      </c>
      <c r="D123" s="6" t="s">
        <v>848</v>
      </c>
      <c r="E123" s="6" t="s">
        <v>88</v>
      </c>
      <c r="F123" s="6" t="s">
        <v>849</v>
      </c>
      <c r="G123" s="18">
        <v>27</v>
      </c>
      <c r="H123">
        <v>61</v>
      </c>
      <c r="I123">
        <v>58</v>
      </c>
      <c r="J123" s="7" t="s">
        <v>850</v>
      </c>
      <c r="K123" s="7" t="s">
        <v>851</v>
      </c>
      <c r="L123" s="7" t="s">
        <v>852</v>
      </c>
      <c r="M123" s="7"/>
      <c r="N123" s="7" t="s">
        <v>853</v>
      </c>
      <c r="O123" s="7" t="s">
        <v>93</v>
      </c>
      <c r="P123" s="7" t="s">
        <v>209</v>
      </c>
      <c r="Q123" s="7" t="s">
        <v>93</v>
      </c>
      <c r="R123" s="7"/>
      <c r="S123" s="8"/>
      <c r="T123" s="8"/>
      <c r="U123" s="9" t="str">
        <f>IF(COUNTIFS(Contacts_Activation!D:D,D123,Contacts_Activation!N:N,"oui")&gt;0,"oui","non")</f>
        <v>oui</v>
      </c>
      <c r="V123" s="9" t="str">
        <f>IF(COUNTIFS(Travaux!C:C,D123,Travaux!X:X,"en_cours")&gt;0,"travaux_en_cours",IF(COUNTIFS(Ventes!C:C,D123,Ventes!L:L,"signature")&gt;0,"vente_signature",IF(COUNTIFS(Ventes!C:C,D123,Ventes!AD:AD,"oui")&gt;0,"vente_bloquee",IF(COUNTIFS(Gestion_Locative!C:C,D123,Gestion_Locative!O:O,"incomplet")&gt;0,"gestion_fragile","stable"))))</f>
        <v>vente_bloquee</v>
      </c>
    </row>
    <row r="124" spans="1:22" ht="27.6" hidden="1" x14ac:dyDescent="0.3">
      <c r="A124" s="6" t="s">
        <v>270</v>
      </c>
      <c r="B124" s="1" t="s">
        <v>4516</v>
      </c>
      <c r="C124" s="6" t="s">
        <v>729</v>
      </c>
      <c r="D124" s="6" t="s">
        <v>854</v>
      </c>
      <c r="E124" s="6" t="s">
        <v>88</v>
      </c>
      <c r="F124" s="6" t="s">
        <v>855</v>
      </c>
      <c r="G124" s="18">
        <v>27</v>
      </c>
      <c r="H124">
        <v>61</v>
      </c>
      <c r="I124">
        <v>58</v>
      </c>
      <c r="J124" s="7" t="s">
        <v>856</v>
      </c>
      <c r="K124" s="7" t="s">
        <v>857</v>
      </c>
      <c r="L124" s="7" t="s">
        <v>858</v>
      </c>
      <c r="M124" s="7"/>
      <c r="N124" s="7"/>
      <c r="O124" s="7" t="s">
        <v>93</v>
      </c>
      <c r="P124" s="7" t="s">
        <v>209</v>
      </c>
      <c r="Q124" s="7" t="s">
        <v>93</v>
      </c>
      <c r="R124" s="7"/>
      <c r="S124" s="8"/>
      <c r="T124" s="8"/>
      <c r="U124" s="9" t="str">
        <f>IF(COUNTIFS(Contacts_Activation!D:D,D124,Contacts_Activation!N:N,"oui")&gt;0,"oui","non")</f>
        <v>oui</v>
      </c>
      <c r="V124" s="9" t="str">
        <f>IF(COUNTIFS(Travaux!C:C,D124,Travaux!X:X,"en_cours")&gt;0,"travaux_en_cours",IF(COUNTIFS(Ventes!C:C,D124,Ventes!L:L,"signature")&gt;0,"vente_signature",IF(COUNTIFS(Ventes!C:C,D124,Ventes!AD:AD,"oui")&gt;0,"vente_bloquee",IF(COUNTIFS(Gestion_Locative!C:C,D124,Gestion_Locative!O:O,"incomplet")&gt;0,"gestion_fragile","stable"))))</f>
        <v>vente_bloquee</v>
      </c>
    </row>
    <row r="125" spans="1:22" ht="27.6" hidden="1" x14ac:dyDescent="0.3">
      <c r="A125" s="6" t="s">
        <v>270</v>
      </c>
      <c r="B125" s="1" t="s">
        <v>4516</v>
      </c>
      <c r="C125" s="6" t="s">
        <v>729</v>
      </c>
      <c r="D125" s="6" t="s">
        <v>859</v>
      </c>
      <c r="E125" s="6" t="s">
        <v>88</v>
      </c>
      <c r="F125" s="6" t="s">
        <v>860</v>
      </c>
      <c r="G125" s="18">
        <v>27</v>
      </c>
      <c r="H125">
        <v>61</v>
      </c>
      <c r="I125">
        <v>58</v>
      </c>
      <c r="J125" s="7"/>
      <c r="K125" s="7"/>
      <c r="L125" s="7"/>
      <c r="M125" s="7"/>
      <c r="N125" s="7"/>
      <c r="O125" s="7" t="s">
        <v>93</v>
      </c>
      <c r="P125" s="7" t="s">
        <v>209</v>
      </c>
      <c r="Q125" s="7" t="s">
        <v>93</v>
      </c>
      <c r="R125" s="7"/>
      <c r="S125" s="8"/>
      <c r="T125" s="8"/>
      <c r="U125" s="9" t="str">
        <f>IF(COUNTIFS(Contacts_Activation!D:D,D125,Contacts_Activation!N:N,"oui")&gt;0,"oui","non")</f>
        <v>oui</v>
      </c>
      <c r="V125" s="9" t="str">
        <f>IF(COUNTIFS(Travaux!C:C,D125,Travaux!X:X,"en_cours")&gt;0,"travaux_en_cours",IF(COUNTIFS(Ventes!C:C,D125,Ventes!L:L,"signature")&gt;0,"vente_signature",IF(COUNTIFS(Ventes!C:C,D125,Ventes!AD:AD,"oui")&gt;0,"vente_bloquee",IF(COUNTIFS(Gestion_Locative!C:C,D125,Gestion_Locative!O:O,"incomplet")&gt;0,"gestion_fragile","stable"))))</f>
        <v>vente_bloquee</v>
      </c>
    </row>
    <row r="126" spans="1:22" ht="27.6" hidden="1" x14ac:dyDescent="0.3">
      <c r="A126" s="6" t="s">
        <v>270</v>
      </c>
      <c r="B126" s="1" t="s">
        <v>4516</v>
      </c>
      <c r="C126" s="6" t="s">
        <v>861</v>
      </c>
      <c r="D126" s="6" t="s">
        <v>862</v>
      </c>
      <c r="E126" s="6" t="s">
        <v>863</v>
      </c>
      <c r="F126" s="6" t="s">
        <v>864</v>
      </c>
      <c r="G126" s="18">
        <v>2</v>
      </c>
      <c r="H126">
        <v>58</v>
      </c>
      <c r="I126">
        <v>55</v>
      </c>
      <c r="J126" s="7" t="s">
        <v>625</v>
      </c>
      <c r="K126" s="7" t="s">
        <v>865</v>
      </c>
      <c r="L126" s="7" t="s">
        <v>866</v>
      </c>
      <c r="M126" s="7" t="s">
        <v>867</v>
      </c>
      <c r="N126" s="7" t="s">
        <v>868</v>
      </c>
      <c r="O126" s="7" t="s">
        <v>90</v>
      </c>
      <c r="P126" s="7"/>
      <c r="Q126" s="7" t="s">
        <v>93</v>
      </c>
      <c r="R126" s="7"/>
      <c r="S126" s="8"/>
      <c r="T126" s="8"/>
      <c r="U126" s="9" t="str">
        <f>IF(COUNTIFS(Contacts_Activation!D:D,D126,Contacts_Activation!N:N,"oui")&gt;0,"oui","non")</f>
        <v>oui</v>
      </c>
      <c r="V126" s="9" t="str">
        <f>IF(COUNTIFS(Travaux!C:C,D126,Travaux!X:X,"en_cours")&gt;0,"travaux_en_cours",IF(COUNTIFS(Ventes!C:C,D126,Ventes!L:L,"signature")&gt;0,"vente_signature",IF(COUNTIFS(Ventes!C:C,D126,Ventes!AD:AD,"oui")&gt;0,"vente_bloquee",IF(COUNTIFS(Gestion_Locative!C:C,D126,Gestion_Locative!O:O,"incomplet")&gt;0,"gestion_fragile","stable"))))</f>
        <v>vente_bloquee</v>
      </c>
    </row>
    <row r="127" spans="1:22" ht="14.4" hidden="1" x14ac:dyDescent="0.3">
      <c r="A127" s="6" t="s">
        <v>270</v>
      </c>
      <c r="B127" s="1" t="s">
        <v>4516</v>
      </c>
      <c r="C127" s="6" t="s">
        <v>861</v>
      </c>
      <c r="D127" s="6" t="s">
        <v>869</v>
      </c>
      <c r="E127" s="6" t="s">
        <v>863</v>
      </c>
      <c r="F127" s="6" t="s">
        <v>870</v>
      </c>
      <c r="G127" s="18">
        <v>2</v>
      </c>
      <c r="H127">
        <v>58</v>
      </c>
      <c r="I127">
        <v>55</v>
      </c>
      <c r="J127" s="7"/>
      <c r="K127" s="7"/>
      <c r="L127" s="7"/>
      <c r="M127" s="7"/>
      <c r="N127" s="7"/>
      <c r="O127" s="7" t="s">
        <v>90</v>
      </c>
      <c r="P127" s="7"/>
      <c r="Q127" s="7" t="s">
        <v>93</v>
      </c>
      <c r="R127" s="7"/>
      <c r="S127" s="8"/>
      <c r="T127" s="8"/>
      <c r="U127" s="9" t="str">
        <f>IF(COUNTIFS(Contacts_Activation!D:D,D127,Contacts_Activation!N:N,"oui")&gt;0,"oui","non")</f>
        <v>oui</v>
      </c>
      <c r="V127" s="9" t="str">
        <f>IF(COUNTIFS(Travaux!C:C,D127,Travaux!X:X,"en_cours")&gt;0,"travaux_en_cours",IF(COUNTIFS(Ventes!C:C,D127,Ventes!L:L,"signature")&gt;0,"vente_signature",IF(COUNTIFS(Ventes!C:C,D127,Ventes!AD:AD,"oui")&gt;0,"vente_bloquee",IF(COUNTIFS(Gestion_Locative!C:C,D127,Gestion_Locative!O:O,"incomplet")&gt;0,"gestion_fragile","stable"))))</f>
        <v>vente_bloquee</v>
      </c>
    </row>
    <row r="128" spans="1:22" ht="14.4" hidden="1" x14ac:dyDescent="0.3">
      <c r="A128" s="6" t="s">
        <v>270</v>
      </c>
      <c r="B128" s="1" t="s">
        <v>4516</v>
      </c>
      <c r="C128" s="6" t="s">
        <v>871</v>
      </c>
      <c r="D128" s="6" t="s">
        <v>872</v>
      </c>
      <c r="E128" s="6" t="s">
        <v>873</v>
      </c>
      <c r="F128" s="6" t="s">
        <v>874</v>
      </c>
      <c r="G128" s="18">
        <v>3</v>
      </c>
      <c r="H128">
        <v>65</v>
      </c>
      <c r="I128">
        <v>61</v>
      </c>
      <c r="J128" s="7" t="s">
        <v>875</v>
      </c>
      <c r="K128" s="7" t="s">
        <v>876</v>
      </c>
      <c r="L128" s="7" t="s">
        <v>877</v>
      </c>
      <c r="M128" s="7"/>
      <c r="N128" s="7"/>
      <c r="O128" s="7" t="s">
        <v>90</v>
      </c>
      <c r="P128" s="7"/>
      <c r="Q128" s="7" t="s">
        <v>93</v>
      </c>
      <c r="R128" s="7"/>
      <c r="S128" s="8"/>
      <c r="T128" s="8"/>
      <c r="U128" s="9" t="str">
        <f>IF(COUNTIFS(Contacts_Activation!D:D,D128,Contacts_Activation!N:N,"oui")&gt;0,"oui","non")</f>
        <v>oui</v>
      </c>
      <c r="V128" s="9" t="str">
        <f>IF(COUNTIFS(Travaux!C:C,D128,Travaux!X:X,"en_cours")&gt;0,"travaux_en_cours",IF(COUNTIFS(Ventes!C:C,D128,Ventes!L:L,"signature")&gt;0,"vente_signature",IF(COUNTIFS(Ventes!C:C,D128,Ventes!AD:AD,"oui")&gt;0,"vente_bloquee",IF(COUNTIFS(Gestion_Locative!C:C,D128,Gestion_Locative!O:O,"incomplet")&gt;0,"gestion_fragile","stable"))))</f>
        <v>vente_bloquee</v>
      </c>
    </row>
    <row r="129" spans="1:22" ht="14.4" hidden="1" x14ac:dyDescent="0.3">
      <c r="A129" s="6" t="s">
        <v>270</v>
      </c>
      <c r="B129" s="1" t="s">
        <v>4516</v>
      </c>
      <c r="C129" s="6" t="s">
        <v>871</v>
      </c>
      <c r="D129" s="6" t="s">
        <v>878</v>
      </c>
      <c r="E129" s="6" t="s">
        <v>873</v>
      </c>
      <c r="F129" s="6" t="s">
        <v>879</v>
      </c>
      <c r="G129" s="18">
        <v>3</v>
      </c>
      <c r="H129">
        <v>65</v>
      </c>
      <c r="I129">
        <v>61</v>
      </c>
      <c r="J129" s="7" t="s">
        <v>880</v>
      </c>
      <c r="K129" s="7" t="s">
        <v>881</v>
      </c>
      <c r="L129" s="7"/>
      <c r="M129" s="7"/>
      <c r="N129" s="7"/>
      <c r="O129" s="7" t="s">
        <v>90</v>
      </c>
      <c r="P129" s="7"/>
      <c r="Q129" s="7" t="s">
        <v>93</v>
      </c>
      <c r="R129" s="7"/>
      <c r="S129" s="8"/>
      <c r="T129" s="8"/>
      <c r="U129" s="9" t="str">
        <f>IF(COUNTIFS(Contacts_Activation!D:D,D129,Contacts_Activation!N:N,"oui")&gt;0,"oui","non")</f>
        <v>oui</v>
      </c>
      <c r="V129" s="9" t="str">
        <f>IF(COUNTIFS(Travaux!C:C,D129,Travaux!X:X,"en_cours")&gt;0,"travaux_en_cours",IF(COUNTIFS(Ventes!C:C,D129,Ventes!L:L,"signature")&gt;0,"vente_signature",IF(COUNTIFS(Ventes!C:C,D129,Ventes!AD:AD,"oui")&gt;0,"vente_bloquee",IF(COUNTIFS(Gestion_Locative!C:C,D129,Gestion_Locative!O:O,"incomplet")&gt;0,"gestion_fragile","stable"))))</f>
        <v>vente_bloquee</v>
      </c>
    </row>
    <row r="130" spans="1:22" ht="14.4" hidden="1" x14ac:dyDescent="0.3">
      <c r="A130" s="6" t="s">
        <v>270</v>
      </c>
      <c r="B130" s="1" t="s">
        <v>4516</v>
      </c>
      <c r="C130" s="6" t="s">
        <v>871</v>
      </c>
      <c r="D130" s="6" t="s">
        <v>882</v>
      </c>
      <c r="E130" s="6" t="s">
        <v>873</v>
      </c>
      <c r="F130" s="6" t="s">
        <v>883</v>
      </c>
      <c r="G130" s="18">
        <v>3</v>
      </c>
      <c r="H130">
        <v>65</v>
      </c>
      <c r="I130">
        <v>61</v>
      </c>
      <c r="J130" s="7" t="s">
        <v>884</v>
      </c>
      <c r="K130" s="7" t="s">
        <v>885</v>
      </c>
      <c r="L130" s="7" t="s">
        <v>886</v>
      </c>
      <c r="M130" s="7"/>
      <c r="N130" s="7"/>
      <c r="O130" s="7" t="s">
        <v>90</v>
      </c>
      <c r="P130" s="7"/>
      <c r="Q130" s="7" t="s">
        <v>93</v>
      </c>
      <c r="R130" s="7"/>
      <c r="S130" s="8"/>
      <c r="T130" s="8"/>
      <c r="U130" s="9" t="str">
        <f>IF(COUNTIFS(Contacts_Activation!D:D,D130,Contacts_Activation!N:N,"oui")&gt;0,"oui","non")</f>
        <v>oui</v>
      </c>
      <c r="V130" s="9" t="str">
        <f>IF(COUNTIFS(Travaux!C:C,D130,Travaux!X:X,"en_cours")&gt;0,"travaux_en_cours",IF(COUNTIFS(Ventes!C:C,D130,Ventes!L:L,"signature")&gt;0,"vente_signature",IF(COUNTIFS(Ventes!C:C,D130,Ventes!AD:AD,"oui")&gt;0,"vente_bloquee",IF(COUNTIFS(Gestion_Locative!C:C,D130,Gestion_Locative!O:O,"incomplet")&gt;0,"gestion_fragile","stable"))))</f>
        <v>vente_bloquee</v>
      </c>
    </row>
    <row r="131" spans="1:22" ht="14.4" hidden="1" x14ac:dyDescent="0.3">
      <c r="A131" s="6" t="s">
        <v>262</v>
      </c>
      <c r="B131" s="1" t="s">
        <v>4517</v>
      </c>
      <c r="C131" s="6" t="s">
        <v>887</v>
      </c>
      <c r="D131" s="6" t="s">
        <v>888</v>
      </c>
      <c r="E131" s="6" t="s">
        <v>889</v>
      </c>
      <c r="F131" s="6" t="s">
        <v>890</v>
      </c>
      <c r="G131" s="18">
        <v>2</v>
      </c>
      <c r="H131">
        <v>26</v>
      </c>
      <c r="I131">
        <v>27</v>
      </c>
      <c r="J131" s="7" t="s">
        <v>891</v>
      </c>
      <c r="K131" s="7" t="s">
        <v>892</v>
      </c>
      <c r="L131" s="7" t="s">
        <v>893</v>
      </c>
      <c r="M131" s="7"/>
      <c r="N131" s="7"/>
      <c r="O131" s="7" t="s">
        <v>90</v>
      </c>
      <c r="P131" s="7"/>
      <c r="Q131" s="7" t="s">
        <v>93</v>
      </c>
      <c r="R131" s="7"/>
      <c r="S131" s="8"/>
      <c r="T131" s="8"/>
      <c r="U131" s="9" t="str">
        <f>IF(COUNTIFS(Contacts_Activation!D:D,D131,Contacts_Activation!N:N,"oui")&gt;0,"oui","non")</f>
        <v>oui</v>
      </c>
      <c r="V131" s="9" t="str">
        <f>IF(COUNTIFS(Travaux!C:C,D131,Travaux!X:X,"en_cours")&gt;0,"travaux_en_cours",IF(COUNTIFS(Ventes!C:C,D131,Ventes!L:L,"signature")&gt;0,"vente_signature",IF(COUNTIFS(Ventes!C:C,D131,Ventes!AD:AD,"oui")&gt;0,"vente_bloquee",IF(COUNTIFS(Gestion_Locative!C:C,D131,Gestion_Locative!O:O,"incomplet")&gt;0,"gestion_fragile","stable"))))</f>
        <v>vente_bloquee</v>
      </c>
    </row>
    <row r="132" spans="1:22" ht="14.4" hidden="1" x14ac:dyDescent="0.3">
      <c r="A132" s="6" t="s">
        <v>262</v>
      </c>
      <c r="B132" s="1" t="s">
        <v>4517</v>
      </c>
      <c r="C132" s="6" t="s">
        <v>887</v>
      </c>
      <c r="D132" s="6" t="s">
        <v>894</v>
      </c>
      <c r="E132" s="6" t="s">
        <v>889</v>
      </c>
      <c r="F132" s="6" t="s">
        <v>895</v>
      </c>
      <c r="G132" s="18">
        <v>2</v>
      </c>
      <c r="H132">
        <v>26</v>
      </c>
      <c r="I132">
        <v>27</v>
      </c>
      <c r="J132" s="7" t="s">
        <v>458</v>
      </c>
      <c r="K132" s="7" t="s">
        <v>896</v>
      </c>
      <c r="L132" s="7"/>
      <c r="M132" s="7"/>
      <c r="N132" s="7"/>
      <c r="O132" s="7" t="s">
        <v>90</v>
      </c>
      <c r="P132" s="7"/>
      <c r="Q132" s="7" t="s">
        <v>93</v>
      </c>
      <c r="R132" s="7"/>
      <c r="S132" s="8"/>
      <c r="T132" s="8"/>
      <c r="U132" s="9" t="str">
        <f>IF(COUNTIFS(Contacts_Activation!D:D,D132,Contacts_Activation!N:N,"oui")&gt;0,"oui","non")</f>
        <v>oui</v>
      </c>
      <c r="V132" s="9" t="str">
        <f>IF(COUNTIFS(Travaux!C:C,D132,Travaux!X:X,"en_cours")&gt;0,"travaux_en_cours",IF(COUNTIFS(Ventes!C:C,D132,Ventes!L:L,"signature")&gt;0,"vente_signature",IF(COUNTIFS(Ventes!C:C,D132,Ventes!AD:AD,"oui")&gt;0,"vente_bloquee",IF(COUNTIFS(Gestion_Locative!C:C,D132,Gestion_Locative!O:O,"incomplet")&gt;0,"gestion_fragile","stable"))))</f>
        <v>vente_bloquee</v>
      </c>
    </row>
    <row r="133" spans="1:22" ht="14.4" hidden="1" x14ac:dyDescent="0.3">
      <c r="A133" s="6" t="s">
        <v>270</v>
      </c>
      <c r="B133" s="1" t="s">
        <v>4516</v>
      </c>
      <c r="C133" s="6" t="s">
        <v>897</v>
      </c>
      <c r="D133" s="6" t="s">
        <v>898</v>
      </c>
      <c r="E133" s="6" t="s">
        <v>899</v>
      </c>
      <c r="F133" s="6" t="s">
        <v>900</v>
      </c>
      <c r="G133" s="18">
        <v>4</v>
      </c>
      <c r="H133">
        <v>63</v>
      </c>
      <c r="I133">
        <v>57</v>
      </c>
      <c r="J133" s="7" t="s">
        <v>901</v>
      </c>
      <c r="K133" s="7" t="s">
        <v>902</v>
      </c>
      <c r="L133" s="7" t="s">
        <v>903</v>
      </c>
      <c r="M133" s="7"/>
      <c r="N133" s="7"/>
      <c r="O133" s="7" t="s">
        <v>90</v>
      </c>
      <c r="P133" s="7"/>
      <c r="Q133" s="7" t="s">
        <v>93</v>
      </c>
      <c r="R133" s="7"/>
      <c r="S133" s="8"/>
      <c r="T133" s="8"/>
      <c r="U133" s="9" t="str">
        <f>IF(COUNTIFS(Contacts_Activation!D:D,D133,Contacts_Activation!N:N,"oui")&gt;0,"oui","non")</f>
        <v>oui</v>
      </c>
      <c r="V133" s="9" t="str">
        <f>IF(COUNTIFS(Travaux!C:C,D133,Travaux!X:X,"en_cours")&gt;0,"travaux_en_cours",IF(COUNTIFS(Ventes!C:C,D133,Ventes!L:L,"signature")&gt;0,"vente_signature",IF(COUNTIFS(Ventes!C:C,D133,Ventes!AD:AD,"oui")&gt;0,"vente_bloquee",IF(COUNTIFS(Gestion_Locative!C:C,D133,Gestion_Locative!O:O,"incomplet")&gt;0,"gestion_fragile","stable"))))</f>
        <v>vente_bloquee</v>
      </c>
    </row>
    <row r="134" spans="1:22" ht="14.4" hidden="1" x14ac:dyDescent="0.3">
      <c r="A134" s="6" t="s">
        <v>270</v>
      </c>
      <c r="B134" s="1" t="s">
        <v>4516</v>
      </c>
      <c r="C134" s="6" t="s">
        <v>897</v>
      </c>
      <c r="D134" s="6" t="s">
        <v>904</v>
      </c>
      <c r="E134" s="6" t="s">
        <v>899</v>
      </c>
      <c r="F134" s="6" t="s">
        <v>905</v>
      </c>
      <c r="G134" s="18">
        <v>4</v>
      </c>
      <c r="H134">
        <v>63</v>
      </c>
      <c r="I134">
        <v>57</v>
      </c>
      <c r="J134" s="7" t="s">
        <v>906</v>
      </c>
      <c r="K134" s="7" t="s">
        <v>907</v>
      </c>
      <c r="L134" s="7" t="s">
        <v>908</v>
      </c>
      <c r="M134" s="7"/>
      <c r="N134" s="7"/>
      <c r="O134" s="7" t="s">
        <v>90</v>
      </c>
      <c r="P134" s="7"/>
      <c r="Q134" s="7" t="s">
        <v>93</v>
      </c>
      <c r="R134" s="7"/>
      <c r="S134" s="8"/>
      <c r="T134" s="8"/>
      <c r="U134" s="9" t="str">
        <f>IF(COUNTIFS(Contacts_Activation!D:D,D134,Contacts_Activation!N:N,"oui")&gt;0,"oui","non")</f>
        <v>oui</v>
      </c>
      <c r="V134" s="9" t="str">
        <f>IF(COUNTIFS(Travaux!C:C,D134,Travaux!X:X,"en_cours")&gt;0,"travaux_en_cours",IF(COUNTIFS(Ventes!C:C,D134,Ventes!L:L,"signature")&gt;0,"vente_signature",IF(COUNTIFS(Ventes!C:C,D134,Ventes!AD:AD,"oui")&gt;0,"vente_bloquee",IF(COUNTIFS(Gestion_Locative!C:C,D134,Gestion_Locative!O:O,"incomplet")&gt;0,"gestion_fragile","stable"))))</f>
        <v>vente_bloquee</v>
      </c>
    </row>
    <row r="135" spans="1:22" ht="14.4" hidden="1" x14ac:dyDescent="0.3">
      <c r="A135" s="6" t="s">
        <v>270</v>
      </c>
      <c r="B135" s="1" t="s">
        <v>4516</v>
      </c>
      <c r="C135" s="6" t="s">
        <v>897</v>
      </c>
      <c r="D135" s="6" t="s">
        <v>909</v>
      </c>
      <c r="E135" s="6" t="s">
        <v>899</v>
      </c>
      <c r="F135" s="6" t="s">
        <v>910</v>
      </c>
      <c r="G135" s="18">
        <v>4</v>
      </c>
      <c r="H135">
        <v>63</v>
      </c>
      <c r="I135">
        <v>57</v>
      </c>
      <c r="J135" s="7" t="s">
        <v>687</v>
      </c>
      <c r="K135" s="7" t="s">
        <v>911</v>
      </c>
      <c r="L135" s="7" t="s">
        <v>912</v>
      </c>
      <c r="M135" s="7" t="s">
        <v>913</v>
      </c>
      <c r="N135" s="7"/>
      <c r="O135" s="7" t="s">
        <v>90</v>
      </c>
      <c r="P135" s="7"/>
      <c r="Q135" s="7" t="s">
        <v>93</v>
      </c>
      <c r="R135" s="7"/>
      <c r="S135" s="8"/>
      <c r="T135" s="8"/>
      <c r="U135" s="9" t="str">
        <f>IF(COUNTIFS(Contacts_Activation!D:D,D135,Contacts_Activation!N:N,"oui")&gt;0,"oui","non")</f>
        <v>oui</v>
      </c>
      <c r="V135" s="9" t="str">
        <f>IF(COUNTIFS(Travaux!C:C,D135,Travaux!X:X,"en_cours")&gt;0,"travaux_en_cours",IF(COUNTIFS(Ventes!C:C,D135,Ventes!L:L,"signature")&gt;0,"vente_signature",IF(COUNTIFS(Ventes!C:C,D135,Ventes!AD:AD,"oui")&gt;0,"vente_bloquee",IF(COUNTIFS(Gestion_Locative!C:C,D135,Gestion_Locative!O:O,"incomplet")&gt;0,"gestion_fragile","stable"))))</f>
        <v>vente_bloquee</v>
      </c>
    </row>
    <row r="136" spans="1:22" ht="14.4" hidden="1" x14ac:dyDescent="0.3">
      <c r="A136" s="6" t="s">
        <v>270</v>
      </c>
      <c r="B136" s="1" t="s">
        <v>4516</v>
      </c>
      <c r="C136" s="6" t="s">
        <v>897</v>
      </c>
      <c r="D136" s="6" t="s">
        <v>914</v>
      </c>
      <c r="E136" s="6" t="s">
        <v>899</v>
      </c>
      <c r="F136" s="6" t="s">
        <v>915</v>
      </c>
      <c r="G136" s="18">
        <v>4</v>
      </c>
      <c r="H136">
        <v>63</v>
      </c>
      <c r="I136">
        <v>57</v>
      </c>
      <c r="J136" s="7" t="s">
        <v>916</v>
      </c>
      <c r="K136" s="7" t="s">
        <v>917</v>
      </c>
      <c r="L136" s="7" t="s">
        <v>918</v>
      </c>
      <c r="M136" s="7"/>
      <c r="N136" s="7"/>
      <c r="O136" s="7" t="s">
        <v>90</v>
      </c>
      <c r="P136" s="7"/>
      <c r="Q136" s="7" t="s">
        <v>93</v>
      </c>
      <c r="R136" s="7"/>
      <c r="S136" s="8"/>
      <c r="T136" s="8"/>
      <c r="U136" s="9" t="str">
        <f>IF(COUNTIFS(Contacts_Activation!D:D,D136,Contacts_Activation!N:N,"oui")&gt;0,"oui","non")</f>
        <v>oui</v>
      </c>
      <c r="V136" s="9" t="str">
        <f>IF(COUNTIFS(Travaux!C:C,D136,Travaux!X:X,"en_cours")&gt;0,"travaux_en_cours",IF(COUNTIFS(Ventes!C:C,D136,Ventes!L:L,"signature")&gt;0,"vente_signature",IF(COUNTIFS(Ventes!C:C,D136,Ventes!AD:AD,"oui")&gt;0,"vente_bloquee",IF(COUNTIFS(Gestion_Locative!C:C,D136,Gestion_Locative!O:O,"incomplet")&gt;0,"gestion_fragile","stable"))))</f>
        <v>vente_bloquee</v>
      </c>
    </row>
    <row r="137" spans="1:22" ht="27.6" hidden="1" x14ac:dyDescent="0.3">
      <c r="A137" s="6" t="s">
        <v>292</v>
      </c>
      <c r="B137" s="1" t="s">
        <v>4515</v>
      </c>
      <c r="C137" s="6" t="s">
        <v>919</v>
      </c>
      <c r="D137" s="6" t="s">
        <v>920</v>
      </c>
      <c r="E137" s="6" t="s">
        <v>921</v>
      </c>
      <c r="F137" s="6" t="s">
        <v>922</v>
      </c>
      <c r="G137" s="18">
        <v>8</v>
      </c>
      <c r="H137">
        <v>45</v>
      </c>
      <c r="I137">
        <v>66</v>
      </c>
      <c r="J137" s="7" t="s">
        <v>923</v>
      </c>
      <c r="K137" s="7" t="s">
        <v>924</v>
      </c>
      <c r="L137" s="7" t="s">
        <v>925</v>
      </c>
      <c r="M137" s="7"/>
      <c r="N137" s="7"/>
      <c r="O137" s="7" t="s">
        <v>90</v>
      </c>
      <c r="P137" s="7"/>
      <c r="Q137" s="7" t="s">
        <v>93</v>
      </c>
      <c r="R137" s="7"/>
      <c r="S137" s="8"/>
      <c r="T137" s="8"/>
      <c r="U137" s="9" t="str">
        <f>IF(COUNTIFS(Contacts_Activation!D:D,D137,Contacts_Activation!N:N,"oui")&gt;0,"oui","non")</f>
        <v>oui</v>
      </c>
      <c r="V137" s="9" t="str">
        <f>IF(COUNTIFS(Travaux!C:C,D137,Travaux!X:X,"en_cours")&gt;0,"travaux_en_cours",IF(COUNTIFS(Ventes!C:C,D137,Ventes!L:L,"signature")&gt;0,"vente_signature",IF(COUNTIFS(Ventes!C:C,D137,Ventes!AD:AD,"oui")&gt;0,"vente_bloquee",IF(COUNTIFS(Gestion_Locative!C:C,D137,Gestion_Locative!O:O,"incomplet")&gt;0,"gestion_fragile","stable"))))</f>
        <v>vente_bloquee</v>
      </c>
    </row>
    <row r="138" spans="1:22" ht="14.4" hidden="1" x14ac:dyDescent="0.3">
      <c r="A138" s="6" t="s">
        <v>292</v>
      </c>
      <c r="B138" s="1" t="s">
        <v>4515</v>
      </c>
      <c r="C138" s="6" t="s">
        <v>919</v>
      </c>
      <c r="D138" s="6" t="s">
        <v>926</v>
      </c>
      <c r="E138" s="6" t="s">
        <v>921</v>
      </c>
      <c r="F138" s="6" t="s">
        <v>927</v>
      </c>
      <c r="G138" s="18">
        <v>8</v>
      </c>
      <c r="H138">
        <v>45</v>
      </c>
      <c r="I138">
        <v>66</v>
      </c>
      <c r="J138" s="7" t="s">
        <v>567</v>
      </c>
      <c r="K138" s="7" t="s">
        <v>928</v>
      </c>
      <c r="L138" s="7" t="s">
        <v>929</v>
      </c>
      <c r="M138" s="7"/>
      <c r="N138" s="7"/>
      <c r="O138" s="7" t="s">
        <v>90</v>
      </c>
      <c r="P138" s="7"/>
      <c r="Q138" s="7" t="s">
        <v>93</v>
      </c>
      <c r="R138" s="7"/>
      <c r="S138" s="8"/>
      <c r="T138" s="8"/>
      <c r="U138" s="9" t="str">
        <f>IF(COUNTIFS(Contacts_Activation!D:D,D138,Contacts_Activation!N:N,"oui")&gt;0,"oui","non")</f>
        <v>oui</v>
      </c>
      <c r="V138" s="9" t="str">
        <f>IF(COUNTIFS(Travaux!C:C,D138,Travaux!X:X,"en_cours")&gt;0,"travaux_en_cours",IF(COUNTIFS(Ventes!C:C,D138,Ventes!L:L,"signature")&gt;0,"vente_signature",IF(COUNTIFS(Ventes!C:C,D138,Ventes!AD:AD,"oui")&gt;0,"vente_bloquee",IF(COUNTIFS(Gestion_Locative!C:C,D138,Gestion_Locative!O:O,"incomplet")&gt;0,"gestion_fragile","stable"))))</f>
        <v>vente_bloquee</v>
      </c>
    </row>
    <row r="139" spans="1:22" ht="27.6" hidden="1" x14ac:dyDescent="0.3">
      <c r="A139" s="6" t="s">
        <v>292</v>
      </c>
      <c r="B139" s="1" t="s">
        <v>4515</v>
      </c>
      <c r="C139" s="6" t="s">
        <v>919</v>
      </c>
      <c r="D139" s="6" t="s">
        <v>930</v>
      </c>
      <c r="E139" s="6" t="s">
        <v>921</v>
      </c>
      <c r="F139" s="6" t="s">
        <v>931</v>
      </c>
      <c r="G139" s="18">
        <v>8</v>
      </c>
      <c r="H139">
        <v>45</v>
      </c>
      <c r="I139">
        <v>66</v>
      </c>
      <c r="J139" s="7" t="s">
        <v>932</v>
      </c>
      <c r="K139" s="7" t="s">
        <v>933</v>
      </c>
      <c r="L139" s="7" t="s">
        <v>934</v>
      </c>
      <c r="M139" s="7" t="s">
        <v>935</v>
      </c>
      <c r="N139" s="7" t="s">
        <v>936</v>
      </c>
      <c r="O139" s="7" t="s">
        <v>90</v>
      </c>
      <c r="P139" s="7"/>
      <c r="Q139" s="7" t="s">
        <v>93</v>
      </c>
      <c r="R139" s="7"/>
      <c r="S139" s="8"/>
      <c r="T139" s="8"/>
      <c r="U139" s="9" t="str">
        <f>IF(COUNTIFS(Contacts_Activation!D:D,D139,Contacts_Activation!N:N,"oui")&gt;0,"oui","non")</f>
        <v>oui</v>
      </c>
      <c r="V139" s="9" t="str">
        <f>IF(COUNTIFS(Travaux!C:C,D139,Travaux!X:X,"en_cours")&gt;0,"travaux_en_cours",IF(COUNTIFS(Ventes!C:C,D139,Ventes!L:L,"signature")&gt;0,"vente_signature",IF(COUNTIFS(Ventes!C:C,D139,Ventes!AD:AD,"oui")&gt;0,"vente_bloquee",IF(COUNTIFS(Gestion_Locative!C:C,D139,Gestion_Locative!O:O,"incomplet")&gt;0,"gestion_fragile","stable"))))</f>
        <v>vente_bloquee</v>
      </c>
    </row>
    <row r="140" spans="1:22" ht="14.4" hidden="1" x14ac:dyDescent="0.3">
      <c r="A140" s="6" t="s">
        <v>292</v>
      </c>
      <c r="B140" s="1" t="s">
        <v>4515</v>
      </c>
      <c r="C140" s="6" t="s">
        <v>919</v>
      </c>
      <c r="D140" s="6" t="s">
        <v>937</v>
      </c>
      <c r="E140" s="6" t="s">
        <v>921</v>
      </c>
      <c r="F140" s="6" t="s">
        <v>938</v>
      </c>
      <c r="G140" s="18">
        <v>8</v>
      </c>
      <c r="H140">
        <v>45</v>
      </c>
      <c r="I140">
        <v>66</v>
      </c>
      <c r="J140" s="7" t="s">
        <v>587</v>
      </c>
      <c r="K140" s="7" t="s">
        <v>939</v>
      </c>
      <c r="L140" s="7" t="s">
        <v>940</v>
      </c>
      <c r="M140" s="7" t="s">
        <v>941</v>
      </c>
      <c r="N140" s="7"/>
      <c r="O140" s="7" t="s">
        <v>90</v>
      </c>
      <c r="P140" s="7"/>
      <c r="Q140" s="7" t="s">
        <v>93</v>
      </c>
      <c r="R140" s="7"/>
      <c r="S140" s="8"/>
      <c r="T140" s="8"/>
      <c r="U140" s="9" t="str">
        <f>IF(COUNTIFS(Contacts_Activation!D:D,D140,Contacts_Activation!N:N,"oui")&gt;0,"oui","non")</f>
        <v>oui</v>
      </c>
      <c r="V140" s="9" t="str">
        <f>IF(COUNTIFS(Travaux!C:C,D140,Travaux!X:X,"en_cours")&gt;0,"travaux_en_cours",IF(COUNTIFS(Ventes!C:C,D140,Ventes!L:L,"signature")&gt;0,"vente_signature",IF(COUNTIFS(Ventes!C:C,D140,Ventes!AD:AD,"oui")&gt;0,"vente_bloquee",IF(COUNTIFS(Gestion_Locative!C:C,D140,Gestion_Locative!O:O,"incomplet")&gt;0,"gestion_fragile","stable"))))</f>
        <v>vente_bloquee</v>
      </c>
    </row>
    <row r="141" spans="1:22" ht="14.4" hidden="1" x14ac:dyDescent="0.3">
      <c r="A141" s="6" t="s">
        <v>292</v>
      </c>
      <c r="B141" s="1" t="s">
        <v>4515</v>
      </c>
      <c r="C141" s="6" t="s">
        <v>919</v>
      </c>
      <c r="D141" s="6" t="s">
        <v>942</v>
      </c>
      <c r="E141" s="6" t="s">
        <v>921</v>
      </c>
      <c r="F141" s="6" t="s">
        <v>943</v>
      </c>
      <c r="G141" s="18">
        <v>8</v>
      </c>
      <c r="H141">
        <v>45</v>
      </c>
      <c r="I141">
        <v>66</v>
      </c>
      <c r="J141" s="7" t="s">
        <v>944</v>
      </c>
      <c r="K141" s="7" t="s">
        <v>939</v>
      </c>
      <c r="L141" s="7" t="s">
        <v>945</v>
      </c>
      <c r="M141" s="7"/>
      <c r="N141" s="7"/>
      <c r="O141" s="7" t="s">
        <v>90</v>
      </c>
      <c r="P141" s="7"/>
      <c r="Q141" s="7" t="s">
        <v>93</v>
      </c>
      <c r="R141" s="7"/>
      <c r="S141" s="8"/>
      <c r="T141" s="8"/>
      <c r="U141" s="9" t="str">
        <f>IF(COUNTIFS(Contacts_Activation!D:D,D141,Contacts_Activation!N:N,"oui")&gt;0,"oui","non")</f>
        <v>oui</v>
      </c>
      <c r="V141" s="9" t="str">
        <f>IF(COUNTIFS(Travaux!C:C,D141,Travaux!X:X,"en_cours")&gt;0,"travaux_en_cours",IF(COUNTIFS(Ventes!C:C,D141,Ventes!L:L,"signature")&gt;0,"vente_signature",IF(COUNTIFS(Ventes!C:C,D141,Ventes!AD:AD,"oui")&gt;0,"vente_bloquee",IF(COUNTIFS(Gestion_Locative!C:C,D141,Gestion_Locative!O:O,"incomplet")&gt;0,"gestion_fragile","stable"))))</f>
        <v>vente_bloquee</v>
      </c>
    </row>
    <row r="142" spans="1:22" ht="14.4" hidden="1" x14ac:dyDescent="0.3">
      <c r="A142" s="6" t="s">
        <v>292</v>
      </c>
      <c r="B142" s="1" t="s">
        <v>4515</v>
      </c>
      <c r="C142" s="6" t="s">
        <v>919</v>
      </c>
      <c r="D142" s="6" t="s">
        <v>946</v>
      </c>
      <c r="E142" s="6" t="s">
        <v>921</v>
      </c>
      <c r="F142" s="6" t="s">
        <v>947</v>
      </c>
      <c r="G142" s="18">
        <v>8</v>
      </c>
      <c r="H142">
        <v>45</v>
      </c>
      <c r="I142">
        <v>66</v>
      </c>
      <c r="J142" s="7" t="s">
        <v>948</v>
      </c>
      <c r="K142" s="7" t="s">
        <v>949</v>
      </c>
      <c r="L142" s="7" t="s">
        <v>950</v>
      </c>
      <c r="M142" s="7" t="s">
        <v>951</v>
      </c>
      <c r="N142" s="7"/>
      <c r="O142" s="7" t="s">
        <v>90</v>
      </c>
      <c r="P142" s="7"/>
      <c r="Q142" s="7" t="s">
        <v>93</v>
      </c>
      <c r="R142" s="7"/>
      <c r="S142" s="8"/>
      <c r="T142" s="8"/>
      <c r="U142" s="9" t="str">
        <f>IF(COUNTIFS(Contacts_Activation!D:D,D142,Contacts_Activation!N:N,"oui")&gt;0,"oui","non")</f>
        <v>oui</v>
      </c>
      <c r="V142" s="9" t="str">
        <f>IF(COUNTIFS(Travaux!C:C,D142,Travaux!X:X,"en_cours")&gt;0,"travaux_en_cours",IF(COUNTIFS(Ventes!C:C,D142,Ventes!L:L,"signature")&gt;0,"vente_signature",IF(COUNTIFS(Ventes!C:C,D142,Ventes!AD:AD,"oui")&gt;0,"vente_bloquee",IF(COUNTIFS(Gestion_Locative!C:C,D142,Gestion_Locative!O:O,"incomplet")&gt;0,"gestion_fragile","stable"))))</f>
        <v>vente_bloquee</v>
      </c>
    </row>
    <row r="143" spans="1:22" ht="27.6" hidden="1" x14ac:dyDescent="0.3">
      <c r="A143" s="6" t="s">
        <v>292</v>
      </c>
      <c r="B143" s="1" t="s">
        <v>4515</v>
      </c>
      <c r="C143" s="6" t="s">
        <v>919</v>
      </c>
      <c r="D143" s="6" t="s">
        <v>952</v>
      </c>
      <c r="E143" s="6" t="s">
        <v>921</v>
      </c>
      <c r="F143" s="6" t="s">
        <v>953</v>
      </c>
      <c r="G143" s="18">
        <v>8</v>
      </c>
      <c r="H143">
        <v>45</v>
      </c>
      <c r="I143">
        <v>66</v>
      </c>
      <c r="J143" s="7" t="s">
        <v>658</v>
      </c>
      <c r="K143" s="7" t="s">
        <v>954</v>
      </c>
      <c r="L143" s="7" t="s">
        <v>955</v>
      </c>
      <c r="M143" s="7"/>
      <c r="N143" s="7"/>
      <c r="O143" s="7" t="s">
        <v>90</v>
      </c>
      <c r="P143" s="7"/>
      <c r="Q143" s="7" t="s">
        <v>93</v>
      </c>
      <c r="R143" s="7"/>
      <c r="S143" s="8"/>
      <c r="T143" s="8"/>
      <c r="U143" s="9" t="str">
        <f>IF(COUNTIFS(Contacts_Activation!D:D,D143,Contacts_Activation!N:N,"oui")&gt;0,"oui","non")</f>
        <v>oui</v>
      </c>
      <c r="V143" s="9" t="str">
        <f>IF(COUNTIFS(Travaux!C:C,D143,Travaux!X:X,"en_cours")&gt;0,"travaux_en_cours",IF(COUNTIFS(Ventes!C:C,D143,Ventes!L:L,"signature")&gt;0,"vente_signature",IF(COUNTIFS(Ventes!C:C,D143,Ventes!AD:AD,"oui")&gt;0,"vente_bloquee",IF(COUNTIFS(Gestion_Locative!C:C,D143,Gestion_Locative!O:O,"incomplet")&gt;0,"gestion_fragile","stable"))))</f>
        <v>vente_bloquee</v>
      </c>
    </row>
    <row r="144" spans="1:22" ht="27.6" hidden="1" x14ac:dyDescent="0.3">
      <c r="A144" s="6" t="s">
        <v>292</v>
      </c>
      <c r="B144" s="1" t="s">
        <v>4515</v>
      </c>
      <c r="C144" s="6" t="s">
        <v>919</v>
      </c>
      <c r="D144" s="6" t="s">
        <v>956</v>
      </c>
      <c r="E144" s="6" t="s">
        <v>921</v>
      </c>
      <c r="F144" s="6" t="s">
        <v>957</v>
      </c>
      <c r="G144" s="18">
        <v>8</v>
      </c>
      <c r="H144">
        <v>45</v>
      </c>
      <c r="I144">
        <v>66</v>
      </c>
      <c r="J144" s="7" t="s">
        <v>658</v>
      </c>
      <c r="K144" s="7" t="s">
        <v>958</v>
      </c>
      <c r="L144" s="7" t="s">
        <v>959</v>
      </c>
      <c r="M144" s="7" t="s">
        <v>960</v>
      </c>
      <c r="N144" s="7"/>
      <c r="O144" s="7" t="s">
        <v>90</v>
      </c>
      <c r="P144" s="7"/>
      <c r="Q144" s="7" t="s">
        <v>93</v>
      </c>
      <c r="R144" s="7"/>
      <c r="S144" s="8"/>
      <c r="T144" s="8"/>
      <c r="U144" s="9" t="str">
        <f>IF(COUNTIFS(Contacts_Activation!D:D,D144,Contacts_Activation!N:N,"oui")&gt;0,"oui","non")</f>
        <v>oui</v>
      </c>
      <c r="V144" s="9" t="str">
        <f>IF(COUNTIFS(Travaux!C:C,D144,Travaux!X:X,"en_cours")&gt;0,"travaux_en_cours",IF(COUNTIFS(Ventes!C:C,D144,Ventes!L:L,"signature")&gt;0,"vente_signature",IF(COUNTIFS(Ventes!C:C,D144,Ventes!AD:AD,"oui")&gt;0,"vente_bloquee",IF(COUNTIFS(Gestion_Locative!C:C,D144,Gestion_Locative!O:O,"incomplet")&gt;0,"gestion_fragile","stable"))))</f>
        <v>vente_bloquee</v>
      </c>
    </row>
    <row r="145" spans="1:22" ht="14.4" hidden="1" x14ac:dyDescent="0.3">
      <c r="A145" s="6" t="s">
        <v>292</v>
      </c>
      <c r="B145" s="1" t="s">
        <v>4515</v>
      </c>
      <c r="C145" s="6" t="s">
        <v>961</v>
      </c>
      <c r="D145" s="6" t="s">
        <v>962</v>
      </c>
      <c r="E145" s="6" t="s">
        <v>963</v>
      </c>
      <c r="F145" s="6" t="s">
        <v>964</v>
      </c>
      <c r="G145" s="18">
        <v>10</v>
      </c>
      <c r="H145">
        <v>47</v>
      </c>
      <c r="I145">
        <v>68</v>
      </c>
      <c r="J145" s="7" t="s">
        <v>965</v>
      </c>
      <c r="K145" s="7" t="s">
        <v>966</v>
      </c>
      <c r="L145" s="7" t="s">
        <v>967</v>
      </c>
      <c r="M145" s="7" t="s">
        <v>968</v>
      </c>
      <c r="N145" s="7"/>
      <c r="O145" s="7" t="s">
        <v>90</v>
      </c>
      <c r="P145" s="7"/>
      <c r="Q145" s="7" t="s">
        <v>93</v>
      </c>
      <c r="R145" s="7"/>
      <c r="S145" s="8"/>
      <c r="T145" s="8"/>
      <c r="U145" s="9" t="str">
        <f>IF(COUNTIFS(Contacts_Activation!D:D,D145,Contacts_Activation!N:N,"oui")&gt;0,"oui","non")</f>
        <v>oui</v>
      </c>
      <c r="V145" s="9" t="str">
        <f>IF(COUNTIFS(Travaux!C:C,D145,Travaux!X:X,"en_cours")&gt;0,"travaux_en_cours",IF(COUNTIFS(Ventes!C:C,D145,Ventes!L:L,"signature")&gt;0,"vente_signature",IF(COUNTIFS(Ventes!C:C,D145,Ventes!AD:AD,"oui")&gt;0,"vente_bloquee",IF(COUNTIFS(Gestion_Locative!C:C,D145,Gestion_Locative!O:O,"incomplet")&gt;0,"gestion_fragile","stable"))))</f>
        <v>vente_bloquee</v>
      </c>
    </row>
    <row r="146" spans="1:22" ht="14.4" hidden="1" x14ac:dyDescent="0.3">
      <c r="A146" s="6" t="s">
        <v>292</v>
      </c>
      <c r="B146" s="1" t="s">
        <v>4515</v>
      </c>
      <c r="C146" s="6" t="s">
        <v>961</v>
      </c>
      <c r="D146" s="6" t="s">
        <v>969</v>
      </c>
      <c r="E146" s="6" t="s">
        <v>963</v>
      </c>
      <c r="F146" s="6" t="s">
        <v>970</v>
      </c>
      <c r="G146" s="18">
        <v>10</v>
      </c>
      <c r="H146">
        <v>47</v>
      </c>
      <c r="I146">
        <v>68</v>
      </c>
      <c r="J146" s="7" t="s">
        <v>971</v>
      </c>
      <c r="K146" s="7" t="s">
        <v>972</v>
      </c>
      <c r="L146" s="7"/>
      <c r="M146" s="7"/>
      <c r="N146" s="7"/>
      <c r="O146" s="7" t="s">
        <v>90</v>
      </c>
      <c r="P146" s="7"/>
      <c r="Q146" s="7" t="s">
        <v>93</v>
      </c>
      <c r="R146" s="7"/>
      <c r="S146" s="8"/>
      <c r="T146" s="8"/>
      <c r="U146" s="9" t="str">
        <f>IF(COUNTIFS(Contacts_Activation!D:D,D146,Contacts_Activation!N:N,"oui")&gt;0,"oui","non")</f>
        <v>oui</v>
      </c>
      <c r="V146" s="9" t="str">
        <f>IF(COUNTIFS(Travaux!C:C,D146,Travaux!X:X,"en_cours")&gt;0,"travaux_en_cours",IF(COUNTIFS(Ventes!C:C,D146,Ventes!L:L,"signature")&gt;0,"vente_signature",IF(COUNTIFS(Ventes!C:C,D146,Ventes!AD:AD,"oui")&gt;0,"vente_bloquee",IF(COUNTIFS(Gestion_Locative!C:C,D146,Gestion_Locative!O:O,"incomplet")&gt;0,"gestion_fragile","stable"))))</f>
        <v>vente_bloquee</v>
      </c>
    </row>
    <row r="147" spans="1:22" ht="27.6" hidden="1" x14ac:dyDescent="0.3">
      <c r="A147" s="6" t="s">
        <v>292</v>
      </c>
      <c r="B147" s="1" t="s">
        <v>4515</v>
      </c>
      <c r="C147" s="6" t="s">
        <v>961</v>
      </c>
      <c r="D147" s="6" t="s">
        <v>973</v>
      </c>
      <c r="E147" s="6" t="s">
        <v>963</v>
      </c>
      <c r="F147" s="6" t="s">
        <v>974</v>
      </c>
      <c r="G147" s="18">
        <v>10</v>
      </c>
      <c r="H147">
        <v>47</v>
      </c>
      <c r="I147">
        <v>68</v>
      </c>
      <c r="J147" s="7" t="s">
        <v>975</v>
      </c>
      <c r="K147" s="7" t="s">
        <v>949</v>
      </c>
      <c r="L147" s="7"/>
      <c r="M147" s="7"/>
      <c r="N147" s="7"/>
      <c r="O147" s="7" t="s">
        <v>90</v>
      </c>
      <c r="P147" s="7"/>
      <c r="Q147" s="7" t="s">
        <v>93</v>
      </c>
      <c r="R147" s="7"/>
      <c r="S147" s="8"/>
      <c r="T147" s="8"/>
      <c r="U147" s="9" t="str">
        <f>IF(COUNTIFS(Contacts_Activation!D:D,D147,Contacts_Activation!N:N,"oui")&gt;0,"oui","non")</f>
        <v>oui</v>
      </c>
      <c r="V147" s="9" t="str">
        <f>IF(COUNTIFS(Travaux!C:C,D147,Travaux!X:X,"en_cours")&gt;0,"travaux_en_cours",IF(COUNTIFS(Ventes!C:C,D147,Ventes!L:L,"signature")&gt;0,"vente_signature",IF(COUNTIFS(Ventes!C:C,D147,Ventes!AD:AD,"oui")&gt;0,"vente_bloquee",IF(COUNTIFS(Gestion_Locative!C:C,D147,Gestion_Locative!O:O,"incomplet")&gt;0,"gestion_fragile","stable"))))</f>
        <v>vente_bloquee</v>
      </c>
    </row>
    <row r="148" spans="1:22" ht="14.4" hidden="1" x14ac:dyDescent="0.3">
      <c r="A148" s="6" t="s">
        <v>292</v>
      </c>
      <c r="B148" s="1" t="s">
        <v>4515</v>
      </c>
      <c r="C148" s="6" t="s">
        <v>961</v>
      </c>
      <c r="D148" s="6" t="s">
        <v>976</v>
      </c>
      <c r="E148" s="6" t="s">
        <v>963</v>
      </c>
      <c r="F148" s="6" t="s">
        <v>977</v>
      </c>
      <c r="G148" s="18">
        <v>10</v>
      </c>
      <c r="H148">
        <v>47</v>
      </c>
      <c r="I148">
        <v>68</v>
      </c>
      <c r="J148" s="7" t="s">
        <v>978</v>
      </c>
      <c r="K148" s="7" t="s">
        <v>979</v>
      </c>
      <c r="L148" s="7" t="s">
        <v>980</v>
      </c>
      <c r="M148" s="7"/>
      <c r="N148" s="7"/>
      <c r="O148" s="7" t="s">
        <v>90</v>
      </c>
      <c r="P148" s="7"/>
      <c r="Q148" s="7" t="s">
        <v>93</v>
      </c>
      <c r="R148" s="7"/>
      <c r="S148" s="8"/>
      <c r="T148" s="8"/>
      <c r="U148" s="9" t="str">
        <f>IF(COUNTIFS(Contacts_Activation!D:D,D148,Contacts_Activation!N:N,"oui")&gt;0,"oui","non")</f>
        <v>oui</v>
      </c>
      <c r="V148" s="9" t="str">
        <f>IF(COUNTIFS(Travaux!C:C,D148,Travaux!X:X,"en_cours")&gt;0,"travaux_en_cours",IF(COUNTIFS(Ventes!C:C,D148,Ventes!L:L,"signature")&gt;0,"vente_signature",IF(COUNTIFS(Ventes!C:C,D148,Ventes!AD:AD,"oui")&gt;0,"vente_bloquee",IF(COUNTIFS(Gestion_Locative!C:C,D148,Gestion_Locative!O:O,"incomplet")&gt;0,"gestion_fragile","stable"))))</f>
        <v>vente_bloquee</v>
      </c>
    </row>
    <row r="149" spans="1:22" ht="14.4" hidden="1" x14ac:dyDescent="0.3">
      <c r="A149" s="6" t="s">
        <v>292</v>
      </c>
      <c r="B149" s="1" t="s">
        <v>4515</v>
      </c>
      <c r="C149" s="6" t="s">
        <v>961</v>
      </c>
      <c r="D149" s="6" t="s">
        <v>981</v>
      </c>
      <c r="E149" s="6" t="s">
        <v>963</v>
      </c>
      <c r="F149" s="6" t="s">
        <v>982</v>
      </c>
      <c r="G149" s="18">
        <v>10</v>
      </c>
      <c r="H149">
        <v>47</v>
      </c>
      <c r="I149">
        <v>68</v>
      </c>
      <c r="J149" s="7" t="s">
        <v>712</v>
      </c>
      <c r="K149" s="7" t="s">
        <v>983</v>
      </c>
      <c r="L149" s="7" t="s">
        <v>984</v>
      </c>
      <c r="M149" s="7"/>
      <c r="N149" s="7"/>
      <c r="O149" s="7" t="s">
        <v>90</v>
      </c>
      <c r="P149" s="7"/>
      <c r="Q149" s="7" t="s">
        <v>93</v>
      </c>
      <c r="R149" s="7"/>
      <c r="S149" s="8"/>
      <c r="T149" s="8"/>
      <c r="U149" s="9" t="str">
        <f>IF(COUNTIFS(Contacts_Activation!D:D,D149,Contacts_Activation!N:N,"oui")&gt;0,"oui","non")</f>
        <v>oui</v>
      </c>
      <c r="V149" s="9" t="str">
        <f>IF(COUNTIFS(Travaux!C:C,D149,Travaux!X:X,"en_cours")&gt;0,"travaux_en_cours",IF(COUNTIFS(Ventes!C:C,D149,Ventes!L:L,"signature")&gt;0,"vente_signature",IF(COUNTIFS(Ventes!C:C,D149,Ventes!AD:AD,"oui")&gt;0,"vente_bloquee",IF(COUNTIFS(Gestion_Locative!C:C,D149,Gestion_Locative!O:O,"incomplet")&gt;0,"gestion_fragile","stable"))))</f>
        <v>vente_bloquee</v>
      </c>
    </row>
    <row r="150" spans="1:22" ht="14.4" hidden="1" x14ac:dyDescent="0.3">
      <c r="A150" s="6" t="s">
        <v>292</v>
      </c>
      <c r="B150" s="1" t="s">
        <v>4515</v>
      </c>
      <c r="C150" s="6" t="s">
        <v>961</v>
      </c>
      <c r="D150" s="6" t="s">
        <v>985</v>
      </c>
      <c r="E150" s="6" t="s">
        <v>963</v>
      </c>
      <c r="F150" s="6" t="s">
        <v>986</v>
      </c>
      <c r="G150" s="18">
        <v>10</v>
      </c>
      <c r="H150">
        <v>47</v>
      </c>
      <c r="I150">
        <v>68</v>
      </c>
      <c r="J150" s="7" t="s">
        <v>305</v>
      </c>
      <c r="K150" s="7" t="s">
        <v>987</v>
      </c>
      <c r="L150" s="7" t="s">
        <v>988</v>
      </c>
      <c r="M150" s="7" t="s">
        <v>989</v>
      </c>
      <c r="N150" s="7" t="s">
        <v>990</v>
      </c>
      <c r="O150" s="7" t="s">
        <v>90</v>
      </c>
      <c r="P150" s="7"/>
      <c r="Q150" s="7" t="s">
        <v>93</v>
      </c>
      <c r="R150" s="7"/>
      <c r="S150" s="8"/>
      <c r="T150" s="8"/>
      <c r="U150" s="9" t="str">
        <f>IF(COUNTIFS(Contacts_Activation!D:D,D150,Contacts_Activation!N:N,"oui")&gt;0,"oui","non")</f>
        <v>oui</v>
      </c>
      <c r="V150" s="9" t="str">
        <f>IF(COUNTIFS(Travaux!C:C,D150,Travaux!X:X,"en_cours")&gt;0,"travaux_en_cours",IF(COUNTIFS(Ventes!C:C,D150,Ventes!L:L,"signature")&gt;0,"vente_signature",IF(COUNTIFS(Ventes!C:C,D150,Ventes!AD:AD,"oui")&gt;0,"vente_bloquee",IF(COUNTIFS(Gestion_Locative!C:C,D150,Gestion_Locative!O:O,"incomplet")&gt;0,"gestion_fragile","stable"))))</f>
        <v>vente_bloquee</v>
      </c>
    </row>
    <row r="151" spans="1:22" ht="14.4" hidden="1" x14ac:dyDescent="0.3">
      <c r="A151" s="6" t="s">
        <v>292</v>
      </c>
      <c r="B151" s="1" t="s">
        <v>4515</v>
      </c>
      <c r="C151" s="6" t="s">
        <v>961</v>
      </c>
      <c r="D151" s="6" t="s">
        <v>991</v>
      </c>
      <c r="E151" s="6" t="s">
        <v>963</v>
      </c>
      <c r="F151" s="6" t="s">
        <v>992</v>
      </c>
      <c r="G151" s="18">
        <v>10</v>
      </c>
      <c r="H151">
        <v>47</v>
      </c>
      <c r="I151">
        <v>68</v>
      </c>
      <c r="J151" s="7" t="s">
        <v>993</v>
      </c>
      <c r="K151" s="7" t="s">
        <v>994</v>
      </c>
      <c r="L151" s="7"/>
      <c r="M151" s="7"/>
      <c r="N151" s="7"/>
      <c r="O151" s="7" t="s">
        <v>90</v>
      </c>
      <c r="P151" s="7"/>
      <c r="Q151" s="7" t="s">
        <v>93</v>
      </c>
      <c r="R151" s="7"/>
      <c r="S151" s="8"/>
      <c r="T151" s="8"/>
      <c r="U151" s="9" t="str">
        <f>IF(COUNTIFS(Contacts_Activation!D:D,D151,Contacts_Activation!N:N,"oui")&gt;0,"oui","non")</f>
        <v>oui</v>
      </c>
      <c r="V151" s="9" t="str">
        <f>IF(COUNTIFS(Travaux!C:C,D151,Travaux!X:X,"en_cours")&gt;0,"travaux_en_cours",IF(COUNTIFS(Ventes!C:C,D151,Ventes!L:L,"signature")&gt;0,"vente_signature",IF(COUNTIFS(Ventes!C:C,D151,Ventes!AD:AD,"oui")&gt;0,"vente_bloquee",IF(COUNTIFS(Gestion_Locative!C:C,D151,Gestion_Locative!O:O,"incomplet")&gt;0,"gestion_fragile","stable"))))</f>
        <v>vente_bloquee</v>
      </c>
    </row>
    <row r="152" spans="1:22" ht="14.4" hidden="1" x14ac:dyDescent="0.3">
      <c r="A152" s="6" t="s">
        <v>292</v>
      </c>
      <c r="B152" s="1" t="s">
        <v>4515</v>
      </c>
      <c r="C152" s="6" t="s">
        <v>961</v>
      </c>
      <c r="D152" s="6" t="s">
        <v>995</v>
      </c>
      <c r="E152" s="6" t="s">
        <v>963</v>
      </c>
      <c r="F152" s="6" t="s">
        <v>996</v>
      </c>
      <c r="G152" s="18">
        <v>10</v>
      </c>
      <c r="H152">
        <v>47</v>
      </c>
      <c r="I152">
        <v>68</v>
      </c>
      <c r="J152" s="7" t="s">
        <v>997</v>
      </c>
      <c r="K152" s="7" t="s">
        <v>998</v>
      </c>
      <c r="L152" s="7" t="s">
        <v>999</v>
      </c>
      <c r="M152" s="7"/>
      <c r="N152" s="7"/>
      <c r="O152" s="7" t="s">
        <v>90</v>
      </c>
      <c r="P152" s="7"/>
      <c r="Q152" s="7" t="s">
        <v>93</v>
      </c>
      <c r="R152" s="7"/>
      <c r="S152" s="8"/>
      <c r="T152" s="8"/>
      <c r="U152" s="9" t="str">
        <f>IF(COUNTIFS(Contacts_Activation!D:D,D152,Contacts_Activation!N:N,"oui")&gt;0,"oui","non")</f>
        <v>oui</v>
      </c>
      <c r="V152" s="9" t="str">
        <f>IF(COUNTIFS(Travaux!C:C,D152,Travaux!X:X,"en_cours")&gt;0,"travaux_en_cours",IF(COUNTIFS(Ventes!C:C,D152,Ventes!L:L,"signature")&gt;0,"vente_signature",IF(COUNTIFS(Ventes!C:C,D152,Ventes!AD:AD,"oui")&gt;0,"vente_bloquee",IF(COUNTIFS(Gestion_Locative!C:C,D152,Gestion_Locative!O:O,"incomplet")&gt;0,"gestion_fragile","stable"))))</f>
        <v>vente_bloquee</v>
      </c>
    </row>
    <row r="153" spans="1:22" ht="14.4" hidden="1" x14ac:dyDescent="0.3">
      <c r="A153" s="6" t="s">
        <v>292</v>
      </c>
      <c r="B153" s="1" t="s">
        <v>4515</v>
      </c>
      <c r="C153" s="6" t="s">
        <v>961</v>
      </c>
      <c r="D153" s="6" t="s">
        <v>1000</v>
      </c>
      <c r="E153" s="6" t="s">
        <v>963</v>
      </c>
      <c r="F153" s="6" t="s">
        <v>1001</v>
      </c>
      <c r="G153" s="18">
        <v>10</v>
      </c>
      <c r="H153">
        <v>47</v>
      </c>
      <c r="I153">
        <v>68</v>
      </c>
      <c r="J153" s="7" t="s">
        <v>334</v>
      </c>
      <c r="K153" s="7" t="s">
        <v>1002</v>
      </c>
      <c r="L153" s="7" t="s">
        <v>1003</v>
      </c>
      <c r="M153" s="7"/>
      <c r="N153" s="7"/>
      <c r="O153" s="7" t="s">
        <v>90</v>
      </c>
      <c r="P153" s="7"/>
      <c r="Q153" s="7" t="s">
        <v>93</v>
      </c>
      <c r="R153" s="7"/>
      <c r="S153" s="8"/>
      <c r="T153" s="8"/>
      <c r="U153" s="9" t="str">
        <f>IF(COUNTIFS(Contacts_Activation!D:D,D153,Contacts_Activation!N:N,"oui")&gt;0,"oui","non")</f>
        <v>oui</v>
      </c>
      <c r="V153" s="9" t="str">
        <f>IF(COUNTIFS(Travaux!C:C,D153,Travaux!X:X,"en_cours")&gt;0,"travaux_en_cours",IF(COUNTIFS(Ventes!C:C,D153,Ventes!L:L,"signature")&gt;0,"vente_signature",IF(COUNTIFS(Ventes!C:C,D153,Ventes!AD:AD,"oui")&gt;0,"vente_bloquee",IF(COUNTIFS(Gestion_Locative!C:C,D153,Gestion_Locative!O:O,"incomplet")&gt;0,"gestion_fragile","stable"))))</f>
        <v>vente_bloquee</v>
      </c>
    </row>
    <row r="154" spans="1:22" ht="14.4" hidden="1" x14ac:dyDescent="0.3">
      <c r="A154" s="6" t="s">
        <v>292</v>
      </c>
      <c r="B154" s="1" t="s">
        <v>4515</v>
      </c>
      <c r="C154" s="6" t="s">
        <v>961</v>
      </c>
      <c r="D154" s="6" t="s">
        <v>1004</v>
      </c>
      <c r="E154" s="6" t="s">
        <v>963</v>
      </c>
      <c r="F154" s="6" t="s">
        <v>1005</v>
      </c>
      <c r="G154" s="18">
        <v>10</v>
      </c>
      <c r="H154">
        <v>47</v>
      </c>
      <c r="I154">
        <v>68</v>
      </c>
      <c r="J154" s="7" t="s">
        <v>334</v>
      </c>
      <c r="K154" s="7" t="s">
        <v>1006</v>
      </c>
      <c r="L154" s="7" t="s">
        <v>1007</v>
      </c>
      <c r="M154" s="7"/>
      <c r="N154" s="7"/>
      <c r="O154" s="7" t="s">
        <v>90</v>
      </c>
      <c r="P154" s="7"/>
      <c r="Q154" s="7" t="s">
        <v>93</v>
      </c>
      <c r="R154" s="7"/>
      <c r="S154" s="8"/>
      <c r="T154" s="8"/>
      <c r="U154" s="9" t="str">
        <f>IF(COUNTIFS(Contacts_Activation!D:D,D154,Contacts_Activation!N:N,"oui")&gt;0,"oui","non")</f>
        <v>oui</v>
      </c>
      <c r="V154" s="9" t="str">
        <f>IF(COUNTIFS(Travaux!C:C,D154,Travaux!X:X,"en_cours")&gt;0,"travaux_en_cours",IF(COUNTIFS(Ventes!C:C,D154,Ventes!L:L,"signature")&gt;0,"vente_signature",IF(COUNTIFS(Ventes!C:C,D154,Ventes!AD:AD,"oui")&gt;0,"vente_bloquee",IF(COUNTIFS(Gestion_Locative!C:C,D154,Gestion_Locative!O:O,"incomplet")&gt;0,"gestion_fragile","stable"))))</f>
        <v>vente_bloquee</v>
      </c>
    </row>
    <row r="155" spans="1:22" ht="14.4" hidden="1" x14ac:dyDescent="0.3">
      <c r="A155" s="6" t="s">
        <v>292</v>
      </c>
      <c r="B155" s="1" t="s">
        <v>4515</v>
      </c>
      <c r="C155" s="6" t="s">
        <v>1008</v>
      </c>
      <c r="D155" s="6" t="s">
        <v>1009</v>
      </c>
      <c r="E155" s="6" t="s">
        <v>1010</v>
      </c>
      <c r="F155" s="6" t="s">
        <v>1011</v>
      </c>
      <c r="G155" s="18">
        <v>10</v>
      </c>
      <c r="H155">
        <v>49</v>
      </c>
      <c r="I155">
        <v>70</v>
      </c>
      <c r="J155" s="7" t="s">
        <v>567</v>
      </c>
      <c r="K155" s="7" t="s">
        <v>1012</v>
      </c>
      <c r="L155" s="7" t="s">
        <v>1013</v>
      </c>
      <c r="M155" s="7"/>
      <c r="N155" s="7"/>
      <c r="O155" s="7" t="s">
        <v>90</v>
      </c>
      <c r="P155" s="7"/>
      <c r="Q155" s="7" t="s">
        <v>93</v>
      </c>
      <c r="R155" s="7"/>
      <c r="S155" s="8"/>
      <c r="T155" s="8"/>
      <c r="U155" s="9" t="str">
        <f>IF(COUNTIFS(Contacts_Activation!D:D,D155,Contacts_Activation!N:N,"oui")&gt;0,"oui","non")</f>
        <v>oui</v>
      </c>
      <c r="V155" s="9" t="str">
        <f>IF(COUNTIFS(Travaux!C:C,D155,Travaux!X:X,"en_cours")&gt;0,"travaux_en_cours",IF(COUNTIFS(Ventes!C:C,D155,Ventes!L:L,"signature")&gt;0,"vente_signature",IF(COUNTIFS(Ventes!C:C,D155,Ventes!AD:AD,"oui")&gt;0,"vente_bloquee",IF(COUNTIFS(Gestion_Locative!C:C,D155,Gestion_Locative!O:O,"incomplet")&gt;0,"gestion_fragile","stable"))))</f>
        <v>vente_bloquee</v>
      </c>
    </row>
    <row r="156" spans="1:22" ht="27.6" hidden="1" x14ac:dyDescent="0.3">
      <c r="A156" s="6" t="s">
        <v>292</v>
      </c>
      <c r="B156" s="1" t="s">
        <v>4515</v>
      </c>
      <c r="C156" s="6" t="s">
        <v>1008</v>
      </c>
      <c r="D156" s="6" t="s">
        <v>1014</v>
      </c>
      <c r="E156" s="6" t="s">
        <v>1010</v>
      </c>
      <c r="F156" s="6" t="s">
        <v>1015</v>
      </c>
      <c r="G156" s="18">
        <v>10</v>
      </c>
      <c r="H156">
        <v>49</v>
      </c>
      <c r="I156">
        <v>70</v>
      </c>
      <c r="J156" s="7" t="s">
        <v>1016</v>
      </c>
      <c r="K156" s="7" t="s">
        <v>1017</v>
      </c>
      <c r="L156" s="7" t="s">
        <v>1018</v>
      </c>
      <c r="M156" s="7"/>
      <c r="N156" s="7"/>
      <c r="O156" s="7" t="s">
        <v>90</v>
      </c>
      <c r="P156" s="7"/>
      <c r="Q156" s="7" t="s">
        <v>93</v>
      </c>
      <c r="R156" s="7"/>
      <c r="S156" s="8"/>
      <c r="T156" s="8"/>
      <c r="U156" s="9" t="str">
        <f>IF(COUNTIFS(Contacts_Activation!D:D,D156,Contacts_Activation!N:N,"oui")&gt;0,"oui","non")</f>
        <v>oui</v>
      </c>
      <c r="V156" s="9" t="str">
        <f>IF(COUNTIFS(Travaux!C:C,D156,Travaux!X:X,"en_cours")&gt;0,"travaux_en_cours",IF(COUNTIFS(Ventes!C:C,D156,Ventes!L:L,"signature")&gt;0,"vente_signature",IF(COUNTIFS(Ventes!C:C,D156,Ventes!AD:AD,"oui")&gt;0,"vente_bloquee",IF(COUNTIFS(Gestion_Locative!C:C,D156,Gestion_Locative!O:O,"incomplet")&gt;0,"gestion_fragile","stable"))))</f>
        <v>vente_bloquee</v>
      </c>
    </row>
    <row r="157" spans="1:22" ht="14.4" hidden="1" x14ac:dyDescent="0.3">
      <c r="A157" s="6" t="s">
        <v>292</v>
      </c>
      <c r="B157" s="1" t="s">
        <v>4515</v>
      </c>
      <c r="C157" s="6" t="s">
        <v>1008</v>
      </c>
      <c r="D157" s="6" t="s">
        <v>1019</v>
      </c>
      <c r="E157" s="6" t="s">
        <v>1010</v>
      </c>
      <c r="F157" s="6" t="s">
        <v>1020</v>
      </c>
      <c r="G157" s="18">
        <v>10</v>
      </c>
      <c r="H157">
        <v>49</v>
      </c>
      <c r="I157">
        <v>70</v>
      </c>
      <c r="J157" s="7" t="s">
        <v>1021</v>
      </c>
      <c r="K157" s="7"/>
      <c r="L157" s="7" t="s">
        <v>1022</v>
      </c>
      <c r="M157" s="7"/>
      <c r="N157" s="7" t="s">
        <v>1023</v>
      </c>
      <c r="O157" s="7" t="s">
        <v>90</v>
      </c>
      <c r="P157" s="7"/>
      <c r="Q157" s="7" t="s">
        <v>93</v>
      </c>
      <c r="R157" s="7"/>
      <c r="S157" s="8"/>
      <c r="T157" s="8"/>
      <c r="U157" s="9" t="str">
        <f>IF(COUNTIFS(Contacts_Activation!D:D,D157,Contacts_Activation!N:N,"oui")&gt;0,"oui","non")</f>
        <v>oui</v>
      </c>
      <c r="V157" s="9" t="str">
        <f>IF(COUNTIFS(Travaux!C:C,D157,Travaux!X:X,"en_cours")&gt;0,"travaux_en_cours",IF(COUNTIFS(Ventes!C:C,D157,Ventes!L:L,"signature")&gt;0,"vente_signature",IF(COUNTIFS(Ventes!C:C,D157,Ventes!AD:AD,"oui")&gt;0,"vente_bloquee",IF(COUNTIFS(Gestion_Locative!C:C,D157,Gestion_Locative!O:O,"incomplet")&gt;0,"gestion_fragile","stable"))))</f>
        <v>vente_bloquee</v>
      </c>
    </row>
    <row r="158" spans="1:22" ht="14.4" hidden="1" x14ac:dyDescent="0.3">
      <c r="A158" s="6" t="s">
        <v>292</v>
      </c>
      <c r="B158" s="1" t="s">
        <v>4515</v>
      </c>
      <c r="C158" s="6" t="s">
        <v>1008</v>
      </c>
      <c r="D158" s="6" t="s">
        <v>1024</v>
      </c>
      <c r="E158" s="6" t="s">
        <v>1010</v>
      </c>
      <c r="F158" s="6" t="s">
        <v>1025</v>
      </c>
      <c r="G158" s="18">
        <v>10</v>
      </c>
      <c r="H158">
        <v>49</v>
      </c>
      <c r="I158">
        <v>70</v>
      </c>
      <c r="J158" s="7" t="s">
        <v>1026</v>
      </c>
      <c r="K158" s="7" t="s">
        <v>1027</v>
      </c>
      <c r="L158" s="7" t="s">
        <v>1028</v>
      </c>
      <c r="M158" s="7"/>
      <c r="N158" s="7"/>
      <c r="O158" s="7" t="s">
        <v>90</v>
      </c>
      <c r="P158" s="7"/>
      <c r="Q158" s="7" t="s">
        <v>93</v>
      </c>
      <c r="R158" s="7"/>
      <c r="S158" s="8"/>
      <c r="T158" s="8"/>
      <c r="U158" s="9" t="str">
        <f>IF(COUNTIFS(Contacts_Activation!D:D,D158,Contacts_Activation!N:N,"oui")&gt;0,"oui","non")</f>
        <v>oui</v>
      </c>
      <c r="V158" s="9" t="str">
        <f>IF(COUNTIFS(Travaux!C:C,D158,Travaux!X:X,"en_cours")&gt;0,"travaux_en_cours",IF(COUNTIFS(Ventes!C:C,D158,Ventes!L:L,"signature")&gt;0,"vente_signature",IF(COUNTIFS(Ventes!C:C,D158,Ventes!AD:AD,"oui")&gt;0,"vente_bloquee",IF(COUNTIFS(Gestion_Locative!C:C,D158,Gestion_Locative!O:O,"incomplet")&gt;0,"gestion_fragile","stable"))))</f>
        <v>vente_bloquee</v>
      </c>
    </row>
    <row r="159" spans="1:22" ht="14.4" hidden="1" x14ac:dyDescent="0.3">
      <c r="A159" s="6" t="s">
        <v>292</v>
      </c>
      <c r="B159" s="1" t="s">
        <v>4515</v>
      </c>
      <c r="C159" s="6" t="s">
        <v>1008</v>
      </c>
      <c r="D159" s="6" t="s">
        <v>1029</v>
      </c>
      <c r="E159" s="6" t="s">
        <v>1010</v>
      </c>
      <c r="F159" s="6" t="s">
        <v>1030</v>
      </c>
      <c r="G159" s="18">
        <v>10</v>
      </c>
      <c r="H159">
        <v>49</v>
      </c>
      <c r="I159">
        <v>70</v>
      </c>
      <c r="J159" s="7" t="s">
        <v>1031</v>
      </c>
      <c r="K159" s="7" t="s">
        <v>312</v>
      </c>
      <c r="L159" s="7" t="s">
        <v>1032</v>
      </c>
      <c r="M159" s="7" t="s">
        <v>1033</v>
      </c>
      <c r="N159" s="7"/>
      <c r="O159" s="7" t="s">
        <v>90</v>
      </c>
      <c r="P159" s="7"/>
      <c r="Q159" s="7" t="s">
        <v>93</v>
      </c>
      <c r="R159" s="7"/>
      <c r="S159" s="8"/>
      <c r="T159" s="8"/>
      <c r="U159" s="9" t="str">
        <f>IF(COUNTIFS(Contacts_Activation!D:D,D159,Contacts_Activation!N:N,"oui")&gt;0,"oui","non")</f>
        <v>oui</v>
      </c>
      <c r="V159" s="9" t="str">
        <f>IF(COUNTIFS(Travaux!C:C,D159,Travaux!X:X,"en_cours")&gt;0,"travaux_en_cours",IF(COUNTIFS(Ventes!C:C,D159,Ventes!L:L,"signature")&gt;0,"vente_signature",IF(COUNTIFS(Ventes!C:C,D159,Ventes!AD:AD,"oui")&gt;0,"vente_bloquee",IF(COUNTIFS(Gestion_Locative!C:C,D159,Gestion_Locative!O:O,"incomplet")&gt;0,"gestion_fragile","stable"))))</f>
        <v>vente_bloquee</v>
      </c>
    </row>
    <row r="160" spans="1:22" ht="14.4" hidden="1" x14ac:dyDescent="0.3">
      <c r="A160" s="6" t="s">
        <v>292</v>
      </c>
      <c r="B160" s="1" t="s">
        <v>4515</v>
      </c>
      <c r="C160" s="6" t="s">
        <v>1008</v>
      </c>
      <c r="D160" s="6" t="s">
        <v>1034</v>
      </c>
      <c r="E160" s="6" t="s">
        <v>1010</v>
      </c>
      <c r="F160" s="6" t="s">
        <v>1035</v>
      </c>
      <c r="G160" s="18">
        <v>10</v>
      </c>
      <c r="H160">
        <v>49</v>
      </c>
      <c r="I160">
        <v>70</v>
      </c>
      <c r="J160" s="7" t="s">
        <v>1036</v>
      </c>
      <c r="K160" s="7" t="s">
        <v>1037</v>
      </c>
      <c r="L160" s="7" t="s">
        <v>1038</v>
      </c>
      <c r="M160" s="7"/>
      <c r="N160" s="7"/>
      <c r="O160" s="7" t="s">
        <v>90</v>
      </c>
      <c r="P160" s="7"/>
      <c r="Q160" s="7" t="s">
        <v>93</v>
      </c>
      <c r="R160" s="7"/>
      <c r="S160" s="8"/>
      <c r="T160" s="8"/>
      <c r="U160" s="9" t="str">
        <f>IF(COUNTIFS(Contacts_Activation!D:D,D160,Contacts_Activation!N:N,"oui")&gt;0,"oui","non")</f>
        <v>oui</v>
      </c>
      <c r="V160" s="9" t="str">
        <f>IF(COUNTIFS(Travaux!C:C,D160,Travaux!X:X,"en_cours")&gt;0,"travaux_en_cours",IF(COUNTIFS(Ventes!C:C,D160,Ventes!L:L,"signature")&gt;0,"vente_signature",IF(COUNTIFS(Ventes!C:C,D160,Ventes!AD:AD,"oui")&gt;0,"vente_bloquee",IF(COUNTIFS(Gestion_Locative!C:C,D160,Gestion_Locative!O:O,"incomplet")&gt;0,"gestion_fragile","stable"))))</f>
        <v>vente_bloquee</v>
      </c>
    </row>
    <row r="161" spans="1:22" ht="14.4" hidden="1" x14ac:dyDescent="0.3">
      <c r="A161" s="6" t="s">
        <v>292</v>
      </c>
      <c r="B161" s="1" t="s">
        <v>4515</v>
      </c>
      <c r="C161" s="6" t="s">
        <v>1008</v>
      </c>
      <c r="D161" s="6" t="s">
        <v>1039</v>
      </c>
      <c r="E161" s="6" t="s">
        <v>1010</v>
      </c>
      <c r="F161" s="6" t="s">
        <v>1040</v>
      </c>
      <c r="G161" s="18">
        <v>10</v>
      </c>
      <c r="H161">
        <v>49</v>
      </c>
      <c r="I161">
        <v>70</v>
      </c>
      <c r="J161" s="7" t="s">
        <v>206</v>
      </c>
      <c r="K161" s="7" t="s">
        <v>1041</v>
      </c>
      <c r="L161" s="7" t="s">
        <v>1042</v>
      </c>
      <c r="M161" s="7"/>
      <c r="N161" s="7"/>
      <c r="O161" s="7" t="s">
        <v>90</v>
      </c>
      <c r="P161" s="7"/>
      <c r="Q161" s="7" t="s">
        <v>93</v>
      </c>
      <c r="R161" s="7"/>
      <c r="S161" s="8"/>
      <c r="T161" s="8"/>
      <c r="U161" s="9" t="str">
        <f>IF(COUNTIFS(Contacts_Activation!D:D,D161,Contacts_Activation!N:N,"oui")&gt;0,"oui","non")</f>
        <v>oui</v>
      </c>
      <c r="V161" s="9" t="str">
        <f>IF(COUNTIFS(Travaux!C:C,D161,Travaux!X:X,"en_cours")&gt;0,"travaux_en_cours",IF(COUNTIFS(Ventes!C:C,D161,Ventes!L:L,"signature")&gt;0,"vente_signature",IF(COUNTIFS(Ventes!C:C,D161,Ventes!AD:AD,"oui")&gt;0,"vente_bloquee",IF(COUNTIFS(Gestion_Locative!C:C,D161,Gestion_Locative!O:O,"incomplet")&gt;0,"gestion_fragile","stable"))))</f>
        <v>vente_bloquee</v>
      </c>
    </row>
    <row r="162" spans="1:22" ht="14.4" hidden="1" x14ac:dyDescent="0.3">
      <c r="A162" s="6" t="s">
        <v>292</v>
      </c>
      <c r="B162" s="1" t="s">
        <v>4515</v>
      </c>
      <c r="C162" s="6" t="s">
        <v>1008</v>
      </c>
      <c r="D162" s="6" t="s">
        <v>1043</v>
      </c>
      <c r="E162" s="6" t="s">
        <v>1010</v>
      </c>
      <c r="F162" s="6" t="s">
        <v>1044</v>
      </c>
      <c r="G162" s="18">
        <v>10</v>
      </c>
      <c r="H162">
        <v>49</v>
      </c>
      <c r="I162">
        <v>70</v>
      </c>
      <c r="J162" s="7" t="s">
        <v>1045</v>
      </c>
      <c r="K162" s="7" t="s">
        <v>1046</v>
      </c>
      <c r="L162" s="7" t="s">
        <v>1047</v>
      </c>
      <c r="M162" s="7" t="s">
        <v>1048</v>
      </c>
      <c r="N162" s="7"/>
      <c r="O162" s="7" t="s">
        <v>90</v>
      </c>
      <c r="P162" s="7"/>
      <c r="Q162" s="7" t="s">
        <v>93</v>
      </c>
      <c r="R162" s="7"/>
      <c r="S162" s="8"/>
      <c r="T162" s="8"/>
      <c r="U162" s="9" t="str">
        <f>IF(COUNTIFS(Contacts_Activation!D:D,D162,Contacts_Activation!N:N,"oui")&gt;0,"oui","non")</f>
        <v>oui</v>
      </c>
      <c r="V162" s="9" t="str">
        <f>IF(COUNTIFS(Travaux!C:C,D162,Travaux!X:X,"en_cours")&gt;0,"travaux_en_cours",IF(COUNTIFS(Ventes!C:C,D162,Ventes!L:L,"signature")&gt;0,"vente_signature",IF(COUNTIFS(Ventes!C:C,D162,Ventes!AD:AD,"oui")&gt;0,"vente_bloquee",IF(COUNTIFS(Gestion_Locative!C:C,D162,Gestion_Locative!O:O,"incomplet")&gt;0,"gestion_fragile","stable"))))</f>
        <v>vente_bloquee</v>
      </c>
    </row>
    <row r="163" spans="1:22" ht="14.4" hidden="1" x14ac:dyDescent="0.3">
      <c r="A163" s="6" t="s">
        <v>292</v>
      </c>
      <c r="B163" s="1" t="s">
        <v>4515</v>
      </c>
      <c r="C163" s="6" t="s">
        <v>1008</v>
      </c>
      <c r="D163" s="6" t="s">
        <v>1049</v>
      </c>
      <c r="E163" s="6" t="s">
        <v>1010</v>
      </c>
      <c r="F163" s="6" t="s">
        <v>1050</v>
      </c>
      <c r="G163" s="18">
        <v>10</v>
      </c>
      <c r="H163">
        <v>49</v>
      </c>
      <c r="I163">
        <v>70</v>
      </c>
      <c r="J163" s="7" t="s">
        <v>272</v>
      </c>
      <c r="K163" s="7" t="s">
        <v>902</v>
      </c>
      <c r="L163" s="7" t="s">
        <v>1051</v>
      </c>
      <c r="M163" s="7"/>
      <c r="N163" s="7"/>
      <c r="O163" s="7" t="s">
        <v>90</v>
      </c>
      <c r="P163" s="7"/>
      <c r="Q163" s="7" t="s">
        <v>93</v>
      </c>
      <c r="R163" s="7"/>
      <c r="S163" s="8"/>
      <c r="T163" s="8"/>
      <c r="U163" s="9" t="str">
        <f>IF(COUNTIFS(Contacts_Activation!D:D,D163,Contacts_Activation!N:N,"oui")&gt;0,"oui","non")</f>
        <v>oui</v>
      </c>
      <c r="V163" s="9" t="str">
        <f>IF(COUNTIFS(Travaux!C:C,D163,Travaux!X:X,"en_cours")&gt;0,"travaux_en_cours",IF(COUNTIFS(Ventes!C:C,D163,Ventes!L:L,"signature")&gt;0,"vente_signature",IF(COUNTIFS(Ventes!C:C,D163,Ventes!AD:AD,"oui")&gt;0,"vente_bloquee",IF(COUNTIFS(Gestion_Locative!C:C,D163,Gestion_Locative!O:O,"incomplet")&gt;0,"gestion_fragile","stable"))))</f>
        <v>vente_bloquee</v>
      </c>
    </row>
    <row r="164" spans="1:22" ht="27.6" hidden="1" x14ac:dyDescent="0.3">
      <c r="A164" s="6" t="s">
        <v>292</v>
      </c>
      <c r="B164" s="1" t="s">
        <v>4515</v>
      </c>
      <c r="C164" s="6" t="s">
        <v>1008</v>
      </c>
      <c r="D164" s="6" t="s">
        <v>1052</v>
      </c>
      <c r="E164" s="6" t="s">
        <v>1010</v>
      </c>
      <c r="F164" s="6" t="s">
        <v>1053</v>
      </c>
      <c r="G164" s="18">
        <v>10</v>
      </c>
      <c r="H164">
        <v>49</v>
      </c>
      <c r="I164">
        <v>70</v>
      </c>
      <c r="J164" s="7" t="s">
        <v>1054</v>
      </c>
      <c r="K164" s="7" t="s">
        <v>1055</v>
      </c>
      <c r="L164" s="7" t="s">
        <v>1056</v>
      </c>
      <c r="M164" s="7" t="s">
        <v>1057</v>
      </c>
      <c r="N164" s="7" t="s">
        <v>1058</v>
      </c>
      <c r="O164" s="7" t="s">
        <v>90</v>
      </c>
      <c r="P164" s="7"/>
      <c r="Q164" s="7" t="s">
        <v>93</v>
      </c>
      <c r="R164" s="7"/>
      <c r="S164" s="8"/>
      <c r="T164" s="8"/>
      <c r="U164" s="9" t="str">
        <f>IF(COUNTIFS(Contacts_Activation!D:D,D164,Contacts_Activation!N:N,"oui")&gt;0,"oui","non")</f>
        <v>oui</v>
      </c>
      <c r="V164" s="9" t="str">
        <f>IF(COUNTIFS(Travaux!C:C,D164,Travaux!X:X,"en_cours")&gt;0,"travaux_en_cours",IF(COUNTIFS(Ventes!C:C,D164,Ventes!L:L,"signature")&gt;0,"vente_signature",IF(COUNTIFS(Ventes!C:C,D164,Ventes!AD:AD,"oui")&gt;0,"vente_bloquee",IF(COUNTIFS(Gestion_Locative!C:C,D164,Gestion_Locative!O:O,"incomplet")&gt;0,"gestion_fragile","stable"))))</f>
        <v>vente_bloquee</v>
      </c>
    </row>
    <row r="165" spans="1:22" ht="14.4" hidden="1" x14ac:dyDescent="0.3">
      <c r="A165" s="6" t="s">
        <v>292</v>
      </c>
      <c r="B165" s="1" t="s">
        <v>4521</v>
      </c>
      <c r="C165" s="6" t="s">
        <v>1059</v>
      </c>
      <c r="D165" s="6" t="s">
        <v>1060</v>
      </c>
      <c r="E165" s="6" t="s">
        <v>1061</v>
      </c>
      <c r="F165" s="6" t="s">
        <v>1062</v>
      </c>
      <c r="G165" s="18">
        <v>2</v>
      </c>
      <c r="H165">
        <v>53</v>
      </c>
      <c r="I165">
        <v>34</v>
      </c>
      <c r="J165" s="7" t="s">
        <v>1063</v>
      </c>
      <c r="K165" s="7" t="s">
        <v>1064</v>
      </c>
      <c r="L165" s="7" t="s">
        <v>1065</v>
      </c>
      <c r="M165" s="7" t="s">
        <v>1066</v>
      </c>
      <c r="N165" s="7" t="s">
        <v>1067</v>
      </c>
      <c r="O165" s="7" t="s">
        <v>90</v>
      </c>
      <c r="P165" s="7"/>
      <c r="Q165" s="7" t="s">
        <v>93</v>
      </c>
      <c r="R165" s="7"/>
      <c r="S165" s="8"/>
      <c r="T165" s="8"/>
      <c r="U165" s="9" t="str">
        <f>IF(COUNTIFS(Contacts_Activation!D:D,D165,Contacts_Activation!N:N,"oui")&gt;0,"oui","non")</f>
        <v>oui</v>
      </c>
      <c r="V165" s="9" t="str">
        <f>IF(COUNTIFS(Travaux!C:C,D165,Travaux!X:X,"en_cours")&gt;0,"travaux_en_cours",IF(COUNTIFS(Ventes!C:C,D165,Ventes!L:L,"signature")&gt;0,"vente_signature",IF(COUNTIFS(Ventes!C:C,D165,Ventes!AD:AD,"oui")&gt;0,"vente_bloquee",IF(COUNTIFS(Gestion_Locative!C:C,D165,Gestion_Locative!O:O,"incomplet")&gt;0,"gestion_fragile","stable"))))</f>
        <v>vente_bloquee</v>
      </c>
    </row>
    <row r="166" spans="1:22" ht="27.6" hidden="1" x14ac:dyDescent="0.3">
      <c r="A166" s="6" t="s">
        <v>292</v>
      </c>
      <c r="B166" s="1" t="s">
        <v>4521</v>
      </c>
      <c r="C166" s="6" t="s">
        <v>1059</v>
      </c>
      <c r="D166" s="6" t="s">
        <v>1068</v>
      </c>
      <c r="E166" s="6" t="s">
        <v>1061</v>
      </c>
      <c r="F166" s="6" t="s">
        <v>1069</v>
      </c>
      <c r="G166" s="18">
        <v>2</v>
      </c>
      <c r="H166">
        <v>53</v>
      </c>
      <c r="I166">
        <v>34</v>
      </c>
      <c r="J166" s="7" t="s">
        <v>1070</v>
      </c>
      <c r="K166" s="7" t="s">
        <v>1071</v>
      </c>
      <c r="L166" s="7" t="s">
        <v>1072</v>
      </c>
      <c r="M166" s="7"/>
      <c r="N166" s="7"/>
      <c r="O166" s="7" t="s">
        <v>90</v>
      </c>
      <c r="P166" s="7"/>
      <c r="Q166" s="7" t="s">
        <v>93</v>
      </c>
      <c r="R166" s="7"/>
      <c r="S166" s="8"/>
      <c r="T166" s="8"/>
      <c r="U166" s="9" t="str">
        <f>IF(COUNTIFS(Contacts_Activation!D:D,D166,Contacts_Activation!N:N,"oui")&gt;0,"oui","non")</f>
        <v>oui</v>
      </c>
      <c r="V166" s="9" t="str">
        <f>IF(COUNTIFS(Travaux!C:C,D166,Travaux!X:X,"en_cours")&gt;0,"travaux_en_cours",IF(COUNTIFS(Ventes!C:C,D166,Ventes!L:L,"signature")&gt;0,"vente_signature",IF(COUNTIFS(Ventes!C:C,D166,Ventes!AD:AD,"oui")&gt;0,"vente_bloquee",IF(COUNTIFS(Gestion_Locative!C:C,D166,Gestion_Locative!O:O,"incomplet")&gt;0,"gestion_fragile","stable"))))</f>
        <v>vente_bloquee</v>
      </c>
    </row>
    <row r="167" spans="1:22" ht="27.6" hidden="1" x14ac:dyDescent="0.3">
      <c r="A167" s="6" t="s">
        <v>292</v>
      </c>
      <c r="B167" s="1" t="s">
        <v>4522</v>
      </c>
      <c r="C167" s="6" t="s">
        <v>1073</v>
      </c>
      <c r="D167" s="6" t="s">
        <v>1074</v>
      </c>
      <c r="E167" s="6" t="s">
        <v>85</v>
      </c>
      <c r="F167" s="6" t="s">
        <v>1075</v>
      </c>
      <c r="G167" s="18">
        <v>45</v>
      </c>
      <c r="H167">
        <v>43</v>
      </c>
      <c r="I167">
        <v>31</v>
      </c>
      <c r="J167" s="7" t="s">
        <v>1076</v>
      </c>
      <c r="K167" s="7" t="s">
        <v>754</v>
      </c>
      <c r="L167" s="7" t="s">
        <v>1077</v>
      </c>
      <c r="M167" s="7"/>
      <c r="N167" s="7"/>
      <c r="O167" s="7" t="s">
        <v>93</v>
      </c>
      <c r="P167" s="7" t="s">
        <v>209</v>
      </c>
      <c r="Q167" s="7" t="s">
        <v>93</v>
      </c>
      <c r="R167" s="7"/>
      <c r="S167" s="8"/>
      <c r="T167" s="8"/>
      <c r="U167" s="9" t="str">
        <f>IF(COUNTIFS(Contacts_Activation!D:D,D167,Contacts_Activation!N:N,"oui")&gt;0,"oui","non")</f>
        <v>oui</v>
      </c>
      <c r="V167" s="9" t="str">
        <f>IF(COUNTIFS(Travaux!C:C,D167,Travaux!X:X,"en_cours")&gt;0,"travaux_en_cours",IF(COUNTIFS(Ventes!C:C,D167,Ventes!L:L,"signature")&gt;0,"vente_signature",IF(COUNTIFS(Ventes!C:C,D167,Ventes!AD:AD,"oui")&gt;0,"vente_bloquee",IF(COUNTIFS(Gestion_Locative!C:C,D167,Gestion_Locative!O:O,"incomplet")&gt;0,"gestion_fragile","stable"))))</f>
        <v>vente_bloquee</v>
      </c>
    </row>
    <row r="168" spans="1:22" ht="27.6" hidden="1" x14ac:dyDescent="0.3">
      <c r="A168" s="6" t="s">
        <v>292</v>
      </c>
      <c r="B168" s="1" t="s">
        <v>4522</v>
      </c>
      <c r="C168" s="6" t="s">
        <v>1073</v>
      </c>
      <c r="D168" s="6" t="s">
        <v>1078</v>
      </c>
      <c r="E168" s="6" t="s">
        <v>85</v>
      </c>
      <c r="F168" s="6" t="s">
        <v>1079</v>
      </c>
      <c r="G168" s="18">
        <v>45</v>
      </c>
      <c r="H168">
        <v>43</v>
      </c>
      <c r="I168">
        <v>31</v>
      </c>
      <c r="J168" s="7" t="s">
        <v>965</v>
      </c>
      <c r="K168" s="7" t="s">
        <v>1080</v>
      </c>
      <c r="L168" s="7" t="s">
        <v>1081</v>
      </c>
      <c r="M168" s="7" t="s">
        <v>1082</v>
      </c>
      <c r="N168" s="7" t="s">
        <v>1083</v>
      </c>
      <c r="O168" s="7" t="s">
        <v>93</v>
      </c>
      <c r="P168" s="7" t="s">
        <v>209</v>
      </c>
      <c r="Q168" s="7" t="s">
        <v>93</v>
      </c>
      <c r="R168" s="7"/>
      <c r="S168" s="8"/>
      <c r="T168" s="8"/>
      <c r="U168" s="9" t="str">
        <f>IF(COUNTIFS(Contacts_Activation!D:D,D168,Contacts_Activation!N:N,"oui")&gt;0,"oui","non")</f>
        <v>oui</v>
      </c>
      <c r="V168" s="9" t="str">
        <f>IF(COUNTIFS(Travaux!C:C,D168,Travaux!X:X,"en_cours")&gt;0,"travaux_en_cours",IF(COUNTIFS(Ventes!C:C,D168,Ventes!L:L,"signature")&gt;0,"vente_signature",IF(COUNTIFS(Ventes!C:C,D168,Ventes!AD:AD,"oui")&gt;0,"vente_bloquee",IF(COUNTIFS(Gestion_Locative!C:C,D168,Gestion_Locative!O:O,"incomplet")&gt;0,"gestion_fragile","stable"))))</f>
        <v>vente_bloquee</v>
      </c>
    </row>
    <row r="169" spans="1:22" ht="27.6" hidden="1" x14ac:dyDescent="0.3">
      <c r="A169" s="6" t="s">
        <v>292</v>
      </c>
      <c r="B169" s="1" t="s">
        <v>4522</v>
      </c>
      <c r="C169" s="6" t="s">
        <v>1073</v>
      </c>
      <c r="D169" s="6" t="s">
        <v>1084</v>
      </c>
      <c r="E169" s="6" t="s">
        <v>85</v>
      </c>
      <c r="F169" s="6" t="s">
        <v>1085</v>
      </c>
      <c r="G169" s="18">
        <v>45</v>
      </c>
      <c r="H169">
        <v>43</v>
      </c>
      <c r="I169">
        <v>31</v>
      </c>
      <c r="J169" s="7" t="s">
        <v>965</v>
      </c>
      <c r="K169" s="7" t="s">
        <v>1086</v>
      </c>
      <c r="L169" s="7" t="s">
        <v>1087</v>
      </c>
      <c r="M169" s="7"/>
      <c r="N169" s="7"/>
      <c r="O169" s="7" t="s">
        <v>93</v>
      </c>
      <c r="P169" s="7" t="s">
        <v>209</v>
      </c>
      <c r="Q169" s="7" t="s">
        <v>93</v>
      </c>
      <c r="R169" s="7"/>
      <c r="S169" s="8"/>
      <c r="T169" s="8"/>
      <c r="U169" s="9" t="str">
        <f>IF(COUNTIFS(Contacts_Activation!D:D,D169,Contacts_Activation!N:N,"oui")&gt;0,"oui","non")</f>
        <v>oui</v>
      </c>
      <c r="V169" s="9" t="str">
        <f>IF(COUNTIFS(Travaux!C:C,D169,Travaux!X:X,"en_cours")&gt;0,"travaux_en_cours",IF(COUNTIFS(Ventes!C:C,D169,Ventes!L:L,"signature")&gt;0,"vente_signature",IF(COUNTIFS(Ventes!C:C,D169,Ventes!AD:AD,"oui")&gt;0,"vente_bloquee",IF(COUNTIFS(Gestion_Locative!C:C,D169,Gestion_Locative!O:O,"incomplet")&gt;0,"gestion_fragile","stable"))))</f>
        <v>vente_bloquee</v>
      </c>
    </row>
    <row r="170" spans="1:22" ht="27.6" hidden="1" x14ac:dyDescent="0.3">
      <c r="A170" s="6" t="s">
        <v>292</v>
      </c>
      <c r="B170" s="1" t="s">
        <v>4522</v>
      </c>
      <c r="C170" s="6" t="s">
        <v>1073</v>
      </c>
      <c r="D170" s="6" t="s">
        <v>1088</v>
      </c>
      <c r="E170" s="6" t="s">
        <v>85</v>
      </c>
      <c r="F170" s="6" t="s">
        <v>1089</v>
      </c>
      <c r="G170" s="18">
        <v>45</v>
      </c>
      <c r="H170">
        <v>43</v>
      </c>
      <c r="I170">
        <v>31</v>
      </c>
      <c r="J170" s="7" t="s">
        <v>1090</v>
      </c>
      <c r="K170" s="7" t="s">
        <v>1091</v>
      </c>
      <c r="L170" s="7" t="s">
        <v>1092</v>
      </c>
      <c r="M170" s="7"/>
      <c r="N170" s="7"/>
      <c r="O170" s="7" t="s">
        <v>93</v>
      </c>
      <c r="P170" s="7" t="s">
        <v>209</v>
      </c>
      <c r="Q170" s="7" t="s">
        <v>93</v>
      </c>
      <c r="R170" s="7"/>
      <c r="S170" s="8"/>
      <c r="T170" s="8"/>
      <c r="U170" s="9" t="str">
        <f>IF(COUNTIFS(Contacts_Activation!D:D,D170,Contacts_Activation!N:N,"oui")&gt;0,"oui","non")</f>
        <v>oui</v>
      </c>
      <c r="V170" s="9" t="str">
        <f>IF(COUNTIFS(Travaux!C:C,D170,Travaux!X:X,"en_cours")&gt;0,"travaux_en_cours",IF(COUNTIFS(Ventes!C:C,D170,Ventes!L:L,"signature")&gt;0,"vente_signature",IF(COUNTIFS(Ventes!C:C,D170,Ventes!AD:AD,"oui")&gt;0,"vente_bloquee",IF(COUNTIFS(Gestion_Locative!C:C,D170,Gestion_Locative!O:O,"incomplet")&gt;0,"gestion_fragile","stable"))))</f>
        <v>vente_bloquee</v>
      </c>
    </row>
    <row r="171" spans="1:22" ht="27.6" hidden="1" x14ac:dyDescent="0.3">
      <c r="A171" s="6" t="s">
        <v>292</v>
      </c>
      <c r="B171" s="1" t="s">
        <v>4522</v>
      </c>
      <c r="C171" s="6" t="s">
        <v>1073</v>
      </c>
      <c r="D171" s="6" t="s">
        <v>1093</v>
      </c>
      <c r="E171" s="6" t="s">
        <v>85</v>
      </c>
      <c r="F171" s="6" t="s">
        <v>1094</v>
      </c>
      <c r="G171" s="18">
        <v>45</v>
      </c>
      <c r="H171">
        <v>43</v>
      </c>
      <c r="I171">
        <v>31</v>
      </c>
      <c r="J171" s="7" t="s">
        <v>1095</v>
      </c>
      <c r="K171" s="7" t="s">
        <v>1096</v>
      </c>
      <c r="L171" s="7" t="s">
        <v>1097</v>
      </c>
      <c r="M171" s="7"/>
      <c r="N171" s="7"/>
      <c r="O171" s="7" t="s">
        <v>93</v>
      </c>
      <c r="P171" s="7" t="s">
        <v>209</v>
      </c>
      <c r="Q171" s="7" t="s">
        <v>93</v>
      </c>
      <c r="R171" s="7"/>
      <c r="S171" s="8"/>
      <c r="T171" s="8"/>
      <c r="U171" s="9" t="str">
        <f>IF(COUNTIFS(Contacts_Activation!D:D,D171,Contacts_Activation!N:N,"oui")&gt;0,"oui","non")</f>
        <v>oui</v>
      </c>
      <c r="V171" s="9" t="str">
        <f>IF(COUNTIFS(Travaux!C:C,D171,Travaux!X:X,"en_cours")&gt;0,"travaux_en_cours",IF(COUNTIFS(Ventes!C:C,D171,Ventes!L:L,"signature")&gt;0,"vente_signature",IF(COUNTIFS(Ventes!C:C,D171,Ventes!AD:AD,"oui")&gt;0,"vente_bloquee",IF(COUNTIFS(Gestion_Locative!C:C,D171,Gestion_Locative!O:O,"incomplet")&gt;0,"gestion_fragile","stable"))))</f>
        <v>vente_bloquee</v>
      </c>
    </row>
    <row r="172" spans="1:22" ht="27.6" hidden="1" x14ac:dyDescent="0.3">
      <c r="A172" s="6" t="s">
        <v>292</v>
      </c>
      <c r="B172" s="1" t="s">
        <v>4522</v>
      </c>
      <c r="C172" s="6" t="s">
        <v>1073</v>
      </c>
      <c r="D172" s="6" t="s">
        <v>1098</v>
      </c>
      <c r="E172" s="6" t="s">
        <v>85</v>
      </c>
      <c r="F172" s="6" t="s">
        <v>1099</v>
      </c>
      <c r="G172" s="18">
        <v>45</v>
      </c>
      <c r="H172">
        <v>43</v>
      </c>
      <c r="I172">
        <v>31</v>
      </c>
      <c r="J172" s="7" t="s">
        <v>1100</v>
      </c>
      <c r="K172" s="7" t="s">
        <v>1096</v>
      </c>
      <c r="L172" s="7" t="s">
        <v>1101</v>
      </c>
      <c r="M172" s="7"/>
      <c r="N172" s="7"/>
      <c r="O172" s="7" t="s">
        <v>93</v>
      </c>
      <c r="P172" s="7" t="s">
        <v>209</v>
      </c>
      <c r="Q172" s="7" t="s">
        <v>93</v>
      </c>
      <c r="R172" s="7"/>
      <c r="S172" s="8"/>
      <c r="T172" s="8"/>
      <c r="U172" s="9" t="str">
        <f>IF(COUNTIFS(Contacts_Activation!D:D,D172,Contacts_Activation!N:N,"oui")&gt;0,"oui","non")</f>
        <v>oui</v>
      </c>
      <c r="V172" s="9" t="str">
        <f>IF(COUNTIFS(Travaux!C:C,D172,Travaux!X:X,"en_cours")&gt;0,"travaux_en_cours",IF(COUNTIFS(Ventes!C:C,D172,Ventes!L:L,"signature")&gt;0,"vente_signature",IF(COUNTIFS(Ventes!C:C,D172,Ventes!AD:AD,"oui")&gt;0,"vente_bloquee",IF(COUNTIFS(Gestion_Locative!C:C,D172,Gestion_Locative!O:O,"incomplet")&gt;0,"gestion_fragile","stable"))))</f>
        <v>vente_bloquee</v>
      </c>
    </row>
    <row r="173" spans="1:22" ht="27.6" hidden="1" x14ac:dyDescent="0.3">
      <c r="A173" s="6" t="s">
        <v>292</v>
      </c>
      <c r="B173" s="1" t="s">
        <v>4522</v>
      </c>
      <c r="C173" s="6" t="s">
        <v>1073</v>
      </c>
      <c r="D173" s="6" t="s">
        <v>1102</v>
      </c>
      <c r="E173" s="6" t="s">
        <v>85</v>
      </c>
      <c r="F173" s="6" t="s">
        <v>1103</v>
      </c>
      <c r="G173" s="18">
        <v>45</v>
      </c>
      <c r="H173">
        <v>43</v>
      </c>
      <c r="I173">
        <v>31</v>
      </c>
      <c r="J173" s="7" t="s">
        <v>687</v>
      </c>
      <c r="K173" s="7" t="s">
        <v>546</v>
      </c>
      <c r="L173" s="7" t="s">
        <v>1104</v>
      </c>
      <c r="M173" s="7"/>
      <c r="N173" s="7"/>
      <c r="O173" s="7" t="s">
        <v>93</v>
      </c>
      <c r="P173" s="7" t="s">
        <v>209</v>
      </c>
      <c r="Q173" s="7" t="s">
        <v>93</v>
      </c>
      <c r="R173" s="7"/>
      <c r="S173" s="8"/>
      <c r="T173" s="8"/>
      <c r="U173" s="9" t="str">
        <f>IF(COUNTIFS(Contacts_Activation!D:D,D173,Contacts_Activation!N:N,"oui")&gt;0,"oui","non")</f>
        <v>oui</v>
      </c>
      <c r="V173" s="9" t="str">
        <f>IF(COUNTIFS(Travaux!C:C,D173,Travaux!X:X,"en_cours")&gt;0,"travaux_en_cours",IF(COUNTIFS(Ventes!C:C,D173,Ventes!L:L,"signature")&gt;0,"vente_signature",IF(COUNTIFS(Ventes!C:C,D173,Ventes!AD:AD,"oui")&gt;0,"vente_bloquee",IF(COUNTIFS(Gestion_Locative!C:C,D173,Gestion_Locative!O:O,"incomplet")&gt;0,"gestion_fragile","stable"))))</f>
        <v>vente_bloquee</v>
      </c>
    </row>
    <row r="174" spans="1:22" ht="27.6" hidden="1" x14ac:dyDescent="0.3">
      <c r="A174" s="6" t="s">
        <v>292</v>
      </c>
      <c r="B174" s="1" t="s">
        <v>4522</v>
      </c>
      <c r="C174" s="6" t="s">
        <v>1073</v>
      </c>
      <c r="D174" s="6" t="s">
        <v>1105</v>
      </c>
      <c r="E174" s="6" t="s">
        <v>85</v>
      </c>
      <c r="F174" s="6" t="s">
        <v>1106</v>
      </c>
      <c r="G174" s="18">
        <v>45</v>
      </c>
      <c r="H174">
        <v>43</v>
      </c>
      <c r="I174">
        <v>31</v>
      </c>
      <c r="J174" s="7" t="s">
        <v>1107</v>
      </c>
      <c r="K174" s="7" t="s">
        <v>1108</v>
      </c>
      <c r="L174" s="7" t="s">
        <v>1109</v>
      </c>
      <c r="M174" s="7"/>
      <c r="N174" s="7" t="s">
        <v>1110</v>
      </c>
      <c r="O174" s="7" t="s">
        <v>93</v>
      </c>
      <c r="P174" s="7" t="s">
        <v>209</v>
      </c>
      <c r="Q174" s="7" t="s">
        <v>93</v>
      </c>
      <c r="R174" s="7"/>
      <c r="S174" s="8"/>
      <c r="T174" s="8"/>
      <c r="U174" s="9" t="str">
        <f>IF(COUNTIFS(Contacts_Activation!D:D,D174,Contacts_Activation!N:N,"oui")&gt;0,"oui","non")</f>
        <v>oui</v>
      </c>
      <c r="V174" s="9" t="str">
        <f>IF(COUNTIFS(Travaux!C:C,D174,Travaux!X:X,"en_cours")&gt;0,"travaux_en_cours",IF(COUNTIFS(Ventes!C:C,D174,Ventes!L:L,"signature")&gt;0,"vente_signature",IF(COUNTIFS(Ventes!C:C,D174,Ventes!AD:AD,"oui")&gt;0,"vente_bloquee",IF(COUNTIFS(Gestion_Locative!C:C,D174,Gestion_Locative!O:O,"incomplet")&gt;0,"gestion_fragile","stable"))))</f>
        <v>vente_bloquee</v>
      </c>
    </row>
    <row r="175" spans="1:22" ht="27.6" hidden="1" x14ac:dyDescent="0.3">
      <c r="A175" s="6" t="s">
        <v>292</v>
      </c>
      <c r="B175" s="1" t="s">
        <v>4522</v>
      </c>
      <c r="C175" s="6" t="s">
        <v>1073</v>
      </c>
      <c r="D175" s="6" t="s">
        <v>1111</v>
      </c>
      <c r="E175" s="6" t="s">
        <v>85</v>
      </c>
      <c r="F175" s="6" t="s">
        <v>1112</v>
      </c>
      <c r="G175" s="18">
        <v>45</v>
      </c>
      <c r="H175">
        <v>43</v>
      </c>
      <c r="I175">
        <v>31</v>
      </c>
      <c r="J175" s="7" t="s">
        <v>687</v>
      </c>
      <c r="K175" s="7" t="s">
        <v>1113</v>
      </c>
      <c r="L175" s="7" t="s">
        <v>1114</v>
      </c>
      <c r="M175" s="7"/>
      <c r="N175" s="7"/>
      <c r="O175" s="7" t="s">
        <v>93</v>
      </c>
      <c r="P175" s="7" t="s">
        <v>209</v>
      </c>
      <c r="Q175" s="7" t="s">
        <v>93</v>
      </c>
      <c r="R175" s="7"/>
      <c r="S175" s="8"/>
      <c r="T175" s="8"/>
      <c r="U175" s="9" t="str">
        <f>IF(COUNTIFS(Contacts_Activation!D:D,D175,Contacts_Activation!N:N,"oui")&gt;0,"oui","non")</f>
        <v>oui</v>
      </c>
      <c r="V175" s="9" t="str">
        <f>IF(COUNTIFS(Travaux!C:C,D175,Travaux!X:X,"en_cours")&gt;0,"travaux_en_cours",IF(COUNTIFS(Ventes!C:C,D175,Ventes!L:L,"signature")&gt;0,"vente_signature",IF(COUNTIFS(Ventes!C:C,D175,Ventes!AD:AD,"oui")&gt;0,"vente_bloquee",IF(COUNTIFS(Gestion_Locative!C:C,D175,Gestion_Locative!O:O,"incomplet")&gt;0,"gestion_fragile","stable"))))</f>
        <v>vente_bloquee</v>
      </c>
    </row>
    <row r="176" spans="1:22" ht="27.6" hidden="1" x14ac:dyDescent="0.3">
      <c r="A176" s="6" t="s">
        <v>292</v>
      </c>
      <c r="B176" s="1" t="s">
        <v>4522</v>
      </c>
      <c r="C176" s="6" t="s">
        <v>1073</v>
      </c>
      <c r="D176" s="6" t="s">
        <v>1115</v>
      </c>
      <c r="E176" s="6" t="s">
        <v>85</v>
      </c>
      <c r="F176" s="6" t="s">
        <v>1116</v>
      </c>
      <c r="G176" s="18">
        <v>45</v>
      </c>
      <c r="H176">
        <v>43</v>
      </c>
      <c r="I176">
        <v>31</v>
      </c>
      <c r="J176" s="7" t="s">
        <v>687</v>
      </c>
      <c r="K176" s="7" t="s">
        <v>231</v>
      </c>
      <c r="L176" s="7" t="s">
        <v>1117</v>
      </c>
      <c r="M176" s="7" t="s">
        <v>1118</v>
      </c>
      <c r="N176" s="7"/>
      <c r="O176" s="7" t="s">
        <v>93</v>
      </c>
      <c r="P176" s="7" t="s">
        <v>209</v>
      </c>
      <c r="Q176" s="7" t="s">
        <v>93</v>
      </c>
      <c r="R176" s="7"/>
      <c r="S176" s="8"/>
      <c r="T176" s="8"/>
      <c r="U176" s="9" t="str">
        <f>IF(COUNTIFS(Contacts_Activation!D:D,D176,Contacts_Activation!N:N,"oui")&gt;0,"oui","non")</f>
        <v>oui</v>
      </c>
      <c r="V176" s="9" t="str">
        <f>IF(COUNTIFS(Travaux!C:C,D176,Travaux!X:X,"en_cours")&gt;0,"travaux_en_cours",IF(COUNTIFS(Ventes!C:C,D176,Ventes!L:L,"signature")&gt;0,"vente_signature",IF(COUNTIFS(Ventes!C:C,D176,Ventes!AD:AD,"oui")&gt;0,"vente_bloquee",IF(COUNTIFS(Gestion_Locative!C:C,D176,Gestion_Locative!O:O,"incomplet")&gt;0,"gestion_fragile","stable"))))</f>
        <v>vente_bloquee</v>
      </c>
    </row>
    <row r="177" spans="1:22" ht="27.6" hidden="1" x14ac:dyDescent="0.3">
      <c r="A177" s="6" t="s">
        <v>292</v>
      </c>
      <c r="B177" s="1" t="s">
        <v>4522</v>
      </c>
      <c r="C177" s="6" t="s">
        <v>1073</v>
      </c>
      <c r="D177" s="6" t="s">
        <v>1119</v>
      </c>
      <c r="E177" s="6" t="s">
        <v>85</v>
      </c>
      <c r="F177" s="6" t="s">
        <v>1120</v>
      </c>
      <c r="G177" s="18">
        <v>45</v>
      </c>
      <c r="H177">
        <v>43</v>
      </c>
      <c r="I177">
        <v>31</v>
      </c>
      <c r="J177" s="7" t="s">
        <v>1121</v>
      </c>
      <c r="K177" s="7" t="s">
        <v>1122</v>
      </c>
      <c r="L177" s="7" t="s">
        <v>1123</v>
      </c>
      <c r="M177" s="7" t="s">
        <v>1124</v>
      </c>
      <c r="N177" s="7"/>
      <c r="O177" s="7" t="s">
        <v>93</v>
      </c>
      <c r="P177" s="7" t="s">
        <v>209</v>
      </c>
      <c r="Q177" s="7" t="s">
        <v>93</v>
      </c>
      <c r="R177" s="7"/>
      <c r="S177" s="8"/>
      <c r="T177" s="8"/>
      <c r="U177" s="9" t="str">
        <f>IF(COUNTIFS(Contacts_Activation!D:D,D177,Contacts_Activation!N:N,"oui")&gt;0,"oui","non")</f>
        <v>oui</v>
      </c>
      <c r="V177" s="9" t="str">
        <f>IF(COUNTIFS(Travaux!C:C,D177,Travaux!X:X,"en_cours")&gt;0,"travaux_en_cours",IF(COUNTIFS(Ventes!C:C,D177,Ventes!L:L,"signature")&gt;0,"vente_signature",IF(COUNTIFS(Ventes!C:C,D177,Ventes!AD:AD,"oui")&gt;0,"vente_bloquee",IF(COUNTIFS(Gestion_Locative!C:C,D177,Gestion_Locative!O:O,"incomplet")&gt;0,"gestion_fragile","stable"))))</f>
        <v>vente_bloquee</v>
      </c>
    </row>
    <row r="178" spans="1:22" ht="27.6" hidden="1" x14ac:dyDescent="0.3">
      <c r="A178" s="6" t="s">
        <v>292</v>
      </c>
      <c r="B178" s="1" t="s">
        <v>4522</v>
      </c>
      <c r="C178" s="6" t="s">
        <v>1073</v>
      </c>
      <c r="D178" s="6" t="s">
        <v>1125</v>
      </c>
      <c r="E178" s="6" t="s">
        <v>85</v>
      </c>
      <c r="F178" s="6" t="s">
        <v>1126</v>
      </c>
      <c r="G178" s="18">
        <v>45</v>
      </c>
      <c r="H178">
        <v>43</v>
      </c>
      <c r="I178">
        <v>31</v>
      </c>
      <c r="J178" s="7" t="s">
        <v>630</v>
      </c>
      <c r="K178" s="7" t="s">
        <v>1127</v>
      </c>
      <c r="L178" s="7"/>
      <c r="M178" s="7"/>
      <c r="N178" s="7"/>
      <c r="O178" s="7" t="s">
        <v>93</v>
      </c>
      <c r="P178" s="7" t="s">
        <v>209</v>
      </c>
      <c r="Q178" s="7" t="s">
        <v>93</v>
      </c>
      <c r="R178" s="7"/>
      <c r="S178" s="8"/>
      <c r="T178" s="8"/>
      <c r="U178" s="9" t="str">
        <f>IF(COUNTIFS(Contacts_Activation!D:D,D178,Contacts_Activation!N:N,"oui")&gt;0,"oui","non")</f>
        <v>oui</v>
      </c>
      <c r="V178" s="9" t="str">
        <f>IF(COUNTIFS(Travaux!C:C,D178,Travaux!X:X,"en_cours")&gt;0,"travaux_en_cours",IF(COUNTIFS(Ventes!C:C,D178,Ventes!L:L,"signature")&gt;0,"vente_signature",IF(COUNTIFS(Ventes!C:C,D178,Ventes!AD:AD,"oui")&gt;0,"vente_bloquee",IF(COUNTIFS(Gestion_Locative!C:C,D178,Gestion_Locative!O:O,"incomplet")&gt;0,"gestion_fragile","stable"))))</f>
        <v>vente_bloquee</v>
      </c>
    </row>
    <row r="179" spans="1:22" ht="27.6" hidden="1" x14ac:dyDescent="0.3">
      <c r="A179" s="6" t="s">
        <v>292</v>
      </c>
      <c r="B179" s="1" t="s">
        <v>4522</v>
      </c>
      <c r="C179" s="6" t="s">
        <v>1073</v>
      </c>
      <c r="D179" s="6" t="s">
        <v>1128</v>
      </c>
      <c r="E179" s="6" t="s">
        <v>85</v>
      </c>
      <c r="F179" s="6" t="s">
        <v>1129</v>
      </c>
      <c r="G179" s="18">
        <v>45</v>
      </c>
      <c r="H179">
        <v>43</v>
      </c>
      <c r="I179">
        <v>31</v>
      </c>
      <c r="J179" s="7" t="s">
        <v>1130</v>
      </c>
      <c r="K179" s="7" t="s">
        <v>892</v>
      </c>
      <c r="L179" s="7" t="s">
        <v>1131</v>
      </c>
      <c r="M179" s="7"/>
      <c r="N179" s="7"/>
      <c r="O179" s="7" t="s">
        <v>93</v>
      </c>
      <c r="P179" s="7" t="s">
        <v>209</v>
      </c>
      <c r="Q179" s="7" t="s">
        <v>93</v>
      </c>
      <c r="R179" s="7"/>
      <c r="S179" s="8"/>
      <c r="T179" s="8"/>
      <c r="U179" s="9" t="str">
        <f>IF(COUNTIFS(Contacts_Activation!D:D,D179,Contacts_Activation!N:N,"oui")&gt;0,"oui","non")</f>
        <v>oui</v>
      </c>
      <c r="V179" s="9" t="str">
        <f>IF(COUNTIFS(Travaux!C:C,D179,Travaux!X:X,"en_cours")&gt;0,"travaux_en_cours",IF(COUNTIFS(Ventes!C:C,D179,Ventes!L:L,"signature")&gt;0,"vente_signature",IF(COUNTIFS(Ventes!C:C,D179,Ventes!AD:AD,"oui")&gt;0,"vente_bloquee",IF(COUNTIFS(Gestion_Locative!C:C,D179,Gestion_Locative!O:O,"incomplet")&gt;0,"gestion_fragile","stable"))))</f>
        <v>vente_bloquee</v>
      </c>
    </row>
    <row r="180" spans="1:22" ht="27.6" hidden="1" x14ac:dyDescent="0.3">
      <c r="A180" s="6" t="s">
        <v>292</v>
      </c>
      <c r="B180" s="1" t="s">
        <v>4522</v>
      </c>
      <c r="C180" s="6" t="s">
        <v>1073</v>
      </c>
      <c r="D180" s="6" t="s">
        <v>1132</v>
      </c>
      <c r="E180" s="6" t="s">
        <v>85</v>
      </c>
      <c r="F180" s="6" t="s">
        <v>1133</v>
      </c>
      <c r="G180" s="18">
        <v>45</v>
      </c>
      <c r="H180">
        <v>43</v>
      </c>
      <c r="I180">
        <v>31</v>
      </c>
      <c r="J180" s="7" t="s">
        <v>1130</v>
      </c>
      <c r="K180" s="7" t="s">
        <v>1134</v>
      </c>
      <c r="L180" s="7" t="s">
        <v>1135</v>
      </c>
      <c r="M180" s="7" t="s">
        <v>1136</v>
      </c>
      <c r="N180" s="7"/>
      <c r="O180" s="7" t="s">
        <v>93</v>
      </c>
      <c r="P180" s="7" t="s">
        <v>209</v>
      </c>
      <c r="Q180" s="7" t="s">
        <v>93</v>
      </c>
      <c r="R180" s="7"/>
      <c r="S180" s="8"/>
      <c r="T180" s="8"/>
      <c r="U180" s="9" t="str">
        <f>IF(COUNTIFS(Contacts_Activation!D:D,D180,Contacts_Activation!N:N,"oui")&gt;0,"oui","non")</f>
        <v>oui</v>
      </c>
      <c r="V180" s="9" t="str">
        <f>IF(COUNTIFS(Travaux!C:C,D180,Travaux!X:X,"en_cours")&gt;0,"travaux_en_cours",IF(COUNTIFS(Ventes!C:C,D180,Ventes!L:L,"signature")&gt;0,"vente_signature",IF(COUNTIFS(Ventes!C:C,D180,Ventes!AD:AD,"oui")&gt;0,"vente_bloquee",IF(COUNTIFS(Gestion_Locative!C:C,D180,Gestion_Locative!O:O,"incomplet")&gt;0,"gestion_fragile","stable"))))</f>
        <v>vente_bloquee</v>
      </c>
    </row>
    <row r="181" spans="1:22" ht="27.6" hidden="1" x14ac:dyDescent="0.3">
      <c r="A181" s="6" t="s">
        <v>292</v>
      </c>
      <c r="B181" s="1" t="s">
        <v>4522</v>
      </c>
      <c r="C181" s="6" t="s">
        <v>1073</v>
      </c>
      <c r="D181" s="6" t="s">
        <v>1137</v>
      </c>
      <c r="E181" s="6" t="s">
        <v>85</v>
      </c>
      <c r="F181" s="6" t="s">
        <v>1138</v>
      </c>
      <c r="G181" s="18">
        <v>45</v>
      </c>
      <c r="H181">
        <v>43</v>
      </c>
      <c r="I181">
        <v>31</v>
      </c>
      <c r="J181" s="7" t="s">
        <v>1063</v>
      </c>
      <c r="K181" s="7" t="s">
        <v>280</v>
      </c>
      <c r="L181" s="7" t="s">
        <v>1139</v>
      </c>
      <c r="M181" s="7"/>
      <c r="N181" s="7" t="s">
        <v>1140</v>
      </c>
      <c r="O181" s="7" t="s">
        <v>93</v>
      </c>
      <c r="P181" s="7" t="s">
        <v>209</v>
      </c>
      <c r="Q181" s="7" t="s">
        <v>93</v>
      </c>
      <c r="R181" s="7"/>
      <c r="S181" s="8"/>
      <c r="T181" s="8"/>
      <c r="U181" s="9" t="str">
        <f>IF(COUNTIFS(Contacts_Activation!D:D,D181,Contacts_Activation!N:N,"oui")&gt;0,"oui","non")</f>
        <v>oui</v>
      </c>
      <c r="V181" s="9" t="str">
        <f>IF(COUNTIFS(Travaux!C:C,D181,Travaux!X:X,"en_cours")&gt;0,"travaux_en_cours",IF(COUNTIFS(Ventes!C:C,D181,Ventes!L:L,"signature")&gt;0,"vente_signature",IF(COUNTIFS(Ventes!C:C,D181,Ventes!AD:AD,"oui")&gt;0,"vente_bloquee",IF(COUNTIFS(Gestion_Locative!C:C,D181,Gestion_Locative!O:O,"incomplet")&gt;0,"gestion_fragile","stable"))))</f>
        <v>vente_bloquee</v>
      </c>
    </row>
    <row r="182" spans="1:22" ht="27.6" hidden="1" x14ac:dyDescent="0.3">
      <c r="A182" s="6" t="s">
        <v>292</v>
      </c>
      <c r="B182" s="1" t="s">
        <v>4522</v>
      </c>
      <c r="C182" s="6" t="s">
        <v>1073</v>
      </c>
      <c r="D182" s="6" t="s">
        <v>1141</v>
      </c>
      <c r="E182" s="6" t="s">
        <v>85</v>
      </c>
      <c r="F182" s="6" t="s">
        <v>1142</v>
      </c>
      <c r="G182" s="18">
        <v>45</v>
      </c>
      <c r="H182">
        <v>43</v>
      </c>
      <c r="I182">
        <v>31</v>
      </c>
      <c r="J182" s="7" t="s">
        <v>1143</v>
      </c>
      <c r="K182" s="7" t="s">
        <v>1144</v>
      </c>
      <c r="L182" s="7" t="s">
        <v>1145</v>
      </c>
      <c r="M182" s="7"/>
      <c r="N182" s="7"/>
      <c r="O182" s="7" t="s">
        <v>93</v>
      </c>
      <c r="P182" s="7" t="s">
        <v>209</v>
      </c>
      <c r="Q182" s="7" t="s">
        <v>93</v>
      </c>
      <c r="R182" s="7"/>
      <c r="S182" s="8"/>
      <c r="T182" s="8"/>
      <c r="U182" s="9" t="str">
        <f>IF(COUNTIFS(Contacts_Activation!D:D,D182,Contacts_Activation!N:N,"oui")&gt;0,"oui","non")</f>
        <v>oui</v>
      </c>
      <c r="V182" s="9" t="str">
        <f>IF(COUNTIFS(Travaux!C:C,D182,Travaux!X:X,"en_cours")&gt;0,"travaux_en_cours",IF(COUNTIFS(Ventes!C:C,D182,Ventes!L:L,"signature")&gt;0,"vente_signature",IF(COUNTIFS(Ventes!C:C,D182,Ventes!AD:AD,"oui")&gt;0,"vente_bloquee",IF(COUNTIFS(Gestion_Locative!C:C,D182,Gestion_Locative!O:O,"incomplet")&gt;0,"gestion_fragile","stable"))))</f>
        <v>vente_bloquee</v>
      </c>
    </row>
    <row r="183" spans="1:22" ht="27.6" hidden="1" x14ac:dyDescent="0.3">
      <c r="A183" s="6" t="s">
        <v>292</v>
      </c>
      <c r="B183" s="1" t="s">
        <v>4522</v>
      </c>
      <c r="C183" s="6" t="s">
        <v>1073</v>
      </c>
      <c r="D183" s="6" t="s">
        <v>1146</v>
      </c>
      <c r="E183" s="6" t="s">
        <v>85</v>
      </c>
      <c r="F183" s="6" t="s">
        <v>1147</v>
      </c>
      <c r="G183" s="18">
        <v>45</v>
      </c>
      <c r="H183">
        <v>43</v>
      </c>
      <c r="I183">
        <v>31</v>
      </c>
      <c r="J183" s="7" t="s">
        <v>1148</v>
      </c>
      <c r="K183" s="7" t="s">
        <v>972</v>
      </c>
      <c r="L183" s="7" t="s">
        <v>1149</v>
      </c>
      <c r="M183" s="7" t="s">
        <v>1150</v>
      </c>
      <c r="N183" s="7"/>
      <c r="O183" s="7" t="s">
        <v>93</v>
      </c>
      <c r="P183" s="7" t="s">
        <v>209</v>
      </c>
      <c r="Q183" s="7" t="s">
        <v>93</v>
      </c>
      <c r="R183" s="7"/>
      <c r="S183" s="8"/>
      <c r="T183" s="8"/>
      <c r="U183" s="9" t="str">
        <f>IF(COUNTIFS(Contacts_Activation!D:D,D183,Contacts_Activation!N:N,"oui")&gt;0,"oui","non")</f>
        <v>oui</v>
      </c>
      <c r="V183" s="9" t="str">
        <f>IF(COUNTIFS(Travaux!C:C,D183,Travaux!X:X,"en_cours")&gt;0,"travaux_en_cours",IF(COUNTIFS(Ventes!C:C,D183,Ventes!L:L,"signature")&gt;0,"vente_signature",IF(COUNTIFS(Ventes!C:C,D183,Ventes!AD:AD,"oui")&gt;0,"vente_bloquee",IF(COUNTIFS(Gestion_Locative!C:C,D183,Gestion_Locative!O:O,"incomplet")&gt;0,"gestion_fragile","stable"))))</f>
        <v>vente_bloquee</v>
      </c>
    </row>
    <row r="184" spans="1:22" ht="27.6" hidden="1" x14ac:dyDescent="0.3">
      <c r="A184" s="6" t="s">
        <v>292</v>
      </c>
      <c r="B184" s="1" t="s">
        <v>4522</v>
      </c>
      <c r="C184" s="6" t="s">
        <v>1073</v>
      </c>
      <c r="D184" s="6" t="s">
        <v>1151</v>
      </c>
      <c r="E184" s="6" t="s">
        <v>85</v>
      </c>
      <c r="F184" s="6" t="s">
        <v>1152</v>
      </c>
      <c r="G184" s="18">
        <v>45</v>
      </c>
      <c r="H184">
        <v>43</v>
      </c>
      <c r="I184">
        <v>31</v>
      </c>
      <c r="J184" s="7" t="s">
        <v>1153</v>
      </c>
      <c r="K184" s="7" t="s">
        <v>1154</v>
      </c>
      <c r="L184" s="7" t="s">
        <v>1155</v>
      </c>
      <c r="M184" s="7"/>
      <c r="N184" s="7"/>
      <c r="O184" s="7" t="s">
        <v>93</v>
      </c>
      <c r="P184" s="7" t="s">
        <v>209</v>
      </c>
      <c r="Q184" s="7" t="s">
        <v>93</v>
      </c>
      <c r="R184" s="7"/>
      <c r="S184" s="8"/>
      <c r="T184" s="8"/>
      <c r="U184" s="9" t="str">
        <f>IF(COUNTIFS(Contacts_Activation!D:D,D184,Contacts_Activation!N:N,"oui")&gt;0,"oui","non")</f>
        <v>oui</v>
      </c>
      <c r="V184" s="9" t="str">
        <f>IF(COUNTIFS(Travaux!C:C,D184,Travaux!X:X,"en_cours")&gt;0,"travaux_en_cours",IF(COUNTIFS(Ventes!C:C,D184,Ventes!L:L,"signature")&gt;0,"vente_signature",IF(COUNTIFS(Ventes!C:C,D184,Ventes!AD:AD,"oui")&gt;0,"vente_bloquee",IF(COUNTIFS(Gestion_Locative!C:C,D184,Gestion_Locative!O:O,"incomplet")&gt;0,"gestion_fragile","stable"))))</f>
        <v>vente_bloquee</v>
      </c>
    </row>
    <row r="185" spans="1:22" ht="27.6" hidden="1" x14ac:dyDescent="0.3">
      <c r="A185" s="6" t="s">
        <v>292</v>
      </c>
      <c r="B185" s="1" t="s">
        <v>4522</v>
      </c>
      <c r="C185" s="6" t="s">
        <v>1073</v>
      </c>
      <c r="D185" s="6" t="s">
        <v>1156</v>
      </c>
      <c r="E185" s="6" t="s">
        <v>85</v>
      </c>
      <c r="F185" s="6" t="s">
        <v>1157</v>
      </c>
      <c r="G185" s="18">
        <v>45</v>
      </c>
      <c r="H185">
        <v>43</v>
      </c>
      <c r="I185">
        <v>31</v>
      </c>
      <c r="J185" s="7" t="s">
        <v>1158</v>
      </c>
      <c r="K185" s="7" t="s">
        <v>1159</v>
      </c>
      <c r="L185" s="7" t="s">
        <v>1160</v>
      </c>
      <c r="M185" s="7"/>
      <c r="N185" s="7"/>
      <c r="O185" s="7" t="s">
        <v>93</v>
      </c>
      <c r="P185" s="7" t="s">
        <v>209</v>
      </c>
      <c r="Q185" s="7" t="s">
        <v>93</v>
      </c>
      <c r="R185" s="7"/>
      <c r="S185" s="8"/>
      <c r="T185" s="8"/>
      <c r="U185" s="9" t="str">
        <f>IF(COUNTIFS(Contacts_Activation!D:D,D185,Contacts_Activation!N:N,"oui")&gt;0,"oui","non")</f>
        <v>oui</v>
      </c>
      <c r="V185" s="9" t="str">
        <f>IF(COUNTIFS(Travaux!C:C,D185,Travaux!X:X,"en_cours")&gt;0,"travaux_en_cours",IF(COUNTIFS(Ventes!C:C,D185,Ventes!L:L,"signature")&gt;0,"vente_signature",IF(COUNTIFS(Ventes!C:C,D185,Ventes!AD:AD,"oui")&gt;0,"vente_bloquee",IF(COUNTIFS(Gestion_Locative!C:C,D185,Gestion_Locative!O:O,"incomplet")&gt;0,"gestion_fragile","stable"))))</f>
        <v>vente_bloquee</v>
      </c>
    </row>
    <row r="186" spans="1:22" ht="27.6" hidden="1" x14ac:dyDescent="0.3">
      <c r="A186" s="6" t="s">
        <v>292</v>
      </c>
      <c r="B186" s="1" t="s">
        <v>4522</v>
      </c>
      <c r="C186" s="6" t="s">
        <v>1073</v>
      </c>
      <c r="D186" s="6" t="s">
        <v>1161</v>
      </c>
      <c r="E186" s="6" t="s">
        <v>85</v>
      </c>
      <c r="F186" s="6" t="s">
        <v>1162</v>
      </c>
      <c r="G186" s="18">
        <v>45</v>
      </c>
      <c r="H186">
        <v>43</v>
      </c>
      <c r="I186">
        <v>31</v>
      </c>
      <c r="J186" s="7" t="s">
        <v>1163</v>
      </c>
      <c r="K186" s="7" t="s">
        <v>1164</v>
      </c>
      <c r="L186" s="7" t="s">
        <v>1165</v>
      </c>
      <c r="M186" s="7"/>
      <c r="N186" s="7"/>
      <c r="O186" s="7" t="s">
        <v>93</v>
      </c>
      <c r="P186" s="7" t="s">
        <v>209</v>
      </c>
      <c r="Q186" s="7" t="s">
        <v>93</v>
      </c>
      <c r="R186" s="7"/>
      <c r="S186" s="8"/>
      <c r="T186" s="8"/>
      <c r="U186" s="9" t="str">
        <f>IF(COUNTIFS(Contacts_Activation!D:D,D186,Contacts_Activation!N:N,"oui")&gt;0,"oui","non")</f>
        <v>oui</v>
      </c>
      <c r="V186" s="9" t="str">
        <f>IF(COUNTIFS(Travaux!C:C,D186,Travaux!X:X,"en_cours")&gt;0,"travaux_en_cours",IF(COUNTIFS(Ventes!C:C,D186,Ventes!L:L,"signature")&gt;0,"vente_signature",IF(COUNTIFS(Ventes!C:C,D186,Ventes!AD:AD,"oui")&gt;0,"vente_bloquee",IF(COUNTIFS(Gestion_Locative!C:C,D186,Gestion_Locative!O:O,"incomplet")&gt;0,"gestion_fragile","stable"))))</f>
        <v>vente_bloquee</v>
      </c>
    </row>
    <row r="187" spans="1:22" ht="27.6" hidden="1" x14ac:dyDescent="0.3">
      <c r="A187" s="6" t="s">
        <v>292</v>
      </c>
      <c r="B187" s="1" t="s">
        <v>4522</v>
      </c>
      <c r="C187" s="6" t="s">
        <v>1073</v>
      </c>
      <c r="D187" s="6" t="s">
        <v>1166</v>
      </c>
      <c r="E187" s="6" t="s">
        <v>85</v>
      </c>
      <c r="F187" s="6" t="s">
        <v>1167</v>
      </c>
      <c r="G187" s="18">
        <v>45</v>
      </c>
      <c r="H187">
        <v>43</v>
      </c>
      <c r="I187">
        <v>31</v>
      </c>
      <c r="J187" s="7" t="s">
        <v>1168</v>
      </c>
      <c r="K187" s="7" t="s">
        <v>759</v>
      </c>
      <c r="L187" s="7" t="s">
        <v>1169</v>
      </c>
      <c r="M187" s="7" t="s">
        <v>1170</v>
      </c>
      <c r="N187" s="7"/>
      <c r="O187" s="7" t="s">
        <v>93</v>
      </c>
      <c r="P187" s="7" t="s">
        <v>209</v>
      </c>
      <c r="Q187" s="7" t="s">
        <v>93</v>
      </c>
      <c r="R187" s="7"/>
      <c r="S187" s="8"/>
      <c r="T187" s="8"/>
      <c r="U187" s="9" t="str">
        <f>IF(COUNTIFS(Contacts_Activation!D:D,D187,Contacts_Activation!N:N,"oui")&gt;0,"oui","non")</f>
        <v>oui</v>
      </c>
      <c r="V187" s="9" t="str">
        <f>IF(COUNTIFS(Travaux!C:C,D187,Travaux!X:X,"en_cours")&gt;0,"travaux_en_cours",IF(COUNTIFS(Ventes!C:C,D187,Ventes!L:L,"signature")&gt;0,"vente_signature",IF(COUNTIFS(Ventes!C:C,D187,Ventes!AD:AD,"oui")&gt;0,"vente_bloquee",IF(COUNTIFS(Gestion_Locative!C:C,D187,Gestion_Locative!O:O,"incomplet")&gt;0,"gestion_fragile","stable"))))</f>
        <v>vente_bloquee</v>
      </c>
    </row>
    <row r="188" spans="1:22" ht="27.6" hidden="1" x14ac:dyDescent="0.3">
      <c r="A188" s="6" t="s">
        <v>292</v>
      </c>
      <c r="B188" s="1" t="s">
        <v>4522</v>
      </c>
      <c r="C188" s="6" t="s">
        <v>1073</v>
      </c>
      <c r="D188" s="6" t="s">
        <v>1171</v>
      </c>
      <c r="E188" s="6" t="s">
        <v>85</v>
      </c>
      <c r="F188" s="6" t="s">
        <v>1172</v>
      </c>
      <c r="G188" s="18">
        <v>45</v>
      </c>
      <c r="H188">
        <v>43</v>
      </c>
      <c r="I188">
        <v>31</v>
      </c>
      <c r="J188" s="7" t="s">
        <v>697</v>
      </c>
      <c r="K188" s="7" t="s">
        <v>1173</v>
      </c>
      <c r="L188" s="7" t="s">
        <v>1174</v>
      </c>
      <c r="M188" s="7" t="s">
        <v>1175</v>
      </c>
      <c r="N188" s="7"/>
      <c r="O188" s="7" t="s">
        <v>93</v>
      </c>
      <c r="P188" s="7" t="s">
        <v>209</v>
      </c>
      <c r="Q188" s="7" t="s">
        <v>93</v>
      </c>
      <c r="R188" s="7"/>
      <c r="S188" s="8"/>
      <c r="T188" s="8"/>
      <c r="U188" s="9" t="str">
        <f>IF(COUNTIFS(Contacts_Activation!D:D,D188,Contacts_Activation!N:N,"oui")&gt;0,"oui","non")</f>
        <v>oui</v>
      </c>
      <c r="V188" s="9" t="str">
        <f>IF(COUNTIFS(Travaux!C:C,D188,Travaux!X:X,"en_cours")&gt;0,"travaux_en_cours",IF(COUNTIFS(Ventes!C:C,D188,Ventes!L:L,"signature")&gt;0,"vente_signature",IF(COUNTIFS(Ventes!C:C,D188,Ventes!AD:AD,"oui")&gt;0,"vente_bloquee",IF(COUNTIFS(Gestion_Locative!C:C,D188,Gestion_Locative!O:O,"incomplet")&gt;0,"gestion_fragile","stable"))))</f>
        <v>vente_bloquee</v>
      </c>
    </row>
    <row r="189" spans="1:22" ht="27.6" hidden="1" x14ac:dyDescent="0.3">
      <c r="A189" s="6" t="s">
        <v>292</v>
      </c>
      <c r="B189" s="1" t="s">
        <v>4522</v>
      </c>
      <c r="C189" s="6" t="s">
        <v>1073</v>
      </c>
      <c r="D189" s="6" t="s">
        <v>1176</v>
      </c>
      <c r="E189" s="6" t="s">
        <v>85</v>
      </c>
      <c r="F189" s="6" t="s">
        <v>1177</v>
      </c>
      <c r="G189" s="18">
        <v>45</v>
      </c>
      <c r="H189">
        <v>43</v>
      </c>
      <c r="I189">
        <v>31</v>
      </c>
      <c r="J189" s="7" t="s">
        <v>697</v>
      </c>
      <c r="K189" s="7" t="s">
        <v>1178</v>
      </c>
      <c r="L189" s="7"/>
      <c r="M189" s="7"/>
      <c r="N189" s="7"/>
      <c r="O189" s="7" t="s">
        <v>93</v>
      </c>
      <c r="P189" s="7" t="s">
        <v>209</v>
      </c>
      <c r="Q189" s="7" t="s">
        <v>93</v>
      </c>
      <c r="R189" s="7"/>
      <c r="S189" s="8"/>
      <c r="T189" s="8"/>
      <c r="U189" s="9" t="str">
        <f>IF(COUNTIFS(Contacts_Activation!D:D,D189,Contacts_Activation!N:N,"oui")&gt;0,"oui","non")</f>
        <v>oui</v>
      </c>
      <c r="V189" s="9" t="str">
        <f>IF(COUNTIFS(Travaux!C:C,D189,Travaux!X:X,"en_cours")&gt;0,"travaux_en_cours",IF(COUNTIFS(Ventes!C:C,D189,Ventes!L:L,"signature")&gt;0,"vente_signature",IF(COUNTIFS(Ventes!C:C,D189,Ventes!AD:AD,"oui")&gt;0,"vente_bloquee",IF(COUNTIFS(Gestion_Locative!C:C,D189,Gestion_Locative!O:O,"incomplet")&gt;0,"gestion_fragile","stable"))))</f>
        <v>vente_bloquee</v>
      </c>
    </row>
    <row r="190" spans="1:22" ht="27.6" hidden="1" x14ac:dyDescent="0.3">
      <c r="A190" s="6" t="s">
        <v>292</v>
      </c>
      <c r="B190" s="1" t="s">
        <v>4522</v>
      </c>
      <c r="C190" s="6" t="s">
        <v>1073</v>
      </c>
      <c r="D190" s="6" t="s">
        <v>1179</v>
      </c>
      <c r="E190" s="6" t="s">
        <v>85</v>
      </c>
      <c r="F190" s="6" t="s">
        <v>1180</v>
      </c>
      <c r="G190" s="18">
        <v>45</v>
      </c>
      <c r="H190">
        <v>43</v>
      </c>
      <c r="I190">
        <v>31</v>
      </c>
      <c r="J190" s="7" t="s">
        <v>1181</v>
      </c>
      <c r="K190" s="7" t="s">
        <v>1182</v>
      </c>
      <c r="L190" s="7" t="s">
        <v>1183</v>
      </c>
      <c r="M190" s="7"/>
      <c r="N190" s="7"/>
      <c r="O190" s="7" t="s">
        <v>93</v>
      </c>
      <c r="P190" s="7" t="s">
        <v>209</v>
      </c>
      <c r="Q190" s="7" t="s">
        <v>93</v>
      </c>
      <c r="R190" s="7"/>
      <c r="S190" s="8"/>
      <c r="T190" s="8"/>
      <c r="U190" s="9" t="str">
        <f>IF(COUNTIFS(Contacts_Activation!D:D,D190,Contacts_Activation!N:N,"oui")&gt;0,"oui","non")</f>
        <v>oui</v>
      </c>
      <c r="V190" s="9" t="str">
        <f>IF(COUNTIFS(Travaux!C:C,D190,Travaux!X:X,"en_cours")&gt;0,"travaux_en_cours",IF(COUNTIFS(Ventes!C:C,D190,Ventes!L:L,"signature")&gt;0,"vente_signature",IF(COUNTIFS(Ventes!C:C,D190,Ventes!AD:AD,"oui")&gt;0,"vente_bloquee",IF(COUNTIFS(Gestion_Locative!C:C,D190,Gestion_Locative!O:O,"incomplet")&gt;0,"gestion_fragile","stable"))))</f>
        <v>vente_bloquee</v>
      </c>
    </row>
    <row r="191" spans="1:22" ht="27.6" hidden="1" x14ac:dyDescent="0.3">
      <c r="A191" s="6" t="s">
        <v>292</v>
      </c>
      <c r="B191" s="1" t="s">
        <v>4522</v>
      </c>
      <c r="C191" s="6" t="s">
        <v>1073</v>
      </c>
      <c r="D191" s="6" t="s">
        <v>1184</v>
      </c>
      <c r="E191" s="6" t="s">
        <v>85</v>
      </c>
      <c r="F191" s="6" t="s">
        <v>1185</v>
      </c>
      <c r="G191" s="18">
        <v>45</v>
      </c>
      <c r="H191">
        <v>43</v>
      </c>
      <c r="I191">
        <v>31</v>
      </c>
      <c r="J191" s="7" t="s">
        <v>1186</v>
      </c>
      <c r="K191" s="7" t="s">
        <v>1187</v>
      </c>
      <c r="L191" s="7" t="s">
        <v>1188</v>
      </c>
      <c r="M191" s="7" t="s">
        <v>1189</v>
      </c>
      <c r="N191" s="7"/>
      <c r="O191" s="7" t="s">
        <v>93</v>
      </c>
      <c r="P191" s="7" t="s">
        <v>209</v>
      </c>
      <c r="Q191" s="7" t="s">
        <v>93</v>
      </c>
      <c r="R191" s="7"/>
      <c r="S191" s="8"/>
      <c r="T191" s="8"/>
      <c r="U191" s="9" t="str">
        <f>IF(COUNTIFS(Contacts_Activation!D:D,D191,Contacts_Activation!N:N,"oui")&gt;0,"oui","non")</f>
        <v>oui</v>
      </c>
      <c r="V191" s="9" t="str">
        <f>IF(COUNTIFS(Travaux!C:C,D191,Travaux!X:X,"en_cours")&gt;0,"travaux_en_cours",IF(COUNTIFS(Ventes!C:C,D191,Ventes!L:L,"signature")&gt;0,"vente_signature",IF(COUNTIFS(Ventes!C:C,D191,Ventes!AD:AD,"oui")&gt;0,"vente_bloquee",IF(COUNTIFS(Gestion_Locative!C:C,D191,Gestion_Locative!O:O,"incomplet")&gt;0,"gestion_fragile","stable"))))</f>
        <v>vente_bloquee</v>
      </c>
    </row>
    <row r="192" spans="1:22" ht="27.6" hidden="1" x14ac:dyDescent="0.3">
      <c r="A192" s="6" t="s">
        <v>292</v>
      </c>
      <c r="B192" s="1" t="s">
        <v>4522</v>
      </c>
      <c r="C192" s="6" t="s">
        <v>1073</v>
      </c>
      <c r="D192" s="6" t="s">
        <v>1190</v>
      </c>
      <c r="E192" s="6" t="s">
        <v>85</v>
      </c>
      <c r="F192" s="6" t="s">
        <v>1191</v>
      </c>
      <c r="G192" s="18">
        <v>45</v>
      </c>
      <c r="H192">
        <v>43</v>
      </c>
      <c r="I192">
        <v>31</v>
      </c>
      <c r="J192" s="7" t="s">
        <v>1192</v>
      </c>
      <c r="K192" s="7" t="s">
        <v>1193</v>
      </c>
      <c r="L192" s="7" t="s">
        <v>1194</v>
      </c>
      <c r="M192" s="7"/>
      <c r="N192" s="7"/>
      <c r="O192" s="7" t="s">
        <v>93</v>
      </c>
      <c r="P192" s="7" t="s">
        <v>209</v>
      </c>
      <c r="Q192" s="7" t="s">
        <v>93</v>
      </c>
      <c r="R192" s="7"/>
      <c r="S192" s="8"/>
      <c r="T192" s="8"/>
      <c r="U192" s="9" t="str">
        <f>IF(COUNTIFS(Contacts_Activation!D:D,D192,Contacts_Activation!N:N,"oui")&gt;0,"oui","non")</f>
        <v>oui</v>
      </c>
      <c r="V192" s="9" t="str">
        <f>IF(COUNTIFS(Travaux!C:C,D192,Travaux!X:X,"en_cours")&gt;0,"travaux_en_cours",IF(COUNTIFS(Ventes!C:C,D192,Ventes!L:L,"signature")&gt;0,"vente_signature",IF(COUNTIFS(Ventes!C:C,D192,Ventes!AD:AD,"oui")&gt;0,"vente_bloquee",IF(COUNTIFS(Gestion_Locative!C:C,D192,Gestion_Locative!O:O,"incomplet")&gt;0,"gestion_fragile","stable"))))</f>
        <v>vente_bloquee</v>
      </c>
    </row>
    <row r="193" spans="1:22" ht="27.6" hidden="1" x14ac:dyDescent="0.3">
      <c r="A193" s="6" t="s">
        <v>292</v>
      </c>
      <c r="B193" s="1" t="s">
        <v>4522</v>
      </c>
      <c r="C193" s="6" t="s">
        <v>1073</v>
      </c>
      <c r="D193" s="6" t="s">
        <v>1195</v>
      </c>
      <c r="E193" s="6" t="s">
        <v>85</v>
      </c>
      <c r="F193" s="6" t="s">
        <v>1196</v>
      </c>
      <c r="G193" s="18">
        <v>45</v>
      </c>
      <c r="H193">
        <v>43</v>
      </c>
      <c r="I193">
        <v>31</v>
      </c>
      <c r="J193" s="7" t="s">
        <v>1197</v>
      </c>
      <c r="K193" s="7" t="s">
        <v>998</v>
      </c>
      <c r="L193" s="7" t="s">
        <v>1198</v>
      </c>
      <c r="M193" s="7"/>
      <c r="N193" s="7"/>
      <c r="O193" s="7" t="s">
        <v>93</v>
      </c>
      <c r="P193" s="7" t="s">
        <v>209</v>
      </c>
      <c r="Q193" s="7" t="s">
        <v>93</v>
      </c>
      <c r="R193" s="7"/>
      <c r="S193" s="8"/>
      <c r="T193" s="8"/>
      <c r="U193" s="9" t="str">
        <f>IF(COUNTIFS(Contacts_Activation!D:D,D193,Contacts_Activation!N:N,"oui")&gt;0,"oui","non")</f>
        <v>oui</v>
      </c>
      <c r="V193" s="9" t="str">
        <f>IF(COUNTIFS(Travaux!C:C,D193,Travaux!X:X,"en_cours")&gt;0,"travaux_en_cours",IF(COUNTIFS(Ventes!C:C,D193,Ventes!L:L,"signature")&gt;0,"vente_signature",IF(COUNTIFS(Ventes!C:C,D193,Ventes!AD:AD,"oui")&gt;0,"vente_bloquee",IF(COUNTIFS(Gestion_Locative!C:C,D193,Gestion_Locative!O:O,"incomplet")&gt;0,"gestion_fragile","stable"))))</f>
        <v>vente_bloquee</v>
      </c>
    </row>
    <row r="194" spans="1:22" ht="27.6" hidden="1" x14ac:dyDescent="0.3">
      <c r="A194" s="6" t="s">
        <v>292</v>
      </c>
      <c r="B194" s="1" t="s">
        <v>4522</v>
      </c>
      <c r="C194" s="6" t="s">
        <v>1073</v>
      </c>
      <c r="D194" s="6" t="s">
        <v>1199</v>
      </c>
      <c r="E194" s="6" t="s">
        <v>85</v>
      </c>
      <c r="F194" s="6" t="s">
        <v>1200</v>
      </c>
      <c r="G194" s="18">
        <v>45</v>
      </c>
      <c r="H194">
        <v>43</v>
      </c>
      <c r="I194">
        <v>31</v>
      </c>
      <c r="J194" s="7" t="s">
        <v>1201</v>
      </c>
      <c r="K194" s="7" t="s">
        <v>1202</v>
      </c>
      <c r="L194" s="7" t="s">
        <v>1203</v>
      </c>
      <c r="M194" s="7"/>
      <c r="N194" s="7"/>
      <c r="O194" s="7" t="s">
        <v>93</v>
      </c>
      <c r="P194" s="7" t="s">
        <v>209</v>
      </c>
      <c r="Q194" s="7" t="s">
        <v>93</v>
      </c>
      <c r="R194" s="7"/>
      <c r="S194" s="8"/>
      <c r="T194" s="8"/>
      <c r="U194" s="9" t="str">
        <f>IF(COUNTIFS(Contacts_Activation!D:D,D194,Contacts_Activation!N:N,"oui")&gt;0,"oui","non")</f>
        <v>oui</v>
      </c>
      <c r="V194" s="9" t="str">
        <f>IF(COUNTIFS(Travaux!C:C,D194,Travaux!X:X,"en_cours")&gt;0,"travaux_en_cours",IF(COUNTIFS(Ventes!C:C,D194,Ventes!L:L,"signature")&gt;0,"vente_signature",IF(COUNTIFS(Ventes!C:C,D194,Ventes!AD:AD,"oui")&gt;0,"vente_bloquee",IF(COUNTIFS(Gestion_Locative!C:C,D194,Gestion_Locative!O:O,"incomplet")&gt;0,"gestion_fragile","stable"))))</f>
        <v>vente_bloquee</v>
      </c>
    </row>
    <row r="195" spans="1:22" ht="27.6" hidden="1" x14ac:dyDescent="0.3">
      <c r="A195" s="6" t="s">
        <v>292</v>
      </c>
      <c r="B195" s="1" t="s">
        <v>4522</v>
      </c>
      <c r="C195" s="6" t="s">
        <v>1073</v>
      </c>
      <c r="D195" s="6" t="s">
        <v>1204</v>
      </c>
      <c r="E195" s="6" t="s">
        <v>85</v>
      </c>
      <c r="F195" s="6" t="s">
        <v>1205</v>
      </c>
      <c r="G195" s="18">
        <v>45</v>
      </c>
      <c r="H195">
        <v>43</v>
      </c>
      <c r="I195">
        <v>31</v>
      </c>
      <c r="J195" s="7" t="s">
        <v>1206</v>
      </c>
      <c r="K195" s="7" t="s">
        <v>1207</v>
      </c>
      <c r="L195" s="7" t="s">
        <v>1208</v>
      </c>
      <c r="M195" s="7" t="s">
        <v>1209</v>
      </c>
      <c r="N195" s="7" t="s">
        <v>1206</v>
      </c>
      <c r="O195" s="7" t="s">
        <v>93</v>
      </c>
      <c r="P195" s="7" t="s">
        <v>209</v>
      </c>
      <c r="Q195" s="7" t="s">
        <v>93</v>
      </c>
      <c r="R195" s="7"/>
      <c r="S195" s="8"/>
      <c r="T195" s="8"/>
      <c r="U195" s="9" t="str">
        <f>IF(COUNTIFS(Contacts_Activation!D:D,D195,Contacts_Activation!N:N,"oui")&gt;0,"oui","non")</f>
        <v>oui</v>
      </c>
      <c r="V195" s="9" t="str">
        <f>IF(COUNTIFS(Travaux!C:C,D195,Travaux!X:X,"en_cours")&gt;0,"travaux_en_cours",IF(COUNTIFS(Ventes!C:C,D195,Ventes!L:L,"signature")&gt;0,"vente_signature",IF(COUNTIFS(Ventes!C:C,D195,Ventes!AD:AD,"oui")&gt;0,"vente_bloquee",IF(COUNTIFS(Gestion_Locative!C:C,D195,Gestion_Locative!O:O,"incomplet")&gt;0,"gestion_fragile","stable"))))</f>
        <v>vente_bloquee</v>
      </c>
    </row>
    <row r="196" spans="1:22" ht="27.6" hidden="1" x14ac:dyDescent="0.3">
      <c r="A196" s="6" t="s">
        <v>292</v>
      </c>
      <c r="B196" s="1" t="s">
        <v>4522</v>
      </c>
      <c r="C196" s="6" t="s">
        <v>1073</v>
      </c>
      <c r="D196" s="6" t="s">
        <v>1210</v>
      </c>
      <c r="E196" s="6" t="s">
        <v>85</v>
      </c>
      <c r="F196" s="6" t="s">
        <v>1211</v>
      </c>
      <c r="G196" s="18">
        <v>45</v>
      </c>
      <c r="H196">
        <v>43</v>
      </c>
      <c r="I196">
        <v>31</v>
      </c>
      <c r="J196" s="7" t="s">
        <v>1212</v>
      </c>
      <c r="K196" s="7" t="s">
        <v>1213</v>
      </c>
      <c r="L196" s="7" t="s">
        <v>1214</v>
      </c>
      <c r="M196" s="7"/>
      <c r="N196" s="7"/>
      <c r="O196" s="7" t="s">
        <v>93</v>
      </c>
      <c r="P196" s="7" t="s">
        <v>209</v>
      </c>
      <c r="Q196" s="7" t="s">
        <v>93</v>
      </c>
      <c r="R196" s="7"/>
      <c r="S196" s="8"/>
      <c r="T196" s="8"/>
      <c r="U196" s="9" t="str">
        <f>IF(COUNTIFS(Contacts_Activation!D:D,D196,Contacts_Activation!N:N,"oui")&gt;0,"oui","non")</f>
        <v>oui</v>
      </c>
      <c r="V196" s="9" t="str">
        <f>IF(COUNTIFS(Travaux!C:C,D196,Travaux!X:X,"en_cours")&gt;0,"travaux_en_cours",IF(COUNTIFS(Ventes!C:C,D196,Ventes!L:L,"signature")&gt;0,"vente_signature",IF(COUNTIFS(Ventes!C:C,D196,Ventes!AD:AD,"oui")&gt;0,"vente_bloquee",IF(COUNTIFS(Gestion_Locative!C:C,D196,Gestion_Locative!O:O,"incomplet")&gt;0,"gestion_fragile","stable"))))</f>
        <v>vente_bloquee</v>
      </c>
    </row>
    <row r="197" spans="1:22" ht="27.6" hidden="1" x14ac:dyDescent="0.3">
      <c r="A197" s="6" t="s">
        <v>292</v>
      </c>
      <c r="B197" s="1" t="s">
        <v>4522</v>
      </c>
      <c r="C197" s="6" t="s">
        <v>1073</v>
      </c>
      <c r="D197" s="6" t="s">
        <v>1215</v>
      </c>
      <c r="E197" s="6" t="s">
        <v>85</v>
      </c>
      <c r="F197" s="6" t="s">
        <v>1216</v>
      </c>
      <c r="G197" s="18">
        <v>45</v>
      </c>
      <c r="H197">
        <v>43</v>
      </c>
      <c r="I197">
        <v>31</v>
      </c>
      <c r="J197" s="7" t="s">
        <v>1217</v>
      </c>
      <c r="K197" s="7" t="s">
        <v>1218</v>
      </c>
      <c r="L197" s="7" t="s">
        <v>1219</v>
      </c>
      <c r="M197" s="7" t="s">
        <v>1220</v>
      </c>
      <c r="N197" s="7"/>
      <c r="O197" s="7" t="s">
        <v>93</v>
      </c>
      <c r="P197" s="7" t="s">
        <v>209</v>
      </c>
      <c r="Q197" s="7" t="s">
        <v>93</v>
      </c>
      <c r="R197" s="7"/>
      <c r="S197" s="8"/>
      <c r="T197" s="8"/>
      <c r="U197" s="9" t="str">
        <f>IF(COUNTIFS(Contacts_Activation!D:D,D197,Contacts_Activation!N:N,"oui")&gt;0,"oui","non")</f>
        <v>oui</v>
      </c>
      <c r="V197" s="9" t="str">
        <f>IF(COUNTIFS(Travaux!C:C,D197,Travaux!X:X,"en_cours")&gt;0,"travaux_en_cours",IF(COUNTIFS(Ventes!C:C,D197,Ventes!L:L,"signature")&gt;0,"vente_signature",IF(COUNTIFS(Ventes!C:C,D197,Ventes!AD:AD,"oui")&gt;0,"vente_bloquee",IF(COUNTIFS(Gestion_Locative!C:C,D197,Gestion_Locative!O:O,"incomplet")&gt;0,"gestion_fragile","stable"))))</f>
        <v>vente_bloquee</v>
      </c>
    </row>
    <row r="198" spans="1:22" ht="27.6" hidden="1" x14ac:dyDescent="0.3">
      <c r="A198" s="6" t="s">
        <v>292</v>
      </c>
      <c r="B198" s="1" t="s">
        <v>4522</v>
      </c>
      <c r="C198" s="6" t="s">
        <v>1073</v>
      </c>
      <c r="D198" s="6" t="s">
        <v>1221</v>
      </c>
      <c r="E198" s="6" t="s">
        <v>85</v>
      </c>
      <c r="F198" s="6" t="s">
        <v>1222</v>
      </c>
      <c r="G198" s="18">
        <v>45</v>
      </c>
      <c r="H198">
        <v>43</v>
      </c>
      <c r="I198">
        <v>31</v>
      </c>
      <c r="J198" s="7" t="s">
        <v>1217</v>
      </c>
      <c r="K198" s="7" t="s">
        <v>1223</v>
      </c>
      <c r="L198" s="7" t="s">
        <v>1214</v>
      </c>
      <c r="M198" s="7"/>
      <c r="N198" s="7"/>
      <c r="O198" s="7" t="s">
        <v>93</v>
      </c>
      <c r="P198" s="7" t="s">
        <v>209</v>
      </c>
      <c r="Q198" s="7" t="s">
        <v>93</v>
      </c>
      <c r="R198" s="7"/>
      <c r="S198" s="8"/>
      <c r="T198" s="8"/>
      <c r="U198" s="9" t="str">
        <f>IF(COUNTIFS(Contacts_Activation!D:D,D198,Contacts_Activation!N:N,"oui")&gt;0,"oui","non")</f>
        <v>oui</v>
      </c>
      <c r="V198" s="9" t="str">
        <f>IF(COUNTIFS(Travaux!C:C,D198,Travaux!X:X,"en_cours")&gt;0,"travaux_en_cours",IF(COUNTIFS(Ventes!C:C,D198,Ventes!L:L,"signature")&gt;0,"vente_signature",IF(COUNTIFS(Ventes!C:C,D198,Ventes!AD:AD,"oui")&gt;0,"vente_bloquee",IF(COUNTIFS(Gestion_Locative!C:C,D198,Gestion_Locative!O:O,"incomplet")&gt;0,"gestion_fragile","stable"))))</f>
        <v>vente_bloquee</v>
      </c>
    </row>
    <row r="199" spans="1:22" ht="27.6" hidden="1" x14ac:dyDescent="0.3">
      <c r="A199" s="6" t="s">
        <v>292</v>
      </c>
      <c r="B199" s="1" t="s">
        <v>4522</v>
      </c>
      <c r="C199" s="6" t="s">
        <v>1073</v>
      </c>
      <c r="D199" s="6" t="s">
        <v>1224</v>
      </c>
      <c r="E199" s="6" t="s">
        <v>85</v>
      </c>
      <c r="F199" s="6" t="s">
        <v>1225</v>
      </c>
      <c r="G199" s="18">
        <v>45</v>
      </c>
      <c r="H199">
        <v>43</v>
      </c>
      <c r="I199">
        <v>31</v>
      </c>
      <c r="J199" s="7" t="s">
        <v>697</v>
      </c>
      <c r="K199" s="7" t="s">
        <v>1226</v>
      </c>
      <c r="L199" s="7" t="s">
        <v>1227</v>
      </c>
      <c r="M199" s="7" t="s">
        <v>1228</v>
      </c>
      <c r="N199" s="7" t="s">
        <v>1229</v>
      </c>
      <c r="O199" s="7" t="s">
        <v>93</v>
      </c>
      <c r="P199" s="7" t="s">
        <v>209</v>
      </c>
      <c r="Q199" s="7" t="s">
        <v>93</v>
      </c>
      <c r="R199" s="7"/>
      <c r="S199" s="8"/>
      <c r="T199" s="8"/>
      <c r="U199" s="9" t="str">
        <f>IF(COUNTIFS(Contacts_Activation!D:D,D199,Contacts_Activation!N:N,"oui")&gt;0,"oui","non")</f>
        <v>oui</v>
      </c>
      <c r="V199" s="9" t="str">
        <f>IF(COUNTIFS(Travaux!C:C,D199,Travaux!X:X,"en_cours")&gt;0,"travaux_en_cours",IF(COUNTIFS(Ventes!C:C,D199,Ventes!L:L,"signature")&gt;0,"vente_signature",IF(COUNTIFS(Ventes!C:C,D199,Ventes!AD:AD,"oui")&gt;0,"vente_bloquee",IF(COUNTIFS(Gestion_Locative!C:C,D199,Gestion_Locative!O:O,"incomplet")&gt;0,"gestion_fragile","stable"))))</f>
        <v>vente_bloquee</v>
      </c>
    </row>
    <row r="200" spans="1:22" ht="27.6" hidden="1" x14ac:dyDescent="0.3">
      <c r="A200" s="6" t="s">
        <v>292</v>
      </c>
      <c r="B200" s="1" t="s">
        <v>4522</v>
      </c>
      <c r="C200" s="6" t="s">
        <v>1073</v>
      </c>
      <c r="D200" s="6" t="s">
        <v>1230</v>
      </c>
      <c r="E200" s="6" t="s">
        <v>85</v>
      </c>
      <c r="F200" s="6" t="s">
        <v>1231</v>
      </c>
      <c r="G200" s="18">
        <v>45</v>
      </c>
      <c r="H200">
        <v>43</v>
      </c>
      <c r="I200">
        <v>31</v>
      </c>
      <c r="J200" s="7" t="s">
        <v>1232</v>
      </c>
      <c r="K200" s="7" t="s">
        <v>1233</v>
      </c>
      <c r="L200" s="7" t="s">
        <v>1234</v>
      </c>
      <c r="M200" s="7"/>
      <c r="N200" s="7"/>
      <c r="O200" s="7" t="s">
        <v>93</v>
      </c>
      <c r="P200" s="7" t="s">
        <v>209</v>
      </c>
      <c r="Q200" s="7" t="s">
        <v>93</v>
      </c>
      <c r="R200" s="7"/>
      <c r="S200" s="8"/>
      <c r="T200" s="8"/>
      <c r="U200" s="9" t="str">
        <f>IF(COUNTIFS(Contacts_Activation!D:D,D200,Contacts_Activation!N:N,"oui")&gt;0,"oui","non")</f>
        <v>oui</v>
      </c>
      <c r="V200" s="9" t="str">
        <f>IF(COUNTIFS(Travaux!C:C,D200,Travaux!X:X,"en_cours")&gt;0,"travaux_en_cours",IF(COUNTIFS(Ventes!C:C,D200,Ventes!L:L,"signature")&gt;0,"vente_signature",IF(COUNTIFS(Ventes!C:C,D200,Ventes!AD:AD,"oui")&gt;0,"vente_bloquee",IF(COUNTIFS(Gestion_Locative!C:C,D200,Gestion_Locative!O:O,"incomplet")&gt;0,"gestion_fragile","stable"))))</f>
        <v>vente_bloquee</v>
      </c>
    </row>
    <row r="201" spans="1:22" ht="27.6" hidden="1" x14ac:dyDescent="0.3">
      <c r="A201" s="6" t="s">
        <v>292</v>
      </c>
      <c r="B201" s="1" t="s">
        <v>4522</v>
      </c>
      <c r="C201" s="6" t="s">
        <v>1073</v>
      </c>
      <c r="D201" s="6" t="s">
        <v>1235</v>
      </c>
      <c r="E201" s="6" t="s">
        <v>85</v>
      </c>
      <c r="F201" s="6" t="s">
        <v>1236</v>
      </c>
      <c r="G201" s="18">
        <v>45</v>
      </c>
      <c r="H201">
        <v>43</v>
      </c>
      <c r="I201">
        <v>31</v>
      </c>
      <c r="J201" s="7" t="s">
        <v>299</v>
      </c>
      <c r="K201" s="7" t="s">
        <v>1237</v>
      </c>
      <c r="L201" s="7" t="s">
        <v>1238</v>
      </c>
      <c r="M201" s="7" t="s">
        <v>1239</v>
      </c>
      <c r="N201" s="7"/>
      <c r="O201" s="7" t="s">
        <v>93</v>
      </c>
      <c r="P201" s="7" t="s">
        <v>209</v>
      </c>
      <c r="Q201" s="7" t="s">
        <v>93</v>
      </c>
      <c r="R201" s="7"/>
      <c r="S201" s="8"/>
      <c r="T201" s="8"/>
      <c r="U201" s="9" t="str">
        <f>IF(COUNTIFS(Contacts_Activation!D:D,D201,Contacts_Activation!N:N,"oui")&gt;0,"oui","non")</f>
        <v>oui</v>
      </c>
      <c r="V201" s="9" t="str">
        <f>IF(COUNTIFS(Travaux!C:C,D201,Travaux!X:X,"en_cours")&gt;0,"travaux_en_cours",IF(COUNTIFS(Ventes!C:C,D201,Ventes!L:L,"signature")&gt;0,"vente_signature",IF(COUNTIFS(Ventes!C:C,D201,Ventes!AD:AD,"oui")&gt;0,"vente_bloquee",IF(COUNTIFS(Gestion_Locative!C:C,D201,Gestion_Locative!O:O,"incomplet")&gt;0,"gestion_fragile","stable"))))</f>
        <v>vente_bloquee</v>
      </c>
    </row>
    <row r="202" spans="1:22" ht="27.6" hidden="1" x14ac:dyDescent="0.3">
      <c r="A202" s="6" t="s">
        <v>292</v>
      </c>
      <c r="B202" s="1" t="s">
        <v>4522</v>
      </c>
      <c r="C202" s="6" t="s">
        <v>1073</v>
      </c>
      <c r="D202" s="6" t="s">
        <v>1240</v>
      </c>
      <c r="E202" s="6" t="s">
        <v>85</v>
      </c>
      <c r="F202" s="6" t="s">
        <v>1241</v>
      </c>
      <c r="G202" s="18">
        <v>45</v>
      </c>
      <c r="H202">
        <v>43</v>
      </c>
      <c r="I202">
        <v>31</v>
      </c>
      <c r="J202" s="7" t="s">
        <v>1090</v>
      </c>
      <c r="K202" s="7" t="s">
        <v>1242</v>
      </c>
      <c r="L202" s="7" t="s">
        <v>1243</v>
      </c>
      <c r="M202" s="7"/>
      <c r="N202" s="7"/>
      <c r="O202" s="7" t="s">
        <v>93</v>
      </c>
      <c r="P202" s="7" t="s">
        <v>209</v>
      </c>
      <c r="Q202" s="7" t="s">
        <v>93</v>
      </c>
      <c r="R202" s="7"/>
      <c r="S202" s="8"/>
      <c r="T202" s="8"/>
      <c r="U202" s="9" t="str">
        <f>IF(COUNTIFS(Contacts_Activation!D:D,D202,Contacts_Activation!N:N,"oui")&gt;0,"oui","non")</f>
        <v>oui</v>
      </c>
      <c r="V202" s="9" t="str">
        <f>IF(COUNTIFS(Travaux!C:C,D202,Travaux!X:X,"en_cours")&gt;0,"travaux_en_cours",IF(COUNTIFS(Ventes!C:C,D202,Ventes!L:L,"signature")&gt;0,"vente_signature",IF(COUNTIFS(Ventes!C:C,D202,Ventes!AD:AD,"oui")&gt;0,"vente_bloquee",IF(COUNTIFS(Gestion_Locative!C:C,D202,Gestion_Locative!O:O,"incomplet")&gt;0,"gestion_fragile","stable"))))</f>
        <v>vente_bloquee</v>
      </c>
    </row>
    <row r="203" spans="1:22" ht="41.4" hidden="1" x14ac:dyDescent="0.3">
      <c r="A203" s="6" t="s">
        <v>292</v>
      </c>
      <c r="B203" s="1" t="s">
        <v>4522</v>
      </c>
      <c r="C203" s="6" t="s">
        <v>1073</v>
      </c>
      <c r="D203" s="6" t="s">
        <v>1244</v>
      </c>
      <c r="E203" s="6" t="s">
        <v>85</v>
      </c>
      <c r="F203" s="6" t="s">
        <v>1245</v>
      </c>
      <c r="G203" s="18">
        <v>45</v>
      </c>
      <c r="H203">
        <v>43</v>
      </c>
      <c r="I203">
        <v>31</v>
      </c>
      <c r="J203" s="7" t="s">
        <v>1246</v>
      </c>
      <c r="K203" s="7" t="s">
        <v>1247</v>
      </c>
      <c r="L203" s="7" t="s">
        <v>1248</v>
      </c>
      <c r="M203" s="7"/>
      <c r="N203" s="7"/>
      <c r="O203" s="7" t="s">
        <v>93</v>
      </c>
      <c r="P203" s="7" t="s">
        <v>209</v>
      </c>
      <c r="Q203" s="7" t="s">
        <v>93</v>
      </c>
      <c r="R203" s="7"/>
      <c r="S203" s="8"/>
      <c r="T203" s="8"/>
      <c r="U203" s="9" t="str">
        <f>IF(COUNTIFS(Contacts_Activation!D:D,D203,Contacts_Activation!N:N,"oui")&gt;0,"oui","non")</f>
        <v>oui</v>
      </c>
      <c r="V203" s="9" t="str">
        <f>IF(COUNTIFS(Travaux!C:C,D203,Travaux!X:X,"en_cours")&gt;0,"travaux_en_cours",IF(COUNTIFS(Ventes!C:C,D203,Ventes!L:L,"signature")&gt;0,"vente_signature",IF(COUNTIFS(Ventes!C:C,D203,Ventes!AD:AD,"oui")&gt;0,"vente_bloquee",IF(COUNTIFS(Gestion_Locative!C:C,D203,Gestion_Locative!O:O,"incomplet")&gt;0,"gestion_fragile","stable"))))</f>
        <v>vente_bloquee</v>
      </c>
    </row>
    <row r="204" spans="1:22" ht="27.6" hidden="1" x14ac:dyDescent="0.3">
      <c r="A204" s="6" t="s">
        <v>292</v>
      </c>
      <c r="B204" s="1" t="s">
        <v>4522</v>
      </c>
      <c r="C204" s="6" t="s">
        <v>1073</v>
      </c>
      <c r="D204" s="6" t="s">
        <v>1249</v>
      </c>
      <c r="E204" s="6" t="s">
        <v>85</v>
      </c>
      <c r="F204" s="6" t="s">
        <v>1250</v>
      </c>
      <c r="G204" s="18">
        <v>45</v>
      </c>
      <c r="H204">
        <v>43</v>
      </c>
      <c r="I204">
        <v>31</v>
      </c>
      <c r="J204" s="7" t="s">
        <v>1251</v>
      </c>
      <c r="K204" s="7" t="s">
        <v>1252</v>
      </c>
      <c r="L204" s="7" t="s">
        <v>1253</v>
      </c>
      <c r="M204" s="7"/>
      <c r="N204" s="7"/>
      <c r="O204" s="7" t="s">
        <v>93</v>
      </c>
      <c r="P204" s="7" t="s">
        <v>209</v>
      </c>
      <c r="Q204" s="7" t="s">
        <v>93</v>
      </c>
      <c r="R204" s="7"/>
      <c r="S204" s="8"/>
      <c r="T204" s="8"/>
      <c r="U204" s="9" t="str">
        <f>IF(COUNTIFS(Contacts_Activation!D:D,D204,Contacts_Activation!N:N,"oui")&gt;0,"oui","non")</f>
        <v>oui</v>
      </c>
      <c r="V204" s="9" t="str">
        <f>IF(COUNTIFS(Travaux!C:C,D204,Travaux!X:X,"en_cours")&gt;0,"travaux_en_cours",IF(COUNTIFS(Ventes!C:C,D204,Ventes!L:L,"signature")&gt;0,"vente_signature",IF(COUNTIFS(Ventes!C:C,D204,Ventes!AD:AD,"oui")&gt;0,"vente_bloquee",IF(COUNTIFS(Gestion_Locative!C:C,D204,Gestion_Locative!O:O,"incomplet")&gt;0,"gestion_fragile","stable"))))</f>
        <v>vente_bloquee</v>
      </c>
    </row>
    <row r="205" spans="1:22" ht="27.6" hidden="1" x14ac:dyDescent="0.3">
      <c r="A205" s="6" t="s">
        <v>292</v>
      </c>
      <c r="B205" s="1" t="s">
        <v>4522</v>
      </c>
      <c r="C205" s="6" t="s">
        <v>1073</v>
      </c>
      <c r="D205" s="6" t="s">
        <v>1254</v>
      </c>
      <c r="E205" s="6" t="s">
        <v>85</v>
      </c>
      <c r="F205" s="6" t="s">
        <v>1255</v>
      </c>
      <c r="G205" s="18">
        <v>45</v>
      </c>
      <c r="H205">
        <v>43</v>
      </c>
      <c r="I205">
        <v>31</v>
      </c>
      <c r="J205" s="7" t="s">
        <v>1256</v>
      </c>
      <c r="K205" s="7" t="s">
        <v>1257</v>
      </c>
      <c r="L205" s="7" t="s">
        <v>1258</v>
      </c>
      <c r="M205" s="7"/>
      <c r="N205" s="7"/>
      <c r="O205" s="7" t="s">
        <v>93</v>
      </c>
      <c r="P205" s="7" t="s">
        <v>209</v>
      </c>
      <c r="Q205" s="7" t="s">
        <v>93</v>
      </c>
      <c r="R205" s="7"/>
      <c r="S205" s="8"/>
      <c r="T205" s="8"/>
      <c r="U205" s="9" t="str">
        <f>IF(COUNTIFS(Contacts_Activation!D:D,D205,Contacts_Activation!N:N,"oui")&gt;0,"oui","non")</f>
        <v>oui</v>
      </c>
      <c r="V205" s="9" t="str">
        <f>IF(COUNTIFS(Travaux!C:C,D205,Travaux!X:X,"en_cours")&gt;0,"travaux_en_cours",IF(COUNTIFS(Ventes!C:C,D205,Ventes!L:L,"signature")&gt;0,"vente_signature",IF(COUNTIFS(Ventes!C:C,D205,Ventes!AD:AD,"oui")&gt;0,"vente_bloquee",IF(COUNTIFS(Gestion_Locative!C:C,D205,Gestion_Locative!O:O,"incomplet")&gt;0,"gestion_fragile","stable"))))</f>
        <v>vente_bloquee</v>
      </c>
    </row>
    <row r="206" spans="1:22" ht="27.6" hidden="1" x14ac:dyDescent="0.3">
      <c r="A206" s="6" t="s">
        <v>292</v>
      </c>
      <c r="B206" s="1" t="s">
        <v>4522</v>
      </c>
      <c r="C206" s="6" t="s">
        <v>1073</v>
      </c>
      <c r="D206" s="6" t="s">
        <v>1259</v>
      </c>
      <c r="E206" s="6" t="s">
        <v>85</v>
      </c>
      <c r="F206" s="6" t="s">
        <v>1260</v>
      </c>
      <c r="G206" s="18">
        <v>45</v>
      </c>
      <c r="H206">
        <v>43</v>
      </c>
      <c r="I206">
        <v>31</v>
      </c>
      <c r="J206" s="7"/>
      <c r="K206" s="7"/>
      <c r="L206" s="7"/>
      <c r="M206" s="7"/>
      <c r="N206" s="7"/>
      <c r="O206" s="7" t="s">
        <v>93</v>
      </c>
      <c r="P206" s="7" t="s">
        <v>209</v>
      </c>
      <c r="Q206" s="7" t="s">
        <v>93</v>
      </c>
      <c r="R206" s="7"/>
      <c r="S206" s="8"/>
      <c r="T206" s="8"/>
      <c r="U206" s="9" t="str">
        <f>IF(COUNTIFS(Contacts_Activation!D:D,D206,Contacts_Activation!N:N,"oui")&gt;0,"oui","non")</f>
        <v>oui</v>
      </c>
      <c r="V206" s="9" t="str">
        <f>IF(COUNTIFS(Travaux!C:C,D206,Travaux!X:X,"en_cours")&gt;0,"travaux_en_cours",IF(COUNTIFS(Ventes!C:C,D206,Ventes!L:L,"signature")&gt;0,"vente_signature",IF(COUNTIFS(Ventes!C:C,D206,Ventes!AD:AD,"oui")&gt;0,"vente_bloquee",IF(COUNTIFS(Gestion_Locative!C:C,D206,Gestion_Locative!O:O,"incomplet")&gt;0,"gestion_fragile","stable"))))</f>
        <v>vente_bloquee</v>
      </c>
    </row>
    <row r="207" spans="1:22" ht="27.6" hidden="1" x14ac:dyDescent="0.3">
      <c r="A207" s="6" t="s">
        <v>292</v>
      </c>
      <c r="B207" s="1" t="s">
        <v>4522</v>
      </c>
      <c r="C207" s="6" t="s">
        <v>1073</v>
      </c>
      <c r="D207" s="6" t="s">
        <v>1261</v>
      </c>
      <c r="E207" s="6" t="s">
        <v>85</v>
      </c>
      <c r="F207" s="6" t="s">
        <v>1262</v>
      </c>
      <c r="G207" s="18">
        <v>45</v>
      </c>
      <c r="H207">
        <v>43</v>
      </c>
      <c r="I207">
        <v>31</v>
      </c>
      <c r="J207" s="7" t="s">
        <v>1263</v>
      </c>
      <c r="K207" s="7" t="s">
        <v>1264</v>
      </c>
      <c r="L207" s="7" t="s">
        <v>1265</v>
      </c>
      <c r="M207" s="7"/>
      <c r="N207" s="7"/>
      <c r="O207" s="7" t="s">
        <v>93</v>
      </c>
      <c r="P207" s="7" t="s">
        <v>209</v>
      </c>
      <c r="Q207" s="7" t="s">
        <v>93</v>
      </c>
      <c r="R207" s="7"/>
      <c r="S207" s="8"/>
      <c r="T207" s="8"/>
      <c r="U207" s="9" t="str">
        <f>IF(COUNTIFS(Contacts_Activation!D:D,D207,Contacts_Activation!N:N,"oui")&gt;0,"oui","non")</f>
        <v>oui</v>
      </c>
      <c r="V207" s="9" t="str">
        <f>IF(COUNTIFS(Travaux!C:C,D207,Travaux!X:X,"en_cours")&gt;0,"travaux_en_cours",IF(COUNTIFS(Ventes!C:C,D207,Ventes!L:L,"signature")&gt;0,"vente_signature",IF(COUNTIFS(Ventes!C:C,D207,Ventes!AD:AD,"oui")&gt;0,"vente_bloquee",IF(COUNTIFS(Gestion_Locative!C:C,D207,Gestion_Locative!O:O,"incomplet")&gt;0,"gestion_fragile","stable"))))</f>
        <v>vente_bloquee</v>
      </c>
    </row>
    <row r="208" spans="1:22" ht="27.6" hidden="1" x14ac:dyDescent="0.3">
      <c r="A208" s="6" t="s">
        <v>292</v>
      </c>
      <c r="B208" s="1" t="s">
        <v>4522</v>
      </c>
      <c r="C208" s="6" t="s">
        <v>1073</v>
      </c>
      <c r="D208" s="6" t="s">
        <v>1266</v>
      </c>
      <c r="E208" s="6" t="s">
        <v>85</v>
      </c>
      <c r="F208" s="6" t="s">
        <v>1267</v>
      </c>
      <c r="G208" s="18">
        <v>45</v>
      </c>
      <c r="H208">
        <v>43</v>
      </c>
      <c r="I208">
        <v>31</v>
      </c>
      <c r="J208" s="7" t="s">
        <v>1268</v>
      </c>
      <c r="K208" s="7" t="s">
        <v>1269</v>
      </c>
      <c r="L208" s="7" t="s">
        <v>1270</v>
      </c>
      <c r="M208" s="7"/>
      <c r="N208" s="7"/>
      <c r="O208" s="7" t="s">
        <v>93</v>
      </c>
      <c r="P208" s="7" t="s">
        <v>209</v>
      </c>
      <c r="Q208" s="7" t="s">
        <v>93</v>
      </c>
      <c r="R208" s="7"/>
      <c r="S208" s="8"/>
      <c r="T208" s="8"/>
      <c r="U208" s="9" t="str">
        <f>IF(COUNTIFS(Contacts_Activation!D:D,D208,Contacts_Activation!N:N,"oui")&gt;0,"oui","non")</f>
        <v>oui</v>
      </c>
      <c r="V208" s="9" t="str">
        <f>IF(COUNTIFS(Travaux!C:C,D208,Travaux!X:X,"en_cours")&gt;0,"travaux_en_cours",IF(COUNTIFS(Ventes!C:C,D208,Ventes!L:L,"signature")&gt;0,"vente_signature",IF(COUNTIFS(Ventes!C:C,D208,Ventes!AD:AD,"oui")&gt;0,"vente_bloquee",IF(COUNTIFS(Gestion_Locative!C:C,D208,Gestion_Locative!O:O,"incomplet")&gt;0,"gestion_fragile","stable"))))</f>
        <v>vente_bloquee</v>
      </c>
    </row>
    <row r="209" spans="1:22" ht="27.6" hidden="1" x14ac:dyDescent="0.3">
      <c r="A209" s="6" t="s">
        <v>292</v>
      </c>
      <c r="B209" s="1" t="s">
        <v>4522</v>
      </c>
      <c r="C209" s="6" t="s">
        <v>1073</v>
      </c>
      <c r="D209" s="6" t="s">
        <v>1271</v>
      </c>
      <c r="E209" s="6" t="s">
        <v>85</v>
      </c>
      <c r="F209" s="6" t="s">
        <v>1272</v>
      </c>
      <c r="G209" s="18">
        <v>45</v>
      </c>
      <c r="H209">
        <v>43</v>
      </c>
      <c r="I209">
        <v>31</v>
      </c>
      <c r="J209" s="7" t="s">
        <v>1273</v>
      </c>
      <c r="K209" s="7" t="s">
        <v>1274</v>
      </c>
      <c r="L209" s="7" t="s">
        <v>1275</v>
      </c>
      <c r="M209" s="7" t="s">
        <v>1276</v>
      </c>
      <c r="N209" s="7"/>
      <c r="O209" s="7" t="s">
        <v>93</v>
      </c>
      <c r="P209" s="7" t="s">
        <v>209</v>
      </c>
      <c r="Q209" s="7" t="s">
        <v>93</v>
      </c>
      <c r="R209" s="7"/>
      <c r="S209" s="8"/>
      <c r="T209" s="8"/>
      <c r="U209" s="9" t="str">
        <f>IF(COUNTIFS(Contacts_Activation!D:D,D209,Contacts_Activation!N:N,"oui")&gt;0,"oui","non")</f>
        <v>oui</v>
      </c>
      <c r="V209" s="9" t="str">
        <f>IF(COUNTIFS(Travaux!C:C,D209,Travaux!X:X,"en_cours")&gt;0,"travaux_en_cours",IF(COUNTIFS(Ventes!C:C,D209,Ventes!L:L,"signature")&gt;0,"vente_signature",IF(COUNTIFS(Ventes!C:C,D209,Ventes!AD:AD,"oui")&gt;0,"vente_bloquee",IF(COUNTIFS(Gestion_Locative!C:C,D209,Gestion_Locative!O:O,"incomplet")&gt;0,"gestion_fragile","stable"))))</f>
        <v>vente_bloquee</v>
      </c>
    </row>
    <row r="210" spans="1:22" ht="27.6" hidden="1" x14ac:dyDescent="0.3">
      <c r="A210" s="6" t="s">
        <v>292</v>
      </c>
      <c r="B210" s="1" t="s">
        <v>4522</v>
      </c>
      <c r="C210" s="6" t="s">
        <v>1073</v>
      </c>
      <c r="D210" s="6" t="s">
        <v>1277</v>
      </c>
      <c r="E210" s="6" t="s">
        <v>85</v>
      </c>
      <c r="F210" s="6" t="s">
        <v>1278</v>
      </c>
      <c r="G210" s="18">
        <v>45</v>
      </c>
      <c r="H210">
        <v>43</v>
      </c>
      <c r="I210">
        <v>31</v>
      </c>
      <c r="J210" s="7" t="s">
        <v>1279</v>
      </c>
      <c r="K210" s="7" t="s">
        <v>1280</v>
      </c>
      <c r="L210" s="7" t="s">
        <v>1281</v>
      </c>
      <c r="M210" s="7" t="s">
        <v>1282</v>
      </c>
      <c r="N210" s="7"/>
      <c r="O210" s="7" t="s">
        <v>93</v>
      </c>
      <c r="P210" s="7" t="s">
        <v>209</v>
      </c>
      <c r="Q210" s="7" t="s">
        <v>93</v>
      </c>
      <c r="R210" s="7"/>
      <c r="S210" s="8"/>
      <c r="T210" s="8"/>
      <c r="U210" s="9" t="str">
        <f>IF(COUNTIFS(Contacts_Activation!D:D,D210,Contacts_Activation!N:N,"oui")&gt;0,"oui","non")</f>
        <v>oui</v>
      </c>
      <c r="V210" s="9" t="str">
        <f>IF(COUNTIFS(Travaux!C:C,D210,Travaux!X:X,"en_cours")&gt;0,"travaux_en_cours",IF(COUNTIFS(Ventes!C:C,D210,Ventes!L:L,"signature")&gt;0,"vente_signature",IF(COUNTIFS(Ventes!C:C,D210,Ventes!AD:AD,"oui")&gt;0,"vente_bloquee",IF(COUNTIFS(Gestion_Locative!C:C,D210,Gestion_Locative!O:O,"incomplet")&gt;0,"gestion_fragile","stable"))))</f>
        <v>vente_bloquee</v>
      </c>
    </row>
    <row r="211" spans="1:22" ht="27.6" hidden="1" x14ac:dyDescent="0.3">
      <c r="A211" s="6" t="s">
        <v>292</v>
      </c>
      <c r="B211" s="1" t="s">
        <v>4522</v>
      </c>
      <c r="C211" s="6" t="s">
        <v>1073</v>
      </c>
      <c r="D211" s="6" t="s">
        <v>1283</v>
      </c>
      <c r="E211" s="6" t="s">
        <v>85</v>
      </c>
      <c r="F211" s="6" t="s">
        <v>1284</v>
      </c>
      <c r="G211" s="18">
        <v>45</v>
      </c>
      <c r="H211">
        <v>43</v>
      </c>
      <c r="I211">
        <v>31</v>
      </c>
      <c r="J211" s="7" t="s">
        <v>1285</v>
      </c>
      <c r="K211" s="7" t="s">
        <v>1286</v>
      </c>
      <c r="L211" s="7" t="s">
        <v>1287</v>
      </c>
      <c r="M211" s="7"/>
      <c r="N211" s="7"/>
      <c r="O211" s="7" t="s">
        <v>93</v>
      </c>
      <c r="P211" s="7" t="s">
        <v>209</v>
      </c>
      <c r="Q211" s="7" t="s">
        <v>93</v>
      </c>
      <c r="R211" s="7"/>
      <c r="S211" s="8"/>
      <c r="T211" s="8"/>
      <c r="U211" s="9" t="str">
        <f>IF(COUNTIFS(Contacts_Activation!D:D,D211,Contacts_Activation!N:N,"oui")&gt;0,"oui","non")</f>
        <v>oui</v>
      </c>
      <c r="V211" s="9" t="str">
        <f>IF(COUNTIFS(Travaux!C:C,D211,Travaux!X:X,"en_cours")&gt;0,"travaux_en_cours",IF(COUNTIFS(Ventes!C:C,D211,Ventes!L:L,"signature")&gt;0,"vente_signature",IF(COUNTIFS(Ventes!C:C,D211,Ventes!AD:AD,"oui")&gt;0,"vente_bloquee",IF(COUNTIFS(Gestion_Locative!C:C,D211,Gestion_Locative!O:O,"incomplet")&gt;0,"gestion_fragile","stable"))))</f>
        <v>vente_bloquee</v>
      </c>
    </row>
    <row r="212" spans="1:22" ht="14.4" hidden="1" x14ac:dyDescent="0.3">
      <c r="A212" s="6" t="s">
        <v>202</v>
      </c>
      <c r="B212" s="1" t="s">
        <v>4510</v>
      </c>
      <c r="C212" s="6" t="s">
        <v>1288</v>
      </c>
      <c r="D212" s="6" t="s">
        <v>1289</v>
      </c>
      <c r="E212" s="6" t="s">
        <v>1290</v>
      </c>
      <c r="F212" s="6" t="s">
        <v>1291</v>
      </c>
      <c r="G212" s="18">
        <v>40</v>
      </c>
      <c r="H212">
        <v>69</v>
      </c>
      <c r="I212">
        <v>26</v>
      </c>
      <c r="J212" s="7" t="s">
        <v>1292</v>
      </c>
      <c r="K212" s="7" t="s">
        <v>892</v>
      </c>
      <c r="L212" s="7" t="s">
        <v>1293</v>
      </c>
      <c r="M212" s="7"/>
      <c r="N212" s="7"/>
      <c r="O212" s="7" t="s">
        <v>90</v>
      </c>
      <c r="P212" s="7"/>
      <c r="Q212" s="7" t="s">
        <v>93</v>
      </c>
      <c r="R212" s="7"/>
      <c r="S212" s="8"/>
      <c r="T212" s="8"/>
      <c r="U212" s="9" t="str">
        <f>IF(COUNTIFS(Contacts_Activation!D:D,D212,Contacts_Activation!N:N,"oui")&gt;0,"oui","non")</f>
        <v>oui</v>
      </c>
      <c r="V212" s="9" t="str">
        <f>IF(COUNTIFS(Travaux!C:C,D212,Travaux!X:X,"en_cours")&gt;0,"travaux_en_cours",IF(COUNTIFS(Ventes!C:C,D212,Ventes!L:L,"signature")&gt;0,"vente_signature",IF(COUNTIFS(Ventes!C:C,D212,Ventes!AD:AD,"oui")&gt;0,"vente_bloquee",IF(COUNTIFS(Gestion_Locative!C:C,D212,Gestion_Locative!O:O,"incomplet")&gt;0,"gestion_fragile","stable"))))</f>
        <v>vente_bloquee</v>
      </c>
    </row>
    <row r="213" spans="1:22" ht="14.4" hidden="1" x14ac:dyDescent="0.3">
      <c r="A213" s="6" t="s">
        <v>202</v>
      </c>
      <c r="B213" s="1" t="s">
        <v>4510</v>
      </c>
      <c r="C213" s="6" t="s">
        <v>1288</v>
      </c>
      <c r="D213" s="6" t="s">
        <v>1294</v>
      </c>
      <c r="E213" s="6" t="s">
        <v>1290</v>
      </c>
      <c r="F213" s="6" t="s">
        <v>1295</v>
      </c>
      <c r="G213" s="18">
        <v>40</v>
      </c>
      <c r="H213">
        <v>69</v>
      </c>
      <c r="I213">
        <v>26</v>
      </c>
      <c r="J213" s="7" t="s">
        <v>1296</v>
      </c>
      <c r="K213" s="7" t="s">
        <v>1297</v>
      </c>
      <c r="L213" s="7" t="s">
        <v>1298</v>
      </c>
      <c r="M213" s="7"/>
      <c r="N213" s="7" t="s">
        <v>1299</v>
      </c>
      <c r="O213" s="7" t="s">
        <v>90</v>
      </c>
      <c r="P213" s="7"/>
      <c r="Q213" s="7" t="s">
        <v>93</v>
      </c>
      <c r="R213" s="7"/>
      <c r="S213" s="8"/>
      <c r="T213" s="8"/>
      <c r="U213" s="9" t="str">
        <f>IF(COUNTIFS(Contacts_Activation!D:D,D213,Contacts_Activation!N:N,"oui")&gt;0,"oui","non")</f>
        <v>oui</v>
      </c>
      <c r="V213" s="9" t="str">
        <f>IF(COUNTIFS(Travaux!C:C,D213,Travaux!X:X,"en_cours")&gt;0,"travaux_en_cours",IF(COUNTIFS(Ventes!C:C,D213,Ventes!L:L,"signature")&gt;0,"vente_signature",IF(COUNTIFS(Ventes!C:C,D213,Ventes!AD:AD,"oui")&gt;0,"vente_bloquee",IF(COUNTIFS(Gestion_Locative!C:C,D213,Gestion_Locative!O:O,"incomplet")&gt;0,"gestion_fragile","stable"))))</f>
        <v>vente_bloquee</v>
      </c>
    </row>
    <row r="214" spans="1:22" ht="14.4" hidden="1" x14ac:dyDescent="0.3">
      <c r="A214" s="6" t="s">
        <v>202</v>
      </c>
      <c r="B214" s="1" t="s">
        <v>4510</v>
      </c>
      <c r="C214" s="6" t="s">
        <v>1288</v>
      </c>
      <c r="D214" s="6" t="s">
        <v>1300</v>
      </c>
      <c r="E214" s="6" t="s">
        <v>1290</v>
      </c>
      <c r="F214" s="6" t="s">
        <v>1301</v>
      </c>
      <c r="G214" s="18">
        <v>40</v>
      </c>
      <c r="H214">
        <v>69</v>
      </c>
      <c r="I214">
        <v>26</v>
      </c>
      <c r="J214" s="7" t="s">
        <v>1302</v>
      </c>
      <c r="K214" s="7" t="s">
        <v>1303</v>
      </c>
      <c r="L214" s="7" t="s">
        <v>1304</v>
      </c>
      <c r="M214" s="7"/>
      <c r="N214" s="7"/>
      <c r="O214" s="7" t="s">
        <v>90</v>
      </c>
      <c r="P214" s="7"/>
      <c r="Q214" s="7" t="s">
        <v>93</v>
      </c>
      <c r="R214" s="7"/>
      <c r="S214" s="8"/>
      <c r="T214" s="8"/>
      <c r="U214" s="9" t="str">
        <f>IF(COUNTIFS(Contacts_Activation!D:D,D214,Contacts_Activation!N:N,"oui")&gt;0,"oui","non")</f>
        <v>oui</v>
      </c>
      <c r="V214" s="9" t="str">
        <f>IF(COUNTIFS(Travaux!C:C,D214,Travaux!X:X,"en_cours")&gt;0,"travaux_en_cours",IF(COUNTIFS(Ventes!C:C,D214,Ventes!L:L,"signature")&gt;0,"vente_signature",IF(COUNTIFS(Ventes!C:C,D214,Ventes!AD:AD,"oui")&gt;0,"vente_bloquee",IF(COUNTIFS(Gestion_Locative!C:C,D214,Gestion_Locative!O:O,"incomplet")&gt;0,"gestion_fragile","stable"))))</f>
        <v>vente_bloquee</v>
      </c>
    </row>
    <row r="215" spans="1:22" ht="14.4" hidden="1" x14ac:dyDescent="0.3">
      <c r="A215" s="6" t="s">
        <v>202</v>
      </c>
      <c r="B215" s="1" t="s">
        <v>4510</v>
      </c>
      <c r="C215" s="6" t="s">
        <v>1288</v>
      </c>
      <c r="D215" s="6" t="s">
        <v>1305</v>
      </c>
      <c r="E215" s="6" t="s">
        <v>1290</v>
      </c>
      <c r="F215" s="6" t="s">
        <v>1306</v>
      </c>
      <c r="G215" s="18">
        <v>40</v>
      </c>
      <c r="H215">
        <v>69</v>
      </c>
      <c r="I215">
        <v>26</v>
      </c>
      <c r="J215" s="7" t="s">
        <v>1307</v>
      </c>
      <c r="K215" s="7" t="s">
        <v>424</v>
      </c>
      <c r="L215" s="7" t="s">
        <v>1308</v>
      </c>
      <c r="M215" s="7"/>
      <c r="N215" s="7"/>
      <c r="O215" s="7" t="s">
        <v>90</v>
      </c>
      <c r="P215" s="7"/>
      <c r="Q215" s="7" t="s">
        <v>93</v>
      </c>
      <c r="R215" s="7"/>
      <c r="S215" s="8"/>
      <c r="T215" s="8"/>
      <c r="U215" s="9" t="str">
        <f>IF(COUNTIFS(Contacts_Activation!D:D,D215,Contacts_Activation!N:N,"oui")&gt;0,"oui","non")</f>
        <v>oui</v>
      </c>
      <c r="V215" s="9" t="str">
        <f>IF(COUNTIFS(Travaux!C:C,D215,Travaux!X:X,"en_cours")&gt;0,"travaux_en_cours",IF(COUNTIFS(Ventes!C:C,D215,Ventes!L:L,"signature")&gt;0,"vente_signature",IF(COUNTIFS(Ventes!C:C,D215,Ventes!AD:AD,"oui")&gt;0,"vente_bloquee",IF(COUNTIFS(Gestion_Locative!C:C,D215,Gestion_Locative!O:O,"incomplet")&gt;0,"gestion_fragile","stable"))))</f>
        <v>vente_bloquee</v>
      </c>
    </row>
    <row r="216" spans="1:22" ht="14.4" hidden="1" x14ac:dyDescent="0.3">
      <c r="A216" s="6" t="s">
        <v>202</v>
      </c>
      <c r="B216" s="1" t="s">
        <v>4510</v>
      </c>
      <c r="C216" s="6" t="s">
        <v>1288</v>
      </c>
      <c r="D216" s="6" t="s">
        <v>1309</v>
      </c>
      <c r="E216" s="6" t="s">
        <v>1290</v>
      </c>
      <c r="F216" s="6" t="s">
        <v>1310</v>
      </c>
      <c r="G216" s="18">
        <v>40</v>
      </c>
      <c r="H216">
        <v>69</v>
      </c>
      <c r="I216">
        <v>26</v>
      </c>
      <c r="J216" s="7" t="s">
        <v>1307</v>
      </c>
      <c r="K216" s="7" t="s">
        <v>1311</v>
      </c>
      <c r="L216" s="7" t="s">
        <v>1149</v>
      </c>
      <c r="M216" s="7"/>
      <c r="N216" s="7"/>
      <c r="O216" s="7" t="s">
        <v>90</v>
      </c>
      <c r="P216" s="7"/>
      <c r="Q216" s="7" t="s">
        <v>93</v>
      </c>
      <c r="R216" s="7"/>
      <c r="S216" s="8"/>
      <c r="T216" s="8"/>
      <c r="U216" s="9" t="str">
        <f>IF(COUNTIFS(Contacts_Activation!D:D,D216,Contacts_Activation!N:N,"oui")&gt;0,"oui","non")</f>
        <v>oui</v>
      </c>
      <c r="V216" s="9" t="str">
        <f>IF(COUNTIFS(Travaux!C:C,D216,Travaux!X:X,"en_cours")&gt;0,"travaux_en_cours",IF(COUNTIFS(Ventes!C:C,D216,Ventes!L:L,"signature")&gt;0,"vente_signature",IF(COUNTIFS(Ventes!C:C,D216,Ventes!AD:AD,"oui")&gt;0,"vente_bloquee",IF(COUNTIFS(Gestion_Locative!C:C,D216,Gestion_Locative!O:O,"incomplet")&gt;0,"gestion_fragile","stable"))))</f>
        <v>vente_bloquee</v>
      </c>
    </row>
    <row r="217" spans="1:22" ht="14.4" hidden="1" x14ac:dyDescent="0.3">
      <c r="A217" s="6" t="s">
        <v>202</v>
      </c>
      <c r="B217" s="1" t="s">
        <v>4510</v>
      </c>
      <c r="C217" s="6" t="s">
        <v>1288</v>
      </c>
      <c r="D217" s="6" t="s">
        <v>1312</v>
      </c>
      <c r="E217" s="6" t="s">
        <v>1290</v>
      </c>
      <c r="F217" s="6" t="s">
        <v>1313</v>
      </c>
      <c r="G217" s="18">
        <v>40</v>
      </c>
      <c r="H217">
        <v>69</v>
      </c>
      <c r="I217">
        <v>26</v>
      </c>
      <c r="J217" s="7" t="s">
        <v>1314</v>
      </c>
      <c r="K217" s="7" t="s">
        <v>1315</v>
      </c>
      <c r="L217" s="7" t="s">
        <v>1316</v>
      </c>
      <c r="M217" s="7"/>
      <c r="N217" s="7"/>
      <c r="O217" s="7" t="s">
        <v>90</v>
      </c>
      <c r="P217" s="7"/>
      <c r="Q217" s="7" t="s">
        <v>93</v>
      </c>
      <c r="R217" s="7"/>
      <c r="S217" s="8"/>
      <c r="T217" s="8"/>
      <c r="U217" s="9" t="str">
        <f>IF(COUNTIFS(Contacts_Activation!D:D,D217,Contacts_Activation!N:N,"oui")&gt;0,"oui","non")</f>
        <v>oui</v>
      </c>
      <c r="V217" s="9" t="str">
        <f>IF(COUNTIFS(Travaux!C:C,D217,Travaux!X:X,"en_cours")&gt;0,"travaux_en_cours",IF(COUNTIFS(Ventes!C:C,D217,Ventes!L:L,"signature")&gt;0,"vente_signature",IF(COUNTIFS(Ventes!C:C,D217,Ventes!AD:AD,"oui")&gt;0,"vente_bloquee",IF(COUNTIFS(Gestion_Locative!C:C,D217,Gestion_Locative!O:O,"incomplet")&gt;0,"gestion_fragile","stable"))))</f>
        <v>vente_bloquee</v>
      </c>
    </row>
    <row r="218" spans="1:22" ht="14.4" hidden="1" x14ac:dyDescent="0.3">
      <c r="A218" s="6" t="s">
        <v>202</v>
      </c>
      <c r="B218" s="1" t="s">
        <v>4510</v>
      </c>
      <c r="C218" s="6" t="s">
        <v>1288</v>
      </c>
      <c r="D218" s="6" t="s">
        <v>1317</v>
      </c>
      <c r="E218" s="6" t="s">
        <v>1290</v>
      </c>
      <c r="F218" s="6" t="s">
        <v>1318</v>
      </c>
      <c r="G218" s="18">
        <v>40</v>
      </c>
      <c r="H218">
        <v>69</v>
      </c>
      <c r="I218">
        <v>26</v>
      </c>
      <c r="J218" s="7" t="s">
        <v>1319</v>
      </c>
      <c r="K218" s="7" t="s">
        <v>1320</v>
      </c>
      <c r="L218" s="7" t="s">
        <v>1321</v>
      </c>
      <c r="M218" s="7"/>
      <c r="N218" s="7"/>
      <c r="O218" s="7" t="s">
        <v>90</v>
      </c>
      <c r="P218" s="7"/>
      <c r="Q218" s="7" t="s">
        <v>93</v>
      </c>
      <c r="R218" s="7"/>
      <c r="S218" s="8"/>
      <c r="T218" s="8"/>
      <c r="U218" s="9" t="str">
        <f>IF(COUNTIFS(Contacts_Activation!D:D,D218,Contacts_Activation!N:N,"oui")&gt;0,"oui","non")</f>
        <v>oui</v>
      </c>
      <c r="V218" s="9" t="str">
        <f>IF(COUNTIFS(Travaux!C:C,D218,Travaux!X:X,"en_cours")&gt;0,"travaux_en_cours",IF(COUNTIFS(Ventes!C:C,D218,Ventes!L:L,"signature")&gt;0,"vente_signature",IF(COUNTIFS(Ventes!C:C,D218,Ventes!AD:AD,"oui")&gt;0,"vente_bloquee",IF(COUNTIFS(Gestion_Locative!C:C,D218,Gestion_Locative!O:O,"incomplet")&gt;0,"gestion_fragile","stable"))))</f>
        <v>vente_bloquee</v>
      </c>
    </row>
    <row r="219" spans="1:22" ht="14.4" hidden="1" x14ac:dyDescent="0.3">
      <c r="A219" s="6" t="s">
        <v>202</v>
      </c>
      <c r="B219" s="1" t="s">
        <v>4510</v>
      </c>
      <c r="C219" s="6" t="s">
        <v>1288</v>
      </c>
      <c r="D219" s="6" t="s">
        <v>1322</v>
      </c>
      <c r="E219" s="6" t="s">
        <v>1290</v>
      </c>
      <c r="F219" s="6" t="s">
        <v>1323</v>
      </c>
      <c r="G219" s="18">
        <v>40</v>
      </c>
      <c r="H219">
        <v>69</v>
      </c>
      <c r="I219">
        <v>26</v>
      </c>
      <c r="J219" s="7" t="s">
        <v>1324</v>
      </c>
      <c r="K219" s="7"/>
      <c r="L219" s="7" t="s">
        <v>1325</v>
      </c>
      <c r="M219" s="7" t="s">
        <v>1326</v>
      </c>
      <c r="N219" s="7"/>
      <c r="O219" s="7" t="s">
        <v>90</v>
      </c>
      <c r="P219" s="7"/>
      <c r="Q219" s="7" t="s">
        <v>93</v>
      </c>
      <c r="R219" s="7"/>
      <c r="S219" s="8"/>
      <c r="T219" s="8"/>
      <c r="U219" s="9" t="str">
        <f>IF(COUNTIFS(Contacts_Activation!D:D,D219,Contacts_Activation!N:N,"oui")&gt;0,"oui","non")</f>
        <v>oui</v>
      </c>
      <c r="V219" s="9" t="str">
        <f>IF(COUNTIFS(Travaux!C:C,D219,Travaux!X:X,"en_cours")&gt;0,"travaux_en_cours",IF(COUNTIFS(Ventes!C:C,D219,Ventes!L:L,"signature")&gt;0,"vente_signature",IF(COUNTIFS(Ventes!C:C,D219,Ventes!AD:AD,"oui")&gt;0,"vente_bloquee",IF(COUNTIFS(Gestion_Locative!C:C,D219,Gestion_Locative!O:O,"incomplet")&gt;0,"gestion_fragile","stable"))))</f>
        <v>vente_bloquee</v>
      </c>
    </row>
    <row r="220" spans="1:22" ht="14.4" hidden="1" x14ac:dyDescent="0.3">
      <c r="A220" s="6" t="s">
        <v>202</v>
      </c>
      <c r="B220" s="1" t="s">
        <v>4510</v>
      </c>
      <c r="C220" s="6" t="s">
        <v>1288</v>
      </c>
      <c r="D220" s="6" t="s">
        <v>1327</v>
      </c>
      <c r="E220" s="6" t="s">
        <v>1290</v>
      </c>
      <c r="F220" s="6" t="s">
        <v>1328</v>
      </c>
      <c r="G220" s="18">
        <v>40</v>
      </c>
      <c r="H220">
        <v>69</v>
      </c>
      <c r="I220">
        <v>26</v>
      </c>
      <c r="J220" s="7" t="s">
        <v>1329</v>
      </c>
      <c r="K220" s="7" t="s">
        <v>1330</v>
      </c>
      <c r="L220" s="7" t="s">
        <v>1331</v>
      </c>
      <c r="M220" s="7"/>
      <c r="N220" s="7"/>
      <c r="O220" s="7" t="s">
        <v>90</v>
      </c>
      <c r="P220" s="7"/>
      <c r="Q220" s="7" t="s">
        <v>93</v>
      </c>
      <c r="R220" s="7"/>
      <c r="S220" s="8"/>
      <c r="T220" s="8"/>
      <c r="U220" s="9" t="str">
        <f>IF(COUNTIFS(Contacts_Activation!D:D,D220,Contacts_Activation!N:N,"oui")&gt;0,"oui","non")</f>
        <v>oui</v>
      </c>
      <c r="V220" s="9" t="str">
        <f>IF(COUNTIFS(Travaux!C:C,D220,Travaux!X:X,"en_cours")&gt;0,"travaux_en_cours",IF(COUNTIFS(Ventes!C:C,D220,Ventes!L:L,"signature")&gt;0,"vente_signature",IF(COUNTIFS(Ventes!C:C,D220,Ventes!AD:AD,"oui")&gt;0,"vente_bloquee",IF(COUNTIFS(Gestion_Locative!C:C,D220,Gestion_Locative!O:O,"incomplet")&gt;0,"gestion_fragile","stable"))))</f>
        <v>vente_bloquee</v>
      </c>
    </row>
    <row r="221" spans="1:22" ht="14.4" hidden="1" x14ac:dyDescent="0.3">
      <c r="A221" s="6" t="s">
        <v>202</v>
      </c>
      <c r="B221" s="1" t="s">
        <v>4510</v>
      </c>
      <c r="C221" s="6" t="s">
        <v>1288</v>
      </c>
      <c r="D221" s="6" t="s">
        <v>1332</v>
      </c>
      <c r="E221" s="6" t="s">
        <v>1290</v>
      </c>
      <c r="F221" s="6" t="s">
        <v>1333</v>
      </c>
      <c r="G221" s="18">
        <v>40</v>
      </c>
      <c r="H221">
        <v>69</v>
      </c>
      <c r="I221">
        <v>26</v>
      </c>
      <c r="J221" s="7" t="s">
        <v>1334</v>
      </c>
      <c r="K221" s="7" t="s">
        <v>1037</v>
      </c>
      <c r="L221" s="7" t="s">
        <v>1335</v>
      </c>
      <c r="M221" s="7"/>
      <c r="N221" s="7"/>
      <c r="O221" s="7" t="s">
        <v>90</v>
      </c>
      <c r="P221" s="7"/>
      <c r="Q221" s="7" t="s">
        <v>93</v>
      </c>
      <c r="R221" s="7"/>
      <c r="S221" s="8"/>
      <c r="T221" s="8"/>
      <c r="U221" s="9" t="str">
        <f>IF(COUNTIFS(Contacts_Activation!D:D,D221,Contacts_Activation!N:N,"oui")&gt;0,"oui","non")</f>
        <v>oui</v>
      </c>
      <c r="V221" s="9" t="str">
        <f>IF(COUNTIFS(Travaux!C:C,D221,Travaux!X:X,"en_cours")&gt;0,"travaux_en_cours",IF(COUNTIFS(Ventes!C:C,D221,Ventes!L:L,"signature")&gt;0,"vente_signature",IF(COUNTIFS(Ventes!C:C,D221,Ventes!AD:AD,"oui")&gt;0,"vente_bloquee",IF(COUNTIFS(Gestion_Locative!C:C,D221,Gestion_Locative!O:O,"incomplet")&gt;0,"gestion_fragile","stable"))))</f>
        <v>vente_bloquee</v>
      </c>
    </row>
    <row r="222" spans="1:22" ht="14.4" hidden="1" x14ac:dyDescent="0.3">
      <c r="A222" s="6" t="s">
        <v>202</v>
      </c>
      <c r="B222" s="1" t="s">
        <v>4510</v>
      </c>
      <c r="C222" s="6" t="s">
        <v>1288</v>
      </c>
      <c r="D222" s="6" t="s">
        <v>1336</v>
      </c>
      <c r="E222" s="6" t="s">
        <v>1290</v>
      </c>
      <c r="F222" s="6" t="s">
        <v>1337</v>
      </c>
      <c r="G222" s="18">
        <v>40</v>
      </c>
      <c r="H222">
        <v>69</v>
      </c>
      <c r="I222">
        <v>26</v>
      </c>
      <c r="J222" s="7" t="s">
        <v>687</v>
      </c>
      <c r="K222" s="7" t="s">
        <v>1338</v>
      </c>
      <c r="L222" s="7" t="s">
        <v>1339</v>
      </c>
      <c r="M222" s="7"/>
      <c r="N222" s="7" t="s">
        <v>1340</v>
      </c>
      <c r="O222" s="7" t="s">
        <v>90</v>
      </c>
      <c r="P222" s="7"/>
      <c r="Q222" s="7" t="s">
        <v>93</v>
      </c>
      <c r="R222" s="7"/>
      <c r="S222" s="8"/>
      <c r="T222" s="8"/>
      <c r="U222" s="9" t="str">
        <f>IF(COUNTIFS(Contacts_Activation!D:D,D222,Contacts_Activation!N:N,"oui")&gt;0,"oui","non")</f>
        <v>oui</v>
      </c>
      <c r="V222" s="9" t="str">
        <f>IF(COUNTIFS(Travaux!C:C,D222,Travaux!X:X,"en_cours")&gt;0,"travaux_en_cours",IF(COUNTIFS(Ventes!C:C,D222,Ventes!L:L,"signature")&gt;0,"vente_signature",IF(COUNTIFS(Ventes!C:C,D222,Ventes!AD:AD,"oui")&gt;0,"vente_bloquee",IF(COUNTIFS(Gestion_Locative!C:C,D222,Gestion_Locative!O:O,"incomplet")&gt;0,"gestion_fragile","stable"))))</f>
        <v>vente_bloquee</v>
      </c>
    </row>
    <row r="223" spans="1:22" ht="14.4" hidden="1" x14ac:dyDescent="0.3">
      <c r="A223" s="6" t="s">
        <v>202</v>
      </c>
      <c r="B223" s="1" t="s">
        <v>4510</v>
      </c>
      <c r="C223" s="6" t="s">
        <v>1288</v>
      </c>
      <c r="D223" s="6" t="s">
        <v>1341</v>
      </c>
      <c r="E223" s="6" t="s">
        <v>1290</v>
      </c>
      <c r="F223" s="6" t="s">
        <v>1342</v>
      </c>
      <c r="G223" s="18">
        <v>40</v>
      </c>
      <c r="H223">
        <v>69</v>
      </c>
      <c r="I223">
        <v>26</v>
      </c>
      <c r="J223" s="7" t="s">
        <v>697</v>
      </c>
      <c r="K223" s="7" t="s">
        <v>1343</v>
      </c>
      <c r="L223" s="7" t="s">
        <v>1344</v>
      </c>
      <c r="M223" s="7"/>
      <c r="N223" s="7"/>
      <c r="O223" s="7" t="s">
        <v>90</v>
      </c>
      <c r="P223" s="7"/>
      <c r="Q223" s="7" t="s">
        <v>93</v>
      </c>
      <c r="R223" s="7"/>
      <c r="S223" s="8"/>
      <c r="T223" s="8"/>
      <c r="U223" s="9" t="str">
        <f>IF(COUNTIFS(Contacts_Activation!D:D,D223,Contacts_Activation!N:N,"oui")&gt;0,"oui","non")</f>
        <v>oui</v>
      </c>
      <c r="V223" s="9" t="str">
        <f>IF(COUNTIFS(Travaux!C:C,D223,Travaux!X:X,"en_cours")&gt;0,"travaux_en_cours",IF(COUNTIFS(Ventes!C:C,D223,Ventes!L:L,"signature")&gt;0,"vente_signature",IF(COUNTIFS(Ventes!C:C,D223,Ventes!AD:AD,"oui")&gt;0,"vente_bloquee",IF(COUNTIFS(Gestion_Locative!C:C,D223,Gestion_Locative!O:O,"incomplet")&gt;0,"gestion_fragile","stable"))))</f>
        <v>vente_bloquee</v>
      </c>
    </row>
    <row r="224" spans="1:22" ht="27.6" hidden="1" x14ac:dyDescent="0.3">
      <c r="A224" s="6" t="s">
        <v>202</v>
      </c>
      <c r="B224" s="1" t="s">
        <v>4510</v>
      </c>
      <c r="C224" s="6" t="s">
        <v>1288</v>
      </c>
      <c r="D224" s="6" t="s">
        <v>1345</v>
      </c>
      <c r="E224" s="6" t="s">
        <v>1290</v>
      </c>
      <c r="F224" s="6" t="s">
        <v>1346</v>
      </c>
      <c r="G224" s="18">
        <v>40</v>
      </c>
      <c r="H224">
        <v>69</v>
      </c>
      <c r="I224">
        <v>26</v>
      </c>
      <c r="J224" s="7" t="s">
        <v>1347</v>
      </c>
      <c r="K224" s="7" t="s">
        <v>1348</v>
      </c>
      <c r="L224" s="7" t="s">
        <v>1349</v>
      </c>
      <c r="M224" s="7"/>
      <c r="N224" s="7"/>
      <c r="O224" s="7" t="s">
        <v>90</v>
      </c>
      <c r="P224" s="7"/>
      <c r="Q224" s="7" t="s">
        <v>93</v>
      </c>
      <c r="R224" s="7"/>
      <c r="S224" s="8"/>
      <c r="T224" s="8"/>
      <c r="U224" s="9" t="str">
        <f>IF(COUNTIFS(Contacts_Activation!D:D,D224,Contacts_Activation!N:N,"oui")&gt;0,"oui","non")</f>
        <v>oui</v>
      </c>
      <c r="V224" s="9" t="str">
        <f>IF(COUNTIFS(Travaux!C:C,D224,Travaux!X:X,"en_cours")&gt;0,"travaux_en_cours",IF(COUNTIFS(Ventes!C:C,D224,Ventes!L:L,"signature")&gt;0,"vente_signature",IF(COUNTIFS(Ventes!C:C,D224,Ventes!AD:AD,"oui")&gt;0,"vente_bloquee",IF(COUNTIFS(Gestion_Locative!C:C,D224,Gestion_Locative!O:O,"incomplet")&gt;0,"gestion_fragile","stable"))))</f>
        <v>vente_bloquee</v>
      </c>
    </row>
    <row r="225" spans="1:22" ht="14.4" hidden="1" x14ac:dyDescent="0.3">
      <c r="A225" s="6" t="s">
        <v>202</v>
      </c>
      <c r="B225" s="1" t="s">
        <v>4510</v>
      </c>
      <c r="C225" s="6" t="s">
        <v>1288</v>
      </c>
      <c r="D225" s="6" t="s">
        <v>1350</v>
      </c>
      <c r="E225" s="6" t="s">
        <v>1290</v>
      </c>
      <c r="F225" s="6" t="s">
        <v>1351</v>
      </c>
      <c r="G225" s="18">
        <v>40</v>
      </c>
      <c r="H225">
        <v>69</v>
      </c>
      <c r="I225">
        <v>26</v>
      </c>
      <c r="J225" s="7" t="s">
        <v>1347</v>
      </c>
      <c r="K225" s="7" t="s">
        <v>1352</v>
      </c>
      <c r="L225" s="7" t="s">
        <v>1353</v>
      </c>
      <c r="M225" s="7"/>
      <c r="N225" s="7"/>
      <c r="O225" s="7" t="s">
        <v>90</v>
      </c>
      <c r="P225" s="7"/>
      <c r="Q225" s="7" t="s">
        <v>93</v>
      </c>
      <c r="R225" s="7"/>
      <c r="S225" s="8"/>
      <c r="T225" s="8"/>
      <c r="U225" s="9" t="str">
        <f>IF(COUNTIFS(Contacts_Activation!D:D,D225,Contacts_Activation!N:N,"oui")&gt;0,"oui","non")</f>
        <v>oui</v>
      </c>
      <c r="V225" s="9" t="str">
        <f>IF(COUNTIFS(Travaux!C:C,D225,Travaux!X:X,"en_cours")&gt;0,"travaux_en_cours",IF(COUNTIFS(Ventes!C:C,D225,Ventes!L:L,"signature")&gt;0,"vente_signature",IF(COUNTIFS(Ventes!C:C,D225,Ventes!AD:AD,"oui")&gt;0,"vente_bloquee",IF(COUNTIFS(Gestion_Locative!C:C,D225,Gestion_Locative!O:O,"incomplet")&gt;0,"gestion_fragile","stable"))))</f>
        <v>vente_bloquee</v>
      </c>
    </row>
    <row r="226" spans="1:22" ht="14.4" hidden="1" x14ac:dyDescent="0.3">
      <c r="A226" s="6" t="s">
        <v>202</v>
      </c>
      <c r="B226" s="1" t="s">
        <v>4510</v>
      </c>
      <c r="C226" s="6" t="s">
        <v>1288</v>
      </c>
      <c r="D226" s="6" t="s">
        <v>1354</v>
      </c>
      <c r="E226" s="6" t="s">
        <v>1290</v>
      </c>
      <c r="F226" s="6" t="s">
        <v>1355</v>
      </c>
      <c r="G226" s="18">
        <v>40</v>
      </c>
      <c r="H226">
        <v>69</v>
      </c>
      <c r="I226">
        <v>26</v>
      </c>
      <c r="J226" s="7" t="s">
        <v>1356</v>
      </c>
      <c r="K226" s="7" t="s">
        <v>1357</v>
      </c>
      <c r="L226" s="7"/>
      <c r="M226" s="7"/>
      <c r="N226" s="7"/>
      <c r="O226" s="7" t="s">
        <v>90</v>
      </c>
      <c r="P226" s="7"/>
      <c r="Q226" s="7" t="s">
        <v>93</v>
      </c>
      <c r="R226" s="7"/>
      <c r="S226" s="8"/>
      <c r="T226" s="8"/>
      <c r="U226" s="9" t="str">
        <f>IF(COUNTIFS(Contacts_Activation!D:D,D226,Contacts_Activation!N:N,"oui")&gt;0,"oui","non")</f>
        <v>oui</v>
      </c>
      <c r="V226" s="9" t="str">
        <f>IF(COUNTIFS(Travaux!C:C,D226,Travaux!X:X,"en_cours")&gt;0,"travaux_en_cours",IF(COUNTIFS(Ventes!C:C,D226,Ventes!L:L,"signature")&gt;0,"vente_signature",IF(COUNTIFS(Ventes!C:C,D226,Ventes!AD:AD,"oui")&gt;0,"vente_bloquee",IF(COUNTIFS(Gestion_Locative!C:C,D226,Gestion_Locative!O:O,"incomplet")&gt;0,"gestion_fragile","stable"))))</f>
        <v>vente_bloquee</v>
      </c>
    </row>
    <row r="227" spans="1:22" ht="14.4" hidden="1" x14ac:dyDescent="0.3">
      <c r="A227" s="6" t="s">
        <v>202</v>
      </c>
      <c r="B227" s="1" t="s">
        <v>4510</v>
      </c>
      <c r="C227" s="6" t="s">
        <v>1288</v>
      </c>
      <c r="D227" s="6" t="s">
        <v>1358</v>
      </c>
      <c r="E227" s="6" t="s">
        <v>1290</v>
      </c>
      <c r="F227" s="6" t="s">
        <v>1359</v>
      </c>
      <c r="G227" s="18">
        <v>40</v>
      </c>
      <c r="H227">
        <v>69</v>
      </c>
      <c r="I227">
        <v>26</v>
      </c>
      <c r="J227" s="7" t="s">
        <v>1360</v>
      </c>
      <c r="K227" s="7" t="s">
        <v>1361</v>
      </c>
      <c r="L227" s="7" t="s">
        <v>1362</v>
      </c>
      <c r="M227" s="7" t="s">
        <v>1363</v>
      </c>
      <c r="N227" s="7" t="s">
        <v>1364</v>
      </c>
      <c r="O227" s="7" t="s">
        <v>90</v>
      </c>
      <c r="P227" s="7"/>
      <c r="Q227" s="7" t="s">
        <v>93</v>
      </c>
      <c r="R227" s="7"/>
      <c r="S227" s="8"/>
      <c r="T227" s="8"/>
      <c r="U227" s="9" t="str">
        <f>IF(COUNTIFS(Contacts_Activation!D:D,D227,Contacts_Activation!N:N,"oui")&gt;0,"oui","non")</f>
        <v>oui</v>
      </c>
      <c r="V227" s="9" t="str">
        <f>IF(COUNTIFS(Travaux!C:C,D227,Travaux!X:X,"en_cours")&gt;0,"travaux_en_cours",IF(COUNTIFS(Ventes!C:C,D227,Ventes!L:L,"signature")&gt;0,"vente_signature",IF(COUNTIFS(Ventes!C:C,D227,Ventes!AD:AD,"oui")&gt;0,"vente_bloquee",IF(COUNTIFS(Gestion_Locative!C:C,D227,Gestion_Locative!O:O,"incomplet")&gt;0,"gestion_fragile","stable"))))</f>
        <v>vente_bloquee</v>
      </c>
    </row>
    <row r="228" spans="1:22" ht="14.4" hidden="1" x14ac:dyDescent="0.3">
      <c r="A228" s="6" t="s">
        <v>202</v>
      </c>
      <c r="B228" s="1" t="s">
        <v>4510</v>
      </c>
      <c r="C228" s="6" t="s">
        <v>1288</v>
      </c>
      <c r="D228" s="6" t="s">
        <v>1365</v>
      </c>
      <c r="E228" s="6" t="s">
        <v>1290</v>
      </c>
      <c r="F228" s="6" t="s">
        <v>1366</v>
      </c>
      <c r="G228" s="18">
        <v>40</v>
      </c>
      <c r="H228">
        <v>69</v>
      </c>
      <c r="I228">
        <v>26</v>
      </c>
      <c r="J228" s="7" t="s">
        <v>1367</v>
      </c>
      <c r="K228" s="7" t="s">
        <v>738</v>
      </c>
      <c r="L228" s="7" t="s">
        <v>1368</v>
      </c>
      <c r="M228" s="7"/>
      <c r="N228" s="7"/>
      <c r="O228" s="7" t="s">
        <v>90</v>
      </c>
      <c r="P228" s="7"/>
      <c r="Q228" s="7" t="s">
        <v>93</v>
      </c>
      <c r="R228" s="7"/>
      <c r="S228" s="8"/>
      <c r="T228" s="8"/>
      <c r="U228" s="9" t="str">
        <f>IF(COUNTIFS(Contacts_Activation!D:D,D228,Contacts_Activation!N:N,"oui")&gt;0,"oui","non")</f>
        <v>oui</v>
      </c>
      <c r="V228" s="9" t="str">
        <f>IF(COUNTIFS(Travaux!C:C,D228,Travaux!X:X,"en_cours")&gt;0,"travaux_en_cours",IF(COUNTIFS(Ventes!C:C,D228,Ventes!L:L,"signature")&gt;0,"vente_signature",IF(COUNTIFS(Ventes!C:C,D228,Ventes!AD:AD,"oui")&gt;0,"vente_bloquee",IF(COUNTIFS(Gestion_Locative!C:C,D228,Gestion_Locative!O:O,"incomplet")&gt;0,"gestion_fragile","stable"))))</f>
        <v>vente_bloquee</v>
      </c>
    </row>
    <row r="229" spans="1:22" ht="14.4" hidden="1" x14ac:dyDescent="0.3">
      <c r="A229" s="6" t="s">
        <v>202</v>
      </c>
      <c r="B229" s="1" t="s">
        <v>4510</v>
      </c>
      <c r="C229" s="6" t="s">
        <v>1288</v>
      </c>
      <c r="D229" s="6" t="s">
        <v>1369</v>
      </c>
      <c r="E229" s="6" t="s">
        <v>1290</v>
      </c>
      <c r="F229" s="6" t="s">
        <v>1370</v>
      </c>
      <c r="G229" s="18">
        <v>40</v>
      </c>
      <c r="H229">
        <v>69</v>
      </c>
      <c r="I229">
        <v>26</v>
      </c>
      <c r="J229" s="7" t="s">
        <v>625</v>
      </c>
      <c r="K229" s="7" t="s">
        <v>1371</v>
      </c>
      <c r="L229" s="7"/>
      <c r="M229" s="7"/>
      <c r="N229" s="7"/>
      <c r="O229" s="7" t="s">
        <v>90</v>
      </c>
      <c r="P229" s="7"/>
      <c r="Q229" s="7" t="s">
        <v>93</v>
      </c>
      <c r="R229" s="7"/>
      <c r="S229" s="8"/>
      <c r="T229" s="8"/>
      <c r="U229" s="9" t="str">
        <f>IF(COUNTIFS(Contacts_Activation!D:D,D229,Contacts_Activation!N:N,"oui")&gt;0,"oui","non")</f>
        <v>oui</v>
      </c>
      <c r="V229" s="9" t="str">
        <f>IF(COUNTIFS(Travaux!C:C,D229,Travaux!X:X,"en_cours")&gt;0,"travaux_en_cours",IF(COUNTIFS(Ventes!C:C,D229,Ventes!L:L,"signature")&gt;0,"vente_signature",IF(COUNTIFS(Ventes!C:C,D229,Ventes!AD:AD,"oui")&gt;0,"vente_bloquee",IF(COUNTIFS(Gestion_Locative!C:C,D229,Gestion_Locative!O:O,"incomplet")&gt;0,"gestion_fragile","stable"))))</f>
        <v>vente_bloquee</v>
      </c>
    </row>
    <row r="230" spans="1:22" ht="14.4" hidden="1" x14ac:dyDescent="0.3">
      <c r="A230" s="6" t="s">
        <v>202</v>
      </c>
      <c r="B230" s="1" t="s">
        <v>4510</v>
      </c>
      <c r="C230" s="6" t="s">
        <v>1288</v>
      </c>
      <c r="D230" s="6" t="s">
        <v>1372</v>
      </c>
      <c r="E230" s="6" t="s">
        <v>1290</v>
      </c>
      <c r="F230" s="6" t="s">
        <v>1373</v>
      </c>
      <c r="G230" s="18">
        <v>40</v>
      </c>
      <c r="H230">
        <v>69</v>
      </c>
      <c r="I230">
        <v>26</v>
      </c>
      <c r="J230" s="7" t="s">
        <v>1374</v>
      </c>
      <c r="K230" s="7" t="s">
        <v>1375</v>
      </c>
      <c r="L230" s="7" t="s">
        <v>1376</v>
      </c>
      <c r="M230" s="7"/>
      <c r="N230" s="7"/>
      <c r="O230" s="7" t="s">
        <v>90</v>
      </c>
      <c r="P230" s="7"/>
      <c r="Q230" s="7" t="s">
        <v>93</v>
      </c>
      <c r="R230" s="7"/>
      <c r="S230" s="8"/>
      <c r="T230" s="8"/>
      <c r="U230" s="9" t="str">
        <f>IF(COUNTIFS(Contacts_Activation!D:D,D230,Contacts_Activation!N:N,"oui")&gt;0,"oui","non")</f>
        <v>oui</v>
      </c>
      <c r="V230" s="9" t="str">
        <f>IF(COUNTIFS(Travaux!C:C,D230,Travaux!X:X,"en_cours")&gt;0,"travaux_en_cours",IF(COUNTIFS(Ventes!C:C,D230,Ventes!L:L,"signature")&gt;0,"vente_signature",IF(COUNTIFS(Ventes!C:C,D230,Ventes!AD:AD,"oui")&gt;0,"vente_bloquee",IF(COUNTIFS(Gestion_Locative!C:C,D230,Gestion_Locative!O:O,"incomplet")&gt;0,"gestion_fragile","stable"))))</f>
        <v>vente_bloquee</v>
      </c>
    </row>
    <row r="231" spans="1:22" ht="14.4" hidden="1" x14ac:dyDescent="0.3">
      <c r="A231" s="6" t="s">
        <v>202</v>
      </c>
      <c r="B231" s="1" t="s">
        <v>4510</v>
      </c>
      <c r="C231" s="6" t="s">
        <v>1288</v>
      </c>
      <c r="D231" s="6" t="s">
        <v>1377</v>
      </c>
      <c r="E231" s="6" t="s">
        <v>1290</v>
      </c>
      <c r="F231" s="6" t="s">
        <v>1378</v>
      </c>
      <c r="G231" s="18">
        <v>40</v>
      </c>
      <c r="H231">
        <v>69</v>
      </c>
      <c r="I231">
        <v>26</v>
      </c>
      <c r="J231" s="7" t="s">
        <v>428</v>
      </c>
      <c r="K231" s="7" t="s">
        <v>1379</v>
      </c>
      <c r="L231" s="7" t="s">
        <v>1380</v>
      </c>
      <c r="M231" s="7"/>
      <c r="N231" s="7"/>
      <c r="O231" s="7" t="s">
        <v>90</v>
      </c>
      <c r="P231" s="7"/>
      <c r="Q231" s="7" t="s">
        <v>93</v>
      </c>
      <c r="R231" s="7"/>
      <c r="S231" s="8"/>
      <c r="T231" s="8"/>
      <c r="U231" s="9" t="str">
        <f>IF(COUNTIFS(Contacts_Activation!D:D,D231,Contacts_Activation!N:N,"oui")&gt;0,"oui","non")</f>
        <v>oui</v>
      </c>
      <c r="V231" s="9" t="str">
        <f>IF(COUNTIFS(Travaux!C:C,D231,Travaux!X:X,"en_cours")&gt;0,"travaux_en_cours",IF(COUNTIFS(Ventes!C:C,D231,Ventes!L:L,"signature")&gt;0,"vente_signature",IF(COUNTIFS(Ventes!C:C,D231,Ventes!AD:AD,"oui")&gt;0,"vente_bloquee",IF(COUNTIFS(Gestion_Locative!C:C,D231,Gestion_Locative!O:O,"incomplet")&gt;0,"gestion_fragile","stable"))))</f>
        <v>vente_bloquee</v>
      </c>
    </row>
    <row r="232" spans="1:22" ht="14.4" hidden="1" x14ac:dyDescent="0.3">
      <c r="A232" s="6" t="s">
        <v>202</v>
      </c>
      <c r="B232" s="1" t="s">
        <v>4510</v>
      </c>
      <c r="C232" s="6" t="s">
        <v>1288</v>
      </c>
      <c r="D232" s="6" t="s">
        <v>1381</v>
      </c>
      <c r="E232" s="6" t="s">
        <v>1290</v>
      </c>
      <c r="F232" s="6" t="s">
        <v>1382</v>
      </c>
      <c r="G232" s="18">
        <v>40</v>
      </c>
      <c r="H232">
        <v>69</v>
      </c>
      <c r="I232">
        <v>26</v>
      </c>
      <c r="J232" s="7" t="s">
        <v>1383</v>
      </c>
      <c r="K232" s="7" t="s">
        <v>1384</v>
      </c>
      <c r="L232" s="7" t="s">
        <v>1385</v>
      </c>
      <c r="M232" s="7"/>
      <c r="N232" s="7"/>
      <c r="O232" s="7" t="s">
        <v>90</v>
      </c>
      <c r="P232" s="7"/>
      <c r="Q232" s="7" t="s">
        <v>93</v>
      </c>
      <c r="R232" s="7"/>
      <c r="S232" s="8"/>
      <c r="T232" s="8"/>
      <c r="U232" s="9" t="str">
        <f>IF(COUNTIFS(Contacts_Activation!D:D,D232,Contacts_Activation!N:N,"oui")&gt;0,"oui","non")</f>
        <v>oui</v>
      </c>
      <c r="V232" s="9" t="str">
        <f>IF(COUNTIFS(Travaux!C:C,D232,Travaux!X:X,"en_cours")&gt;0,"travaux_en_cours",IF(COUNTIFS(Ventes!C:C,D232,Ventes!L:L,"signature")&gt;0,"vente_signature",IF(COUNTIFS(Ventes!C:C,D232,Ventes!AD:AD,"oui")&gt;0,"vente_bloquee",IF(COUNTIFS(Gestion_Locative!C:C,D232,Gestion_Locative!O:O,"incomplet")&gt;0,"gestion_fragile","stable"))))</f>
        <v>vente_bloquee</v>
      </c>
    </row>
    <row r="233" spans="1:22" ht="27.6" hidden="1" x14ac:dyDescent="0.3">
      <c r="A233" s="6" t="s">
        <v>202</v>
      </c>
      <c r="B233" s="1" t="s">
        <v>4510</v>
      </c>
      <c r="C233" s="6" t="s">
        <v>1288</v>
      </c>
      <c r="D233" s="6" t="s">
        <v>1386</v>
      </c>
      <c r="E233" s="6" t="s">
        <v>1290</v>
      </c>
      <c r="F233" s="6" t="s">
        <v>1387</v>
      </c>
      <c r="G233" s="18">
        <v>40</v>
      </c>
      <c r="H233">
        <v>69</v>
      </c>
      <c r="I233">
        <v>26</v>
      </c>
      <c r="J233" s="7" t="s">
        <v>1383</v>
      </c>
      <c r="K233" s="7" t="s">
        <v>1388</v>
      </c>
      <c r="L233" s="7" t="s">
        <v>1389</v>
      </c>
      <c r="M233" s="7"/>
      <c r="N233" s="7"/>
      <c r="O233" s="7" t="s">
        <v>90</v>
      </c>
      <c r="P233" s="7"/>
      <c r="Q233" s="7" t="s">
        <v>93</v>
      </c>
      <c r="R233" s="7"/>
      <c r="S233" s="8"/>
      <c r="T233" s="8"/>
      <c r="U233" s="9" t="str">
        <f>IF(COUNTIFS(Contacts_Activation!D:D,D233,Contacts_Activation!N:N,"oui")&gt;0,"oui","non")</f>
        <v>oui</v>
      </c>
      <c r="V233" s="9" t="str">
        <f>IF(COUNTIFS(Travaux!C:C,D233,Travaux!X:X,"en_cours")&gt;0,"travaux_en_cours",IF(COUNTIFS(Ventes!C:C,D233,Ventes!L:L,"signature")&gt;0,"vente_signature",IF(COUNTIFS(Ventes!C:C,D233,Ventes!AD:AD,"oui")&gt;0,"vente_bloquee",IF(COUNTIFS(Gestion_Locative!C:C,D233,Gestion_Locative!O:O,"incomplet")&gt;0,"gestion_fragile","stable"))))</f>
        <v>vente_bloquee</v>
      </c>
    </row>
    <row r="234" spans="1:22" ht="14.4" hidden="1" x14ac:dyDescent="0.3">
      <c r="A234" s="6" t="s">
        <v>202</v>
      </c>
      <c r="B234" s="1" t="s">
        <v>4510</v>
      </c>
      <c r="C234" s="6" t="s">
        <v>1288</v>
      </c>
      <c r="D234" s="6" t="s">
        <v>1390</v>
      </c>
      <c r="E234" s="6" t="s">
        <v>1290</v>
      </c>
      <c r="F234" s="6" t="s">
        <v>1391</v>
      </c>
      <c r="G234" s="18">
        <v>40</v>
      </c>
      <c r="H234">
        <v>69</v>
      </c>
      <c r="I234">
        <v>26</v>
      </c>
      <c r="J234" s="7" t="s">
        <v>299</v>
      </c>
      <c r="K234" s="7" t="s">
        <v>1392</v>
      </c>
      <c r="L234" s="7" t="s">
        <v>1393</v>
      </c>
      <c r="M234" s="7"/>
      <c r="N234" s="7"/>
      <c r="O234" s="7" t="s">
        <v>90</v>
      </c>
      <c r="P234" s="7"/>
      <c r="Q234" s="7" t="s">
        <v>93</v>
      </c>
      <c r="R234" s="7"/>
      <c r="S234" s="8"/>
      <c r="T234" s="8"/>
      <c r="U234" s="9" t="str">
        <f>IF(COUNTIFS(Contacts_Activation!D:D,D234,Contacts_Activation!N:N,"oui")&gt;0,"oui","non")</f>
        <v>oui</v>
      </c>
      <c r="V234" s="9" t="str">
        <f>IF(COUNTIFS(Travaux!C:C,D234,Travaux!X:X,"en_cours")&gt;0,"travaux_en_cours",IF(COUNTIFS(Ventes!C:C,D234,Ventes!L:L,"signature")&gt;0,"vente_signature",IF(COUNTIFS(Ventes!C:C,D234,Ventes!AD:AD,"oui")&gt;0,"vente_bloquee",IF(COUNTIFS(Gestion_Locative!C:C,D234,Gestion_Locative!O:O,"incomplet")&gt;0,"gestion_fragile","stable"))))</f>
        <v>vente_bloquee</v>
      </c>
    </row>
    <row r="235" spans="1:22" ht="14.4" hidden="1" x14ac:dyDescent="0.3">
      <c r="A235" s="6" t="s">
        <v>202</v>
      </c>
      <c r="B235" s="1" t="s">
        <v>4510</v>
      </c>
      <c r="C235" s="6" t="s">
        <v>1288</v>
      </c>
      <c r="D235" s="6" t="s">
        <v>1394</v>
      </c>
      <c r="E235" s="6" t="s">
        <v>1290</v>
      </c>
      <c r="F235" s="6" t="s">
        <v>1395</v>
      </c>
      <c r="G235" s="18">
        <v>40</v>
      </c>
      <c r="H235">
        <v>69</v>
      </c>
      <c r="I235">
        <v>26</v>
      </c>
      <c r="J235" s="7" t="s">
        <v>1396</v>
      </c>
      <c r="K235" s="7" t="s">
        <v>259</v>
      </c>
      <c r="L235" s="7" t="s">
        <v>1397</v>
      </c>
      <c r="M235" s="7"/>
      <c r="N235" s="7"/>
      <c r="O235" s="7" t="s">
        <v>90</v>
      </c>
      <c r="P235" s="7"/>
      <c r="Q235" s="7" t="s">
        <v>93</v>
      </c>
      <c r="R235" s="7"/>
      <c r="S235" s="8"/>
      <c r="T235" s="8"/>
      <c r="U235" s="9" t="str">
        <f>IF(COUNTIFS(Contacts_Activation!D:D,D235,Contacts_Activation!N:N,"oui")&gt;0,"oui","non")</f>
        <v>oui</v>
      </c>
      <c r="V235" s="9" t="str">
        <f>IF(COUNTIFS(Travaux!C:C,D235,Travaux!X:X,"en_cours")&gt;0,"travaux_en_cours",IF(COUNTIFS(Ventes!C:C,D235,Ventes!L:L,"signature")&gt;0,"vente_signature",IF(COUNTIFS(Ventes!C:C,D235,Ventes!AD:AD,"oui")&gt;0,"vente_bloquee",IF(COUNTIFS(Gestion_Locative!C:C,D235,Gestion_Locative!O:O,"incomplet")&gt;0,"gestion_fragile","stable"))))</f>
        <v>vente_bloquee</v>
      </c>
    </row>
    <row r="236" spans="1:22" ht="27.6" hidden="1" x14ac:dyDescent="0.3">
      <c r="A236" s="6" t="s">
        <v>202</v>
      </c>
      <c r="B236" s="1" t="s">
        <v>4510</v>
      </c>
      <c r="C236" s="6" t="s">
        <v>1288</v>
      </c>
      <c r="D236" s="6" t="s">
        <v>1398</v>
      </c>
      <c r="E236" s="6" t="s">
        <v>1290</v>
      </c>
      <c r="F236" s="6" t="s">
        <v>1399</v>
      </c>
      <c r="G236" s="18">
        <v>40</v>
      </c>
      <c r="H236">
        <v>69</v>
      </c>
      <c r="I236">
        <v>26</v>
      </c>
      <c r="J236" s="7" t="s">
        <v>1400</v>
      </c>
      <c r="K236" s="7" t="s">
        <v>1401</v>
      </c>
      <c r="L236" s="7" t="s">
        <v>1402</v>
      </c>
      <c r="M236" s="7" t="s">
        <v>1403</v>
      </c>
      <c r="N236" s="7"/>
      <c r="O236" s="7" t="s">
        <v>90</v>
      </c>
      <c r="P236" s="7"/>
      <c r="Q236" s="7" t="s">
        <v>93</v>
      </c>
      <c r="R236" s="7"/>
      <c r="S236" s="8"/>
      <c r="T236" s="8"/>
      <c r="U236" s="9" t="str">
        <f>IF(COUNTIFS(Contacts_Activation!D:D,D236,Contacts_Activation!N:N,"oui")&gt;0,"oui","non")</f>
        <v>oui</v>
      </c>
      <c r="V236" s="9" t="str">
        <f>IF(COUNTIFS(Travaux!C:C,D236,Travaux!X:X,"en_cours")&gt;0,"travaux_en_cours",IF(COUNTIFS(Ventes!C:C,D236,Ventes!L:L,"signature")&gt;0,"vente_signature",IF(COUNTIFS(Ventes!C:C,D236,Ventes!AD:AD,"oui")&gt;0,"vente_bloquee",IF(COUNTIFS(Gestion_Locative!C:C,D236,Gestion_Locative!O:O,"incomplet")&gt;0,"gestion_fragile","stable"))))</f>
        <v>vente_bloquee</v>
      </c>
    </row>
    <row r="237" spans="1:22" ht="14.4" hidden="1" x14ac:dyDescent="0.3">
      <c r="A237" s="6" t="s">
        <v>202</v>
      </c>
      <c r="B237" s="1" t="s">
        <v>4510</v>
      </c>
      <c r="C237" s="6" t="s">
        <v>1288</v>
      </c>
      <c r="D237" s="6" t="s">
        <v>1404</v>
      </c>
      <c r="E237" s="6" t="s">
        <v>1290</v>
      </c>
      <c r="F237" s="6" t="s">
        <v>1405</v>
      </c>
      <c r="G237" s="18">
        <v>40</v>
      </c>
      <c r="H237">
        <v>69</v>
      </c>
      <c r="I237">
        <v>26</v>
      </c>
      <c r="J237" s="7" t="s">
        <v>1406</v>
      </c>
      <c r="K237" s="7" t="s">
        <v>1407</v>
      </c>
      <c r="L237" s="7" t="s">
        <v>1408</v>
      </c>
      <c r="M237" s="7" t="s">
        <v>1409</v>
      </c>
      <c r="N237" s="7"/>
      <c r="O237" s="7" t="s">
        <v>90</v>
      </c>
      <c r="P237" s="7"/>
      <c r="Q237" s="7" t="s">
        <v>93</v>
      </c>
      <c r="R237" s="7"/>
      <c r="S237" s="8"/>
      <c r="T237" s="8"/>
      <c r="U237" s="9" t="str">
        <f>IF(COUNTIFS(Contacts_Activation!D:D,D237,Contacts_Activation!N:N,"oui")&gt;0,"oui","non")</f>
        <v>oui</v>
      </c>
      <c r="V237" s="9" t="str">
        <f>IF(COUNTIFS(Travaux!C:C,D237,Travaux!X:X,"en_cours")&gt;0,"travaux_en_cours",IF(COUNTIFS(Ventes!C:C,D237,Ventes!L:L,"signature")&gt;0,"vente_signature",IF(COUNTIFS(Ventes!C:C,D237,Ventes!AD:AD,"oui")&gt;0,"vente_bloquee",IF(COUNTIFS(Gestion_Locative!C:C,D237,Gestion_Locative!O:O,"incomplet")&gt;0,"gestion_fragile","stable"))))</f>
        <v>vente_bloquee</v>
      </c>
    </row>
    <row r="238" spans="1:22" ht="14.4" hidden="1" x14ac:dyDescent="0.3">
      <c r="A238" s="6" t="s">
        <v>202</v>
      </c>
      <c r="B238" s="1" t="s">
        <v>4510</v>
      </c>
      <c r="C238" s="6" t="s">
        <v>1288</v>
      </c>
      <c r="D238" s="6" t="s">
        <v>1410</v>
      </c>
      <c r="E238" s="6" t="s">
        <v>1290</v>
      </c>
      <c r="F238" s="6" t="s">
        <v>1411</v>
      </c>
      <c r="G238" s="18">
        <v>40</v>
      </c>
      <c r="H238">
        <v>69</v>
      </c>
      <c r="I238">
        <v>26</v>
      </c>
      <c r="J238" s="7" t="s">
        <v>1412</v>
      </c>
      <c r="K238" s="7" t="s">
        <v>1413</v>
      </c>
      <c r="L238" s="7" t="s">
        <v>1414</v>
      </c>
      <c r="M238" s="7"/>
      <c r="N238" s="7"/>
      <c r="O238" s="7" t="s">
        <v>90</v>
      </c>
      <c r="P238" s="7"/>
      <c r="Q238" s="7" t="s">
        <v>93</v>
      </c>
      <c r="R238" s="7"/>
      <c r="S238" s="8"/>
      <c r="T238" s="8"/>
      <c r="U238" s="9" t="str">
        <f>IF(COUNTIFS(Contacts_Activation!D:D,D238,Contacts_Activation!N:N,"oui")&gt;0,"oui","non")</f>
        <v>oui</v>
      </c>
      <c r="V238" s="9" t="str">
        <f>IF(COUNTIFS(Travaux!C:C,D238,Travaux!X:X,"en_cours")&gt;0,"travaux_en_cours",IF(COUNTIFS(Ventes!C:C,D238,Ventes!L:L,"signature")&gt;0,"vente_signature",IF(COUNTIFS(Ventes!C:C,D238,Ventes!AD:AD,"oui")&gt;0,"vente_bloquee",IF(COUNTIFS(Gestion_Locative!C:C,D238,Gestion_Locative!O:O,"incomplet")&gt;0,"gestion_fragile","stable"))))</f>
        <v>vente_bloquee</v>
      </c>
    </row>
    <row r="239" spans="1:22" ht="14.4" hidden="1" x14ac:dyDescent="0.3">
      <c r="A239" s="6" t="s">
        <v>202</v>
      </c>
      <c r="B239" s="1" t="s">
        <v>4510</v>
      </c>
      <c r="C239" s="6" t="s">
        <v>1288</v>
      </c>
      <c r="D239" s="6" t="s">
        <v>1415</v>
      </c>
      <c r="E239" s="6" t="s">
        <v>1290</v>
      </c>
      <c r="F239" s="6" t="s">
        <v>1416</v>
      </c>
      <c r="G239" s="18">
        <v>40</v>
      </c>
      <c r="H239">
        <v>69</v>
      </c>
      <c r="I239">
        <v>26</v>
      </c>
      <c r="J239" s="7" t="s">
        <v>1417</v>
      </c>
      <c r="K239" s="7" t="s">
        <v>1384</v>
      </c>
      <c r="L239" s="7" t="s">
        <v>1418</v>
      </c>
      <c r="M239" s="7"/>
      <c r="N239" s="7"/>
      <c r="O239" s="7" t="s">
        <v>90</v>
      </c>
      <c r="P239" s="7"/>
      <c r="Q239" s="7" t="s">
        <v>93</v>
      </c>
      <c r="R239" s="7"/>
      <c r="S239" s="8"/>
      <c r="T239" s="8"/>
      <c r="U239" s="9" t="str">
        <f>IF(COUNTIFS(Contacts_Activation!D:D,D239,Contacts_Activation!N:N,"oui")&gt;0,"oui","non")</f>
        <v>oui</v>
      </c>
      <c r="V239" s="9" t="str">
        <f>IF(COUNTIFS(Travaux!C:C,D239,Travaux!X:X,"en_cours")&gt;0,"travaux_en_cours",IF(COUNTIFS(Ventes!C:C,D239,Ventes!L:L,"signature")&gt;0,"vente_signature",IF(COUNTIFS(Ventes!C:C,D239,Ventes!AD:AD,"oui")&gt;0,"vente_bloquee",IF(COUNTIFS(Gestion_Locative!C:C,D239,Gestion_Locative!O:O,"incomplet")&gt;0,"gestion_fragile","stable"))))</f>
        <v>vente_bloquee</v>
      </c>
    </row>
    <row r="240" spans="1:22" ht="14.4" hidden="1" x14ac:dyDescent="0.3">
      <c r="A240" s="6" t="s">
        <v>202</v>
      </c>
      <c r="B240" s="1" t="s">
        <v>4510</v>
      </c>
      <c r="C240" s="6" t="s">
        <v>1288</v>
      </c>
      <c r="D240" s="6" t="s">
        <v>1419</v>
      </c>
      <c r="E240" s="6" t="s">
        <v>1290</v>
      </c>
      <c r="F240" s="6" t="s">
        <v>1420</v>
      </c>
      <c r="G240" s="18">
        <v>40</v>
      </c>
      <c r="H240">
        <v>69</v>
      </c>
      <c r="I240">
        <v>26</v>
      </c>
      <c r="J240" s="7" t="s">
        <v>1421</v>
      </c>
      <c r="K240" s="7" t="s">
        <v>881</v>
      </c>
      <c r="L240" s="7" t="s">
        <v>1422</v>
      </c>
      <c r="M240" s="7"/>
      <c r="N240" s="7"/>
      <c r="O240" s="7" t="s">
        <v>90</v>
      </c>
      <c r="P240" s="7"/>
      <c r="Q240" s="7" t="s">
        <v>93</v>
      </c>
      <c r="R240" s="7"/>
      <c r="S240" s="8"/>
      <c r="T240" s="8"/>
      <c r="U240" s="9" t="str">
        <f>IF(COUNTIFS(Contacts_Activation!D:D,D240,Contacts_Activation!N:N,"oui")&gt;0,"oui","non")</f>
        <v>oui</v>
      </c>
      <c r="V240" s="9" t="str">
        <f>IF(COUNTIFS(Travaux!C:C,D240,Travaux!X:X,"en_cours")&gt;0,"travaux_en_cours",IF(COUNTIFS(Ventes!C:C,D240,Ventes!L:L,"signature")&gt;0,"vente_signature",IF(COUNTIFS(Ventes!C:C,D240,Ventes!AD:AD,"oui")&gt;0,"vente_bloquee",IF(COUNTIFS(Gestion_Locative!C:C,D240,Gestion_Locative!O:O,"incomplet")&gt;0,"gestion_fragile","stable"))))</f>
        <v>vente_bloquee</v>
      </c>
    </row>
    <row r="241" spans="1:22" ht="14.4" hidden="1" x14ac:dyDescent="0.3">
      <c r="A241" s="6" t="s">
        <v>202</v>
      </c>
      <c r="B241" s="1" t="s">
        <v>4510</v>
      </c>
      <c r="C241" s="6" t="s">
        <v>1288</v>
      </c>
      <c r="D241" s="6" t="s">
        <v>1423</v>
      </c>
      <c r="E241" s="6" t="s">
        <v>1290</v>
      </c>
      <c r="F241" s="6" t="s">
        <v>1424</v>
      </c>
      <c r="G241" s="18">
        <v>40</v>
      </c>
      <c r="H241">
        <v>69</v>
      </c>
      <c r="I241">
        <v>26</v>
      </c>
      <c r="J241" s="7" t="s">
        <v>1421</v>
      </c>
      <c r="K241" s="7" t="s">
        <v>1425</v>
      </c>
      <c r="L241" s="7" t="s">
        <v>1426</v>
      </c>
      <c r="M241" s="7"/>
      <c r="N241" s="7"/>
      <c r="O241" s="7" t="s">
        <v>90</v>
      </c>
      <c r="P241" s="7"/>
      <c r="Q241" s="7" t="s">
        <v>93</v>
      </c>
      <c r="R241" s="7"/>
      <c r="S241" s="8"/>
      <c r="T241" s="8"/>
      <c r="U241" s="9" t="str">
        <f>IF(COUNTIFS(Contacts_Activation!D:D,D241,Contacts_Activation!N:N,"oui")&gt;0,"oui","non")</f>
        <v>oui</v>
      </c>
      <c r="V241" s="9" t="str">
        <f>IF(COUNTIFS(Travaux!C:C,D241,Travaux!X:X,"en_cours")&gt;0,"travaux_en_cours",IF(COUNTIFS(Ventes!C:C,D241,Ventes!L:L,"signature")&gt;0,"vente_signature",IF(COUNTIFS(Ventes!C:C,D241,Ventes!AD:AD,"oui")&gt;0,"vente_bloquee",IF(COUNTIFS(Gestion_Locative!C:C,D241,Gestion_Locative!O:O,"incomplet")&gt;0,"gestion_fragile","stable"))))</f>
        <v>vente_bloquee</v>
      </c>
    </row>
    <row r="242" spans="1:22" ht="14.4" hidden="1" x14ac:dyDescent="0.3">
      <c r="A242" s="6" t="s">
        <v>202</v>
      </c>
      <c r="B242" s="1" t="s">
        <v>4510</v>
      </c>
      <c r="C242" s="6" t="s">
        <v>1288</v>
      </c>
      <c r="D242" s="6" t="s">
        <v>1427</v>
      </c>
      <c r="E242" s="6" t="s">
        <v>1290</v>
      </c>
      <c r="F242" s="6" t="s">
        <v>1428</v>
      </c>
      <c r="G242" s="18">
        <v>40</v>
      </c>
      <c r="H242">
        <v>69</v>
      </c>
      <c r="I242">
        <v>26</v>
      </c>
      <c r="J242" s="7" t="s">
        <v>311</v>
      </c>
      <c r="K242" s="7" t="s">
        <v>611</v>
      </c>
      <c r="L242" s="7" t="s">
        <v>1429</v>
      </c>
      <c r="M242" s="7"/>
      <c r="N242" s="7"/>
      <c r="O242" s="7" t="s">
        <v>90</v>
      </c>
      <c r="P242" s="7"/>
      <c r="Q242" s="7" t="s">
        <v>93</v>
      </c>
      <c r="R242" s="7"/>
      <c r="S242" s="8"/>
      <c r="T242" s="8"/>
      <c r="U242" s="9" t="str">
        <f>IF(COUNTIFS(Contacts_Activation!D:D,D242,Contacts_Activation!N:N,"oui")&gt;0,"oui","non")</f>
        <v>oui</v>
      </c>
      <c r="V242" s="9" t="str">
        <f>IF(COUNTIFS(Travaux!C:C,D242,Travaux!X:X,"en_cours")&gt;0,"travaux_en_cours",IF(COUNTIFS(Ventes!C:C,D242,Ventes!L:L,"signature")&gt;0,"vente_signature",IF(COUNTIFS(Ventes!C:C,D242,Ventes!AD:AD,"oui")&gt;0,"vente_bloquee",IF(COUNTIFS(Gestion_Locative!C:C,D242,Gestion_Locative!O:O,"incomplet")&gt;0,"gestion_fragile","stable"))))</f>
        <v>vente_bloquee</v>
      </c>
    </row>
    <row r="243" spans="1:22" ht="14.4" hidden="1" x14ac:dyDescent="0.3">
      <c r="A243" s="6" t="s">
        <v>202</v>
      </c>
      <c r="B243" s="1" t="s">
        <v>4510</v>
      </c>
      <c r="C243" s="6" t="s">
        <v>1288</v>
      </c>
      <c r="D243" s="6" t="s">
        <v>1430</v>
      </c>
      <c r="E243" s="6" t="s">
        <v>1290</v>
      </c>
      <c r="F243" s="6" t="s">
        <v>1431</v>
      </c>
      <c r="G243" s="18">
        <v>40</v>
      </c>
      <c r="H243">
        <v>69</v>
      </c>
      <c r="I243">
        <v>26</v>
      </c>
      <c r="J243" s="7" t="s">
        <v>1432</v>
      </c>
      <c r="K243" s="7" t="s">
        <v>1433</v>
      </c>
      <c r="L243" s="7" t="s">
        <v>1434</v>
      </c>
      <c r="M243" s="7" t="s">
        <v>1435</v>
      </c>
      <c r="N243" s="7"/>
      <c r="O243" s="7" t="s">
        <v>90</v>
      </c>
      <c r="P243" s="7"/>
      <c r="Q243" s="7" t="s">
        <v>93</v>
      </c>
      <c r="R243" s="7"/>
      <c r="S243" s="8"/>
      <c r="T243" s="8"/>
      <c r="U243" s="9" t="str">
        <f>IF(COUNTIFS(Contacts_Activation!D:D,D243,Contacts_Activation!N:N,"oui")&gt;0,"oui","non")</f>
        <v>oui</v>
      </c>
      <c r="V243" s="9" t="str">
        <f>IF(COUNTIFS(Travaux!C:C,D243,Travaux!X:X,"en_cours")&gt;0,"travaux_en_cours",IF(COUNTIFS(Ventes!C:C,D243,Ventes!L:L,"signature")&gt;0,"vente_signature",IF(COUNTIFS(Ventes!C:C,D243,Ventes!AD:AD,"oui")&gt;0,"vente_bloquee",IF(COUNTIFS(Gestion_Locative!C:C,D243,Gestion_Locative!O:O,"incomplet")&gt;0,"gestion_fragile","stable"))))</f>
        <v>vente_bloquee</v>
      </c>
    </row>
    <row r="244" spans="1:22" ht="14.4" hidden="1" x14ac:dyDescent="0.3">
      <c r="A244" s="6" t="s">
        <v>202</v>
      </c>
      <c r="B244" s="1" t="s">
        <v>4510</v>
      </c>
      <c r="C244" s="6" t="s">
        <v>1288</v>
      </c>
      <c r="D244" s="6" t="s">
        <v>1436</v>
      </c>
      <c r="E244" s="6" t="s">
        <v>1290</v>
      </c>
      <c r="F244" s="6" t="s">
        <v>1437</v>
      </c>
      <c r="G244" s="18">
        <v>40</v>
      </c>
      <c r="H244">
        <v>69</v>
      </c>
      <c r="I244">
        <v>26</v>
      </c>
      <c r="J244" s="7" t="s">
        <v>1438</v>
      </c>
      <c r="K244" s="7" t="s">
        <v>1439</v>
      </c>
      <c r="L244" s="7" t="s">
        <v>1440</v>
      </c>
      <c r="M244" s="7"/>
      <c r="N244" s="7"/>
      <c r="O244" s="7" t="s">
        <v>90</v>
      </c>
      <c r="P244" s="7"/>
      <c r="Q244" s="7" t="s">
        <v>93</v>
      </c>
      <c r="R244" s="7"/>
      <c r="S244" s="8"/>
      <c r="T244" s="8"/>
      <c r="U244" s="9" t="str">
        <f>IF(COUNTIFS(Contacts_Activation!D:D,D244,Contacts_Activation!N:N,"oui")&gt;0,"oui","non")</f>
        <v>oui</v>
      </c>
      <c r="V244" s="9" t="str">
        <f>IF(COUNTIFS(Travaux!C:C,D244,Travaux!X:X,"en_cours")&gt;0,"travaux_en_cours",IF(COUNTIFS(Ventes!C:C,D244,Ventes!L:L,"signature")&gt;0,"vente_signature",IF(COUNTIFS(Ventes!C:C,D244,Ventes!AD:AD,"oui")&gt;0,"vente_bloquee",IF(COUNTIFS(Gestion_Locative!C:C,D244,Gestion_Locative!O:O,"incomplet")&gt;0,"gestion_fragile","stable"))))</f>
        <v>vente_bloquee</v>
      </c>
    </row>
    <row r="245" spans="1:22" ht="27.6" hidden="1" x14ac:dyDescent="0.3">
      <c r="A245" s="6" t="s">
        <v>202</v>
      </c>
      <c r="B245" s="1" t="s">
        <v>4510</v>
      </c>
      <c r="C245" s="6" t="s">
        <v>1288</v>
      </c>
      <c r="D245" s="6" t="s">
        <v>1441</v>
      </c>
      <c r="E245" s="6" t="s">
        <v>1290</v>
      </c>
      <c r="F245" s="6" t="s">
        <v>1442</v>
      </c>
      <c r="G245" s="18">
        <v>40</v>
      </c>
      <c r="H245">
        <v>69</v>
      </c>
      <c r="I245">
        <v>26</v>
      </c>
      <c r="J245" s="7" t="s">
        <v>1356</v>
      </c>
      <c r="K245" s="7" t="s">
        <v>1443</v>
      </c>
      <c r="L245" s="7" t="s">
        <v>1444</v>
      </c>
      <c r="M245" s="7"/>
      <c r="N245" s="7"/>
      <c r="O245" s="7" t="s">
        <v>90</v>
      </c>
      <c r="P245" s="7"/>
      <c r="Q245" s="7" t="s">
        <v>93</v>
      </c>
      <c r="R245" s="7"/>
      <c r="S245" s="8"/>
      <c r="T245" s="8"/>
      <c r="U245" s="9" t="str">
        <f>IF(COUNTIFS(Contacts_Activation!D:D,D245,Contacts_Activation!N:N,"oui")&gt;0,"oui","non")</f>
        <v>oui</v>
      </c>
      <c r="V245" s="9" t="str">
        <f>IF(COUNTIFS(Travaux!C:C,D245,Travaux!X:X,"en_cours")&gt;0,"travaux_en_cours",IF(COUNTIFS(Ventes!C:C,D245,Ventes!L:L,"signature")&gt;0,"vente_signature",IF(COUNTIFS(Ventes!C:C,D245,Ventes!AD:AD,"oui")&gt;0,"vente_bloquee",IF(COUNTIFS(Gestion_Locative!C:C,D245,Gestion_Locative!O:O,"incomplet")&gt;0,"gestion_fragile","stable"))))</f>
        <v>vente_bloquee</v>
      </c>
    </row>
    <row r="246" spans="1:22" ht="14.4" hidden="1" x14ac:dyDescent="0.3">
      <c r="A246" s="6" t="s">
        <v>202</v>
      </c>
      <c r="B246" s="1" t="s">
        <v>4510</v>
      </c>
      <c r="C246" s="6" t="s">
        <v>1288</v>
      </c>
      <c r="D246" s="6" t="s">
        <v>1445</v>
      </c>
      <c r="E246" s="6" t="s">
        <v>1290</v>
      </c>
      <c r="F246" s="6" t="s">
        <v>1446</v>
      </c>
      <c r="G246" s="18">
        <v>40</v>
      </c>
      <c r="H246">
        <v>69</v>
      </c>
      <c r="I246">
        <v>26</v>
      </c>
      <c r="J246" s="7" t="s">
        <v>1447</v>
      </c>
      <c r="K246" s="7" t="s">
        <v>1448</v>
      </c>
      <c r="L246" s="7" t="s">
        <v>1449</v>
      </c>
      <c r="M246" s="7"/>
      <c r="N246" s="7"/>
      <c r="O246" s="7" t="s">
        <v>90</v>
      </c>
      <c r="P246" s="7"/>
      <c r="Q246" s="7" t="s">
        <v>93</v>
      </c>
      <c r="R246" s="7"/>
      <c r="S246" s="8"/>
      <c r="T246" s="8"/>
      <c r="U246" s="9" t="str">
        <f>IF(COUNTIFS(Contacts_Activation!D:D,D246,Contacts_Activation!N:N,"oui")&gt;0,"oui","non")</f>
        <v>oui</v>
      </c>
      <c r="V246" s="9" t="str">
        <f>IF(COUNTIFS(Travaux!C:C,D246,Travaux!X:X,"en_cours")&gt;0,"travaux_en_cours",IF(COUNTIFS(Ventes!C:C,D246,Ventes!L:L,"signature")&gt;0,"vente_signature",IF(COUNTIFS(Ventes!C:C,D246,Ventes!AD:AD,"oui")&gt;0,"vente_bloquee",IF(COUNTIFS(Gestion_Locative!C:C,D246,Gestion_Locative!O:O,"incomplet")&gt;0,"gestion_fragile","stable"))))</f>
        <v>vente_bloquee</v>
      </c>
    </row>
    <row r="247" spans="1:22" ht="27.6" hidden="1" x14ac:dyDescent="0.3">
      <c r="A247" s="6" t="s">
        <v>202</v>
      </c>
      <c r="B247" s="1" t="s">
        <v>4510</v>
      </c>
      <c r="C247" s="6" t="s">
        <v>1288</v>
      </c>
      <c r="D247" s="6" t="s">
        <v>1450</v>
      </c>
      <c r="E247" s="6" t="s">
        <v>1290</v>
      </c>
      <c r="F247" s="6" t="s">
        <v>1451</v>
      </c>
      <c r="G247" s="18">
        <v>40</v>
      </c>
      <c r="H247">
        <v>69</v>
      </c>
      <c r="I247">
        <v>26</v>
      </c>
      <c r="J247" s="7" t="s">
        <v>1452</v>
      </c>
      <c r="K247" s="7" t="s">
        <v>808</v>
      </c>
      <c r="L247" s="7" t="s">
        <v>1453</v>
      </c>
      <c r="M247" s="7"/>
      <c r="N247" s="7"/>
      <c r="O247" s="7" t="s">
        <v>90</v>
      </c>
      <c r="P247" s="7"/>
      <c r="Q247" s="7" t="s">
        <v>93</v>
      </c>
      <c r="R247" s="7"/>
      <c r="S247" s="8"/>
      <c r="T247" s="8"/>
      <c r="U247" s="9" t="str">
        <f>IF(COUNTIFS(Contacts_Activation!D:D,D247,Contacts_Activation!N:N,"oui")&gt;0,"oui","non")</f>
        <v>oui</v>
      </c>
      <c r="V247" s="9" t="str">
        <f>IF(COUNTIFS(Travaux!C:C,D247,Travaux!X:X,"en_cours")&gt;0,"travaux_en_cours",IF(COUNTIFS(Ventes!C:C,D247,Ventes!L:L,"signature")&gt;0,"vente_signature",IF(COUNTIFS(Ventes!C:C,D247,Ventes!AD:AD,"oui")&gt;0,"vente_bloquee",IF(COUNTIFS(Gestion_Locative!C:C,D247,Gestion_Locative!O:O,"incomplet")&gt;0,"gestion_fragile","stable"))))</f>
        <v>vente_bloquee</v>
      </c>
    </row>
    <row r="248" spans="1:22" ht="14.4" hidden="1" x14ac:dyDescent="0.3">
      <c r="A248" s="6" t="s">
        <v>202</v>
      </c>
      <c r="B248" s="1" t="s">
        <v>4510</v>
      </c>
      <c r="C248" s="6" t="s">
        <v>1288</v>
      </c>
      <c r="D248" s="6" t="s">
        <v>1454</v>
      </c>
      <c r="E248" s="6" t="s">
        <v>1290</v>
      </c>
      <c r="F248" s="6" t="s">
        <v>1455</v>
      </c>
      <c r="G248" s="18">
        <v>40</v>
      </c>
      <c r="H248">
        <v>69</v>
      </c>
      <c r="I248">
        <v>26</v>
      </c>
      <c r="J248" s="7" t="s">
        <v>1456</v>
      </c>
      <c r="K248" s="7" t="s">
        <v>1457</v>
      </c>
      <c r="L248" s="7" t="s">
        <v>1458</v>
      </c>
      <c r="M248" s="7"/>
      <c r="N248" s="7"/>
      <c r="O248" s="7" t="s">
        <v>90</v>
      </c>
      <c r="P248" s="7"/>
      <c r="Q248" s="7" t="s">
        <v>93</v>
      </c>
      <c r="R248" s="7"/>
      <c r="S248" s="8"/>
      <c r="T248" s="8"/>
      <c r="U248" s="9" t="str">
        <f>IF(COUNTIFS(Contacts_Activation!D:D,D248,Contacts_Activation!N:N,"oui")&gt;0,"oui","non")</f>
        <v>oui</v>
      </c>
      <c r="V248" s="9" t="str">
        <f>IF(COUNTIFS(Travaux!C:C,D248,Travaux!X:X,"en_cours")&gt;0,"travaux_en_cours",IF(COUNTIFS(Ventes!C:C,D248,Ventes!L:L,"signature")&gt;0,"vente_signature",IF(COUNTIFS(Ventes!C:C,D248,Ventes!AD:AD,"oui")&gt;0,"vente_bloquee",IF(COUNTIFS(Gestion_Locative!C:C,D248,Gestion_Locative!O:O,"incomplet")&gt;0,"gestion_fragile","stable"))))</f>
        <v>vente_bloquee</v>
      </c>
    </row>
    <row r="249" spans="1:22" ht="14.4" hidden="1" x14ac:dyDescent="0.3">
      <c r="A249" s="6" t="s">
        <v>202</v>
      </c>
      <c r="B249" s="1" t="s">
        <v>4510</v>
      </c>
      <c r="C249" s="6" t="s">
        <v>1288</v>
      </c>
      <c r="D249" s="6" t="s">
        <v>1459</v>
      </c>
      <c r="E249" s="6" t="s">
        <v>1290</v>
      </c>
      <c r="F249" s="6" t="s">
        <v>1460</v>
      </c>
      <c r="G249" s="18">
        <v>40</v>
      </c>
      <c r="H249">
        <v>69</v>
      </c>
      <c r="I249">
        <v>26</v>
      </c>
      <c r="J249" s="7" t="s">
        <v>1461</v>
      </c>
      <c r="K249" s="7" t="s">
        <v>1462</v>
      </c>
      <c r="L249" s="7" t="s">
        <v>1463</v>
      </c>
      <c r="M249" s="7"/>
      <c r="N249" s="7"/>
      <c r="O249" s="7" t="s">
        <v>90</v>
      </c>
      <c r="P249" s="7"/>
      <c r="Q249" s="7" t="s">
        <v>93</v>
      </c>
      <c r="R249" s="7"/>
      <c r="S249" s="8"/>
      <c r="T249" s="8"/>
      <c r="U249" s="9" t="str">
        <f>IF(COUNTIFS(Contacts_Activation!D:D,D249,Contacts_Activation!N:N,"oui")&gt;0,"oui","non")</f>
        <v>oui</v>
      </c>
      <c r="V249" s="9" t="str">
        <f>IF(COUNTIFS(Travaux!C:C,D249,Travaux!X:X,"en_cours")&gt;0,"travaux_en_cours",IF(COUNTIFS(Ventes!C:C,D249,Ventes!L:L,"signature")&gt;0,"vente_signature",IF(COUNTIFS(Ventes!C:C,D249,Ventes!AD:AD,"oui")&gt;0,"vente_bloquee",IF(COUNTIFS(Gestion_Locative!C:C,D249,Gestion_Locative!O:O,"incomplet")&gt;0,"gestion_fragile","stable"))))</f>
        <v>vente_bloquee</v>
      </c>
    </row>
    <row r="250" spans="1:22" ht="14.4" hidden="1" x14ac:dyDescent="0.3">
      <c r="A250" s="6" t="s">
        <v>202</v>
      </c>
      <c r="B250" s="1" t="s">
        <v>4510</v>
      </c>
      <c r="C250" s="6" t="s">
        <v>1288</v>
      </c>
      <c r="D250" s="6" t="s">
        <v>1464</v>
      </c>
      <c r="E250" s="6" t="s">
        <v>1290</v>
      </c>
      <c r="F250" s="6" t="s">
        <v>1465</v>
      </c>
      <c r="G250" s="18">
        <v>40</v>
      </c>
      <c r="H250">
        <v>69</v>
      </c>
      <c r="I250">
        <v>26</v>
      </c>
      <c r="J250" s="7" t="s">
        <v>272</v>
      </c>
      <c r="K250" s="7" t="s">
        <v>1466</v>
      </c>
      <c r="L250" s="7" t="s">
        <v>1467</v>
      </c>
      <c r="M250" s="7" t="s">
        <v>1468</v>
      </c>
      <c r="N250" s="7"/>
      <c r="O250" s="7" t="s">
        <v>90</v>
      </c>
      <c r="P250" s="7"/>
      <c r="Q250" s="7" t="s">
        <v>93</v>
      </c>
      <c r="R250" s="7"/>
      <c r="S250" s="8"/>
      <c r="T250" s="8"/>
      <c r="U250" s="9" t="str">
        <f>IF(COUNTIFS(Contacts_Activation!D:D,D250,Contacts_Activation!N:N,"oui")&gt;0,"oui","non")</f>
        <v>oui</v>
      </c>
      <c r="V250" s="9" t="str">
        <f>IF(COUNTIFS(Travaux!C:C,D250,Travaux!X:X,"en_cours")&gt;0,"travaux_en_cours",IF(COUNTIFS(Ventes!C:C,D250,Ventes!L:L,"signature")&gt;0,"vente_signature",IF(COUNTIFS(Ventes!C:C,D250,Ventes!AD:AD,"oui")&gt;0,"vente_bloquee",IF(COUNTIFS(Gestion_Locative!C:C,D250,Gestion_Locative!O:O,"incomplet")&gt;0,"gestion_fragile","stable"))))</f>
        <v>vente_bloquee</v>
      </c>
    </row>
    <row r="251" spans="1:22" ht="14.4" hidden="1" x14ac:dyDescent="0.3">
      <c r="A251" s="6" t="s">
        <v>202</v>
      </c>
      <c r="B251" s="1" t="s">
        <v>4510</v>
      </c>
      <c r="C251" s="6" t="s">
        <v>1288</v>
      </c>
      <c r="D251" s="6" t="s">
        <v>1469</v>
      </c>
      <c r="E251" s="6" t="s">
        <v>1290</v>
      </c>
      <c r="F251" s="6" t="s">
        <v>1470</v>
      </c>
      <c r="G251" s="18">
        <v>40</v>
      </c>
      <c r="H251">
        <v>69</v>
      </c>
      <c r="I251">
        <v>26</v>
      </c>
      <c r="J251" s="7" t="s">
        <v>1432</v>
      </c>
      <c r="K251" s="7" t="s">
        <v>1471</v>
      </c>
      <c r="L251" s="7" t="s">
        <v>1434</v>
      </c>
      <c r="M251" s="7"/>
      <c r="N251" s="7"/>
      <c r="O251" s="7" t="s">
        <v>90</v>
      </c>
      <c r="P251" s="7"/>
      <c r="Q251" s="7" t="s">
        <v>93</v>
      </c>
      <c r="R251" s="7"/>
      <c r="S251" s="8"/>
      <c r="T251" s="8"/>
      <c r="U251" s="9" t="str">
        <f>IF(COUNTIFS(Contacts_Activation!D:D,D251,Contacts_Activation!N:N,"oui")&gt;0,"oui","non")</f>
        <v>oui</v>
      </c>
      <c r="V251" s="9" t="str">
        <f>IF(COUNTIFS(Travaux!C:C,D251,Travaux!X:X,"en_cours")&gt;0,"travaux_en_cours",IF(COUNTIFS(Ventes!C:C,D251,Ventes!L:L,"signature")&gt;0,"vente_signature",IF(COUNTIFS(Ventes!C:C,D251,Ventes!AD:AD,"oui")&gt;0,"vente_bloquee",IF(COUNTIFS(Gestion_Locative!C:C,D251,Gestion_Locative!O:O,"incomplet")&gt;0,"gestion_fragile","stable"))))</f>
        <v>vente_bloquee</v>
      </c>
    </row>
    <row r="252" spans="1:22" ht="14.4" hidden="1" x14ac:dyDescent="0.3">
      <c r="A252" s="6" t="s">
        <v>202</v>
      </c>
      <c r="B252" s="1" t="s">
        <v>4510</v>
      </c>
      <c r="C252" s="6" t="s">
        <v>1472</v>
      </c>
      <c r="D252" s="6" t="s">
        <v>1473</v>
      </c>
      <c r="E252" s="6" t="s">
        <v>1474</v>
      </c>
      <c r="F252" s="6" t="s">
        <v>1475</v>
      </c>
      <c r="G252" s="18">
        <v>20</v>
      </c>
      <c r="H252">
        <v>71</v>
      </c>
      <c r="I252">
        <v>27</v>
      </c>
      <c r="J252" s="7" t="s">
        <v>1476</v>
      </c>
      <c r="K252" s="7" t="s">
        <v>1477</v>
      </c>
      <c r="L252" s="7" t="s">
        <v>1478</v>
      </c>
      <c r="M252" s="7" t="s">
        <v>1479</v>
      </c>
      <c r="N252" s="7" t="s">
        <v>1480</v>
      </c>
      <c r="O252" s="7" t="s">
        <v>90</v>
      </c>
      <c r="P252" s="7"/>
      <c r="Q252" s="7" t="s">
        <v>93</v>
      </c>
      <c r="R252" s="7"/>
      <c r="S252" s="8"/>
      <c r="T252" s="8"/>
      <c r="U252" s="9" t="str">
        <f>IF(COUNTIFS(Contacts_Activation!D:D,D252,Contacts_Activation!N:N,"oui")&gt;0,"oui","non")</f>
        <v>oui</v>
      </c>
      <c r="V252" s="9" t="str">
        <f>IF(COUNTIFS(Travaux!C:C,D252,Travaux!X:X,"en_cours")&gt;0,"travaux_en_cours",IF(COUNTIFS(Ventes!C:C,D252,Ventes!L:L,"signature")&gt;0,"vente_signature",IF(COUNTIFS(Ventes!C:C,D252,Ventes!AD:AD,"oui")&gt;0,"vente_bloquee",IF(COUNTIFS(Gestion_Locative!C:C,D252,Gestion_Locative!O:O,"incomplet")&gt;0,"gestion_fragile","stable"))))</f>
        <v>vente_bloquee</v>
      </c>
    </row>
    <row r="253" spans="1:22" ht="14.4" hidden="1" x14ac:dyDescent="0.3">
      <c r="A253" s="6" t="s">
        <v>202</v>
      </c>
      <c r="B253" s="1" t="s">
        <v>4510</v>
      </c>
      <c r="C253" s="6" t="s">
        <v>1472</v>
      </c>
      <c r="D253" s="6" t="s">
        <v>1481</v>
      </c>
      <c r="E253" s="6" t="s">
        <v>1474</v>
      </c>
      <c r="F253" s="6" t="s">
        <v>1482</v>
      </c>
      <c r="G253" s="18">
        <v>20</v>
      </c>
      <c r="H253">
        <v>71</v>
      </c>
      <c r="I253">
        <v>27</v>
      </c>
      <c r="J253" s="7" t="s">
        <v>1483</v>
      </c>
      <c r="K253" s="7" t="s">
        <v>1484</v>
      </c>
      <c r="L253" s="7" t="s">
        <v>1485</v>
      </c>
      <c r="M253" s="7"/>
      <c r="N253" s="7"/>
      <c r="O253" s="7" t="s">
        <v>90</v>
      </c>
      <c r="P253" s="7"/>
      <c r="Q253" s="7" t="s">
        <v>93</v>
      </c>
      <c r="R253" s="7"/>
      <c r="S253" s="8"/>
      <c r="T253" s="8"/>
      <c r="U253" s="9" t="str">
        <f>IF(COUNTIFS(Contacts_Activation!D:D,D253,Contacts_Activation!N:N,"oui")&gt;0,"oui","non")</f>
        <v>oui</v>
      </c>
      <c r="V253" s="9" t="str">
        <f>IF(COUNTIFS(Travaux!C:C,D253,Travaux!X:X,"en_cours")&gt;0,"travaux_en_cours",IF(COUNTIFS(Ventes!C:C,D253,Ventes!L:L,"signature")&gt;0,"vente_signature",IF(COUNTIFS(Ventes!C:C,D253,Ventes!AD:AD,"oui")&gt;0,"vente_bloquee",IF(COUNTIFS(Gestion_Locative!C:C,D253,Gestion_Locative!O:O,"incomplet")&gt;0,"gestion_fragile","stable"))))</f>
        <v>vente_bloquee</v>
      </c>
    </row>
    <row r="254" spans="1:22" ht="14.4" hidden="1" x14ac:dyDescent="0.3">
      <c r="A254" s="6" t="s">
        <v>202</v>
      </c>
      <c r="B254" s="1" t="s">
        <v>4510</v>
      </c>
      <c r="C254" s="6" t="s">
        <v>1472</v>
      </c>
      <c r="D254" s="6" t="s">
        <v>1486</v>
      </c>
      <c r="E254" s="6" t="s">
        <v>1474</v>
      </c>
      <c r="F254" s="6" t="s">
        <v>1487</v>
      </c>
      <c r="G254" s="18">
        <v>20</v>
      </c>
      <c r="H254">
        <v>71</v>
      </c>
      <c r="I254">
        <v>27</v>
      </c>
      <c r="J254" s="7" t="s">
        <v>965</v>
      </c>
      <c r="K254" s="7" t="s">
        <v>1488</v>
      </c>
      <c r="L254" s="7" t="s">
        <v>1489</v>
      </c>
      <c r="M254" s="7"/>
      <c r="N254" s="7"/>
      <c r="O254" s="7" t="s">
        <v>90</v>
      </c>
      <c r="P254" s="7"/>
      <c r="Q254" s="7" t="s">
        <v>93</v>
      </c>
      <c r="R254" s="7"/>
      <c r="S254" s="8"/>
      <c r="T254" s="8"/>
      <c r="U254" s="9" t="str">
        <f>IF(COUNTIFS(Contacts_Activation!D:D,D254,Contacts_Activation!N:N,"oui")&gt;0,"oui","non")</f>
        <v>oui</v>
      </c>
      <c r="V254" s="9" t="str">
        <f>IF(COUNTIFS(Travaux!C:C,D254,Travaux!X:X,"en_cours")&gt;0,"travaux_en_cours",IF(COUNTIFS(Ventes!C:C,D254,Ventes!L:L,"signature")&gt;0,"vente_signature",IF(COUNTIFS(Ventes!C:C,D254,Ventes!AD:AD,"oui")&gt;0,"vente_bloquee",IF(COUNTIFS(Gestion_Locative!C:C,D254,Gestion_Locative!O:O,"incomplet")&gt;0,"gestion_fragile","stable"))))</f>
        <v>vente_bloquee</v>
      </c>
    </row>
    <row r="255" spans="1:22" ht="14.4" hidden="1" x14ac:dyDescent="0.3">
      <c r="A255" s="6" t="s">
        <v>202</v>
      </c>
      <c r="B255" s="1" t="s">
        <v>4510</v>
      </c>
      <c r="C255" s="6" t="s">
        <v>1472</v>
      </c>
      <c r="D255" s="6" t="s">
        <v>1490</v>
      </c>
      <c r="E255" s="6" t="s">
        <v>1474</v>
      </c>
      <c r="F255" s="6" t="s">
        <v>1491</v>
      </c>
      <c r="G255" s="18">
        <v>20</v>
      </c>
      <c r="H255">
        <v>71</v>
      </c>
      <c r="I255">
        <v>27</v>
      </c>
      <c r="J255" s="7" t="s">
        <v>1314</v>
      </c>
      <c r="K255" s="7" t="s">
        <v>1492</v>
      </c>
      <c r="L255" s="7" t="s">
        <v>1493</v>
      </c>
      <c r="M255" s="7"/>
      <c r="N255" s="7"/>
      <c r="O255" s="7" t="s">
        <v>90</v>
      </c>
      <c r="P255" s="7"/>
      <c r="Q255" s="7" t="s">
        <v>93</v>
      </c>
      <c r="R255" s="7"/>
      <c r="S255" s="8"/>
      <c r="T255" s="8"/>
      <c r="U255" s="9" t="str">
        <f>IF(COUNTIFS(Contacts_Activation!D:D,D255,Contacts_Activation!N:N,"oui")&gt;0,"oui","non")</f>
        <v>oui</v>
      </c>
      <c r="V255" s="9" t="str">
        <f>IF(COUNTIFS(Travaux!C:C,D255,Travaux!X:X,"en_cours")&gt;0,"travaux_en_cours",IF(COUNTIFS(Ventes!C:C,D255,Ventes!L:L,"signature")&gt;0,"vente_signature",IF(COUNTIFS(Ventes!C:C,D255,Ventes!AD:AD,"oui")&gt;0,"vente_bloquee",IF(COUNTIFS(Gestion_Locative!C:C,D255,Gestion_Locative!O:O,"incomplet")&gt;0,"gestion_fragile","stable"))))</f>
        <v>vente_bloquee</v>
      </c>
    </row>
    <row r="256" spans="1:22" ht="14.4" hidden="1" x14ac:dyDescent="0.3">
      <c r="A256" s="6" t="s">
        <v>202</v>
      </c>
      <c r="B256" s="1" t="s">
        <v>4510</v>
      </c>
      <c r="C256" s="6" t="s">
        <v>1472</v>
      </c>
      <c r="D256" s="6" t="s">
        <v>1494</v>
      </c>
      <c r="E256" s="6" t="s">
        <v>1474</v>
      </c>
      <c r="F256" s="6" t="s">
        <v>1495</v>
      </c>
      <c r="G256" s="18">
        <v>20</v>
      </c>
      <c r="H256">
        <v>71</v>
      </c>
      <c r="I256">
        <v>27</v>
      </c>
      <c r="J256" s="7" t="s">
        <v>567</v>
      </c>
      <c r="K256" s="7" t="s">
        <v>896</v>
      </c>
      <c r="L256" s="7" t="s">
        <v>1496</v>
      </c>
      <c r="M256" s="7"/>
      <c r="N256" s="7"/>
      <c r="O256" s="7" t="s">
        <v>90</v>
      </c>
      <c r="P256" s="7"/>
      <c r="Q256" s="7" t="s">
        <v>93</v>
      </c>
      <c r="R256" s="7"/>
      <c r="S256" s="8"/>
      <c r="T256" s="8"/>
      <c r="U256" s="9" t="str">
        <f>IF(COUNTIFS(Contacts_Activation!D:D,D256,Contacts_Activation!N:N,"oui")&gt;0,"oui","non")</f>
        <v>oui</v>
      </c>
      <c r="V256" s="9" t="str">
        <f>IF(COUNTIFS(Travaux!C:C,D256,Travaux!X:X,"en_cours")&gt;0,"travaux_en_cours",IF(COUNTIFS(Ventes!C:C,D256,Ventes!L:L,"signature")&gt;0,"vente_signature",IF(COUNTIFS(Ventes!C:C,D256,Ventes!AD:AD,"oui")&gt;0,"vente_bloquee",IF(COUNTIFS(Gestion_Locative!C:C,D256,Gestion_Locative!O:O,"incomplet")&gt;0,"gestion_fragile","stable"))))</f>
        <v>vente_bloquee</v>
      </c>
    </row>
    <row r="257" spans="1:22" ht="14.4" hidden="1" x14ac:dyDescent="0.3">
      <c r="A257" s="6" t="s">
        <v>202</v>
      </c>
      <c r="B257" s="1" t="s">
        <v>4510</v>
      </c>
      <c r="C257" s="6" t="s">
        <v>1472</v>
      </c>
      <c r="D257" s="6" t="s">
        <v>1497</v>
      </c>
      <c r="E257" s="6" t="s">
        <v>1474</v>
      </c>
      <c r="F257" s="6" t="s">
        <v>1498</v>
      </c>
      <c r="G257" s="18">
        <v>20</v>
      </c>
      <c r="H257">
        <v>71</v>
      </c>
      <c r="I257">
        <v>27</v>
      </c>
      <c r="J257" s="7" t="s">
        <v>1499</v>
      </c>
      <c r="K257" s="7" t="s">
        <v>1500</v>
      </c>
      <c r="L257" s="7" t="s">
        <v>1501</v>
      </c>
      <c r="M257" s="7"/>
      <c r="N257" s="7"/>
      <c r="O257" s="7" t="s">
        <v>90</v>
      </c>
      <c r="P257" s="7"/>
      <c r="Q257" s="7" t="s">
        <v>93</v>
      </c>
      <c r="R257" s="7"/>
      <c r="S257" s="8"/>
      <c r="T257" s="8"/>
      <c r="U257" s="9" t="str">
        <f>IF(COUNTIFS(Contacts_Activation!D:D,D257,Contacts_Activation!N:N,"oui")&gt;0,"oui","non")</f>
        <v>oui</v>
      </c>
      <c r="V257" s="9" t="str">
        <f>IF(COUNTIFS(Travaux!C:C,D257,Travaux!X:X,"en_cours")&gt;0,"travaux_en_cours",IF(COUNTIFS(Ventes!C:C,D257,Ventes!L:L,"signature")&gt;0,"vente_signature",IF(COUNTIFS(Ventes!C:C,D257,Ventes!AD:AD,"oui")&gt;0,"vente_bloquee",IF(COUNTIFS(Gestion_Locative!C:C,D257,Gestion_Locative!O:O,"incomplet")&gt;0,"gestion_fragile","stable"))))</f>
        <v>vente_bloquee</v>
      </c>
    </row>
    <row r="258" spans="1:22" ht="14.4" hidden="1" x14ac:dyDescent="0.3">
      <c r="A258" s="6" t="s">
        <v>202</v>
      </c>
      <c r="B258" s="1" t="s">
        <v>4510</v>
      </c>
      <c r="C258" s="6" t="s">
        <v>1472</v>
      </c>
      <c r="D258" s="6" t="s">
        <v>1502</v>
      </c>
      <c r="E258" s="6" t="s">
        <v>1474</v>
      </c>
      <c r="F258" s="6" t="s">
        <v>1503</v>
      </c>
      <c r="G258" s="18">
        <v>20</v>
      </c>
      <c r="H258">
        <v>71</v>
      </c>
      <c r="I258">
        <v>27</v>
      </c>
      <c r="J258" s="7" t="s">
        <v>1504</v>
      </c>
      <c r="K258" s="7" t="s">
        <v>1505</v>
      </c>
      <c r="L258" s="7" t="s">
        <v>1506</v>
      </c>
      <c r="M258" s="7"/>
      <c r="N258" s="7"/>
      <c r="O258" s="7" t="s">
        <v>90</v>
      </c>
      <c r="P258" s="7"/>
      <c r="Q258" s="7" t="s">
        <v>93</v>
      </c>
      <c r="R258" s="7"/>
      <c r="S258" s="8"/>
      <c r="T258" s="8"/>
      <c r="U258" s="9" t="str">
        <f>IF(COUNTIFS(Contacts_Activation!D:D,D258,Contacts_Activation!N:N,"oui")&gt;0,"oui","non")</f>
        <v>oui</v>
      </c>
      <c r="V258" s="9" t="str">
        <f>IF(COUNTIFS(Travaux!C:C,D258,Travaux!X:X,"en_cours")&gt;0,"travaux_en_cours",IF(COUNTIFS(Ventes!C:C,D258,Ventes!L:L,"signature")&gt;0,"vente_signature",IF(COUNTIFS(Ventes!C:C,D258,Ventes!AD:AD,"oui")&gt;0,"vente_bloquee",IF(COUNTIFS(Gestion_Locative!C:C,D258,Gestion_Locative!O:O,"incomplet")&gt;0,"gestion_fragile","stable"))))</f>
        <v>vente_bloquee</v>
      </c>
    </row>
    <row r="259" spans="1:22" ht="14.4" hidden="1" x14ac:dyDescent="0.3">
      <c r="A259" s="6" t="s">
        <v>202</v>
      </c>
      <c r="B259" s="1" t="s">
        <v>4510</v>
      </c>
      <c r="C259" s="6" t="s">
        <v>1472</v>
      </c>
      <c r="D259" s="6" t="s">
        <v>1507</v>
      </c>
      <c r="E259" s="6" t="s">
        <v>1474</v>
      </c>
      <c r="F259" s="6" t="s">
        <v>1508</v>
      </c>
      <c r="G259" s="18">
        <v>20</v>
      </c>
      <c r="H259">
        <v>71</v>
      </c>
      <c r="I259">
        <v>27</v>
      </c>
      <c r="J259" s="7" t="s">
        <v>1509</v>
      </c>
      <c r="K259" s="7" t="s">
        <v>1510</v>
      </c>
      <c r="L259" s="7" t="s">
        <v>1511</v>
      </c>
      <c r="M259" s="7"/>
      <c r="N259" s="7"/>
      <c r="O259" s="7" t="s">
        <v>90</v>
      </c>
      <c r="P259" s="7"/>
      <c r="Q259" s="7" t="s">
        <v>93</v>
      </c>
      <c r="R259" s="7"/>
      <c r="S259" s="8"/>
      <c r="T259" s="8"/>
      <c r="U259" s="9" t="str">
        <f>IF(COUNTIFS(Contacts_Activation!D:D,D259,Contacts_Activation!N:N,"oui")&gt;0,"oui","non")</f>
        <v>oui</v>
      </c>
      <c r="V259" s="9" t="str">
        <f>IF(COUNTIFS(Travaux!C:C,D259,Travaux!X:X,"en_cours")&gt;0,"travaux_en_cours",IF(COUNTIFS(Ventes!C:C,D259,Ventes!L:L,"signature")&gt;0,"vente_signature",IF(COUNTIFS(Ventes!C:C,D259,Ventes!AD:AD,"oui")&gt;0,"vente_bloquee",IF(COUNTIFS(Gestion_Locative!C:C,D259,Gestion_Locative!O:O,"incomplet")&gt;0,"gestion_fragile","stable"))))</f>
        <v>vente_bloquee</v>
      </c>
    </row>
    <row r="260" spans="1:22" ht="14.4" hidden="1" x14ac:dyDescent="0.3">
      <c r="A260" s="6" t="s">
        <v>202</v>
      </c>
      <c r="B260" s="1" t="s">
        <v>4510</v>
      </c>
      <c r="C260" s="6" t="s">
        <v>1472</v>
      </c>
      <c r="D260" s="6" t="s">
        <v>1512</v>
      </c>
      <c r="E260" s="6" t="s">
        <v>1474</v>
      </c>
      <c r="F260" s="6" t="s">
        <v>1513</v>
      </c>
      <c r="G260" s="18">
        <v>20</v>
      </c>
      <c r="H260">
        <v>71</v>
      </c>
      <c r="I260">
        <v>27</v>
      </c>
      <c r="J260" s="7" t="s">
        <v>1514</v>
      </c>
      <c r="K260" s="7" t="s">
        <v>1515</v>
      </c>
      <c r="L260" s="7" t="s">
        <v>1516</v>
      </c>
      <c r="M260" s="7"/>
      <c r="N260" s="7"/>
      <c r="O260" s="7" t="s">
        <v>90</v>
      </c>
      <c r="P260" s="7"/>
      <c r="Q260" s="7" t="s">
        <v>93</v>
      </c>
      <c r="R260" s="7"/>
      <c r="S260" s="8"/>
      <c r="T260" s="8"/>
      <c r="U260" s="9" t="str">
        <f>IF(COUNTIFS(Contacts_Activation!D:D,D260,Contacts_Activation!N:N,"oui")&gt;0,"oui","non")</f>
        <v>oui</v>
      </c>
      <c r="V260" s="9" t="str">
        <f>IF(COUNTIFS(Travaux!C:C,D260,Travaux!X:X,"en_cours")&gt;0,"travaux_en_cours",IF(COUNTIFS(Ventes!C:C,D260,Ventes!L:L,"signature")&gt;0,"vente_signature",IF(COUNTIFS(Ventes!C:C,D260,Ventes!AD:AD,"oui")&gt;0,"vente_bloquee",IF(COUNTIFS(Gestion_Locative!C:C,D260,Gestion_Locative!O:O,"incomplet")&gt;0,"gestion_fragile","stable"))))</f>
        <v>vente_bloquee</v>
      </c>
    </row>
    <row r="261" spans="1:22" ht="27.6" hidden="1" x14ac:dyDescent="0.3">
      <c r="A261" s="6" t="s">
        <v>202</v>
      </c>
      <c r="B261" s="1" t="s">
        <v>4510</v>
      </c>
      <c r="C261" s="6" t="s">
        <v>1472</v>
      </c>
      <c r="D261" s="6" t="s">
        <v>1517</v>
      </c>
      <c r="E261" s="6" t="s">
        <v>1474</v>
      </c>
      <c r="F261" s="6" t="s">
        <v>1518</v>
      </c>
      <c r="G261" s="18">
        <v>20</v>
      </c>
      <c r="H261">
        <v>71</v>
      </c>
      <c r="I261">
        <v>27</v>
      </c>
      <c r="J261" s="7" t="s">
        <v>458</v>
      </c>
      <c r="K261" s="7" t="s">
        <v>1519</v>
      </c>
      <c r="L261" s="7" t="s">
        <v>1520</v>
      </c>
      <c r="M261" s="7"/>
      <c r="N261" s="7"/>
      <c r="O261" s="7" t="s">
        <v>90</v>
      </c>
      <c r="P261" s="7"/>
      <c r="Q261" s="7" t="s">
        <v>93</v>
      </c>
      <c r="R261" s="7"/>
      <c r="S261" s="8"/>
      <c r="T261" s="8"/>
      <c r="U261" s="9" t="str">
        <f>IF(COUNTIFS(Contacts_Activation!D:D,D261,Contacts_Activation!N:N,"oui")&gt;0,"oui","non")</f>
        <v>oui</v>
      </c>
      <c r="V261" s="9" t="str">
        <f>IF(COUNTIFS(Travaux!C:C,D261,Travaux!X:X,"en_cours")&gt;0,"travaux_en_cours",IF(COUNTIFS(Ventes!C:C,D261,Ventes!L:L,"signature")&gt;0,"vente_signature",IF(COUNTIFS(Ventes!C:C,D261,Ventes!AD:AD,"oui")&gt;0,"vente_bloquee",IF(COUNTIFS(Gestion_Locative!C:C,D261,Gestion_Locative!O:O,"incomplet")&gt;0,"gestion_fragile","stable"))))</f>
        <v>vente_bloquee</v>
      </c>
    </row>
    <row r="262" spans="1:22" ht="27.6" hidden="1" x14ac:dyDescent="0.3">
      <c r="A262" s="6" t="s">
        <v>202</v>
      </c>
      <c r="B262" s="1" t="s">
        <v>4510</v>
      </c>
      <c r="C262" s="6" t="s">
        <v>1472</v>
      </c>
      <c r="D262" s="6" t="s">
        <v>1521</v>
      </c>
      <c r="E262" s="6" t="s">
        <v>1474</v>
      </c>
      <c r="F262" s="6" t="s">
        <v>1522</v>
      </c>
      <c r="G262" s="18">
        <v>20</v>
      </c>
      <c r="H262">
        <v>71</v>
      </c>
      <c r="I262">
        <v>27</v>
      </c>
      <c r="J262" s="7" t="s">
        <v>1523</v>
      </c>
      <c r="K262" s="7" t="s">
        <v>1524</v>
      </c>
      <c r="L262" s="7" t="s">
        <v>1525</v>
      </c>
      <c r="M262" s="7"/>
      <c r="N262" s="7" t="s">
        <v>1526</v>
      </c>
      <c r="O262" s="7" t="s">
        <v>90</v>
      </c>
      <c r="P262" s="7"/>
      <c r="Q262" s="7" t="s">
        <v>93</v>
      </c>
      <c r="R262" s="7"/>
      <c r="S262" s="8"/>
      <c r="T262" s="8"/>
      <c r="U262" s="9" t="str">
        <f>IF(COUNTIFS(Contacts_Activation!D:D,D262,Contacts_Activation!N:N,"oui")&gt;0,"oui","non")</f>
        <v>oui</v>
      </c>
      <c r="V262" s="9" t="str">
        <f>IF(COUNTIFS(Travaux!C:C,D262,Travaux!X:X,"en_cours")&gt;0,"travaux_en_cours",IF(COUNTIFS(Ventes!C:C,D262,Ventes!L:L,"signature")&gt;0,"vente_signature",IF(COUNTIFS(Ventes!C:C,D262,Ventes!AD:AD,"oui")&gt;0,"vente_bloquee",IF(COUNTIFS(Gestion_Locative!C:C,D262,Gestion_Locative!O:O,"incomplet")&gt;0,"gestion_fragile","stable"))))</f>
        <v>vente_bloquee</v>
      </c>
    </row>
    <row r="263" spans="1:22" ht="14.4" hidden="1" x14ac:dyDescent="0.3">
      <c r="A263" s="6" t="s">
        <v>202</v>
      </c>
      <c r="B263" s="1" t="s">
        <v>4510</v>
      </c>
      <c r="C263" s="6" t="s">
        <v>1472</v>
      </c>
      <c r="D263" s="6" t="s">
        <v>1527</v>
      </c>
      <c r="E263" s="6" t="s">
        <v>1474</v>
      </c>
      <c r="F263" s="6" t="s">
        <v>1528</v>
      </c>
      <c r="G263" s="18">
        <v>20</v>
      </c>
      <c r="H263">
        <v>71</v>
      </c>
      <c r="I263">
        <v>27</v>
      </c>
      <c r="J263" s="7" t="s">
        <v>1523</v>
      </c>
      <c r="K263" s="7" t="s">
        <v>1529</v>
      </c>
      <c r="L263" s="7"/>
      <c r="M263" s="7"/>
      <c r="N263" s="7"/>
      <c r="O263" s="7" t="s">
        <v>90</v>
      </c>
      <c r="P263" s="7"/>
      <c r="Q263" s="7" t="s">
        <v>93</v>
      </c>
      <c r="R263" s="7"/>
      <c r="S263" s="8"/>
      <c r="T263" s="8"/>
      <c r="U263" s="9" t="str">
        <f>IF(COUNTIFS(Contacts_Activation!D:D,D263,Contacts_Activation!N:N,"oui")&gt;0,"oui","non")</f>
        <v>oui</v>
      </c>
      <c r="V263" s="9" t="str">
        <f>IF(COUNTIFS(Travaux!C:C,D263,Travaux!X:X,"en_cours")&gt;0,"travaux_en_cours",IF(COUNTIFS(Ventes!C:C,D263,Ventes!L:L,"signature")&gt;0,"vente_signature",IF(COUNTIFS(Ventes!C:C,D263,Ventes!AD:AD,"oui")&gt;0,"vente_bloquee",IF(COUNTIFS(Gestion_Locative!C:C,D263,Gestion_Locative!O:O,"incomplet")&gt;0,"gestion_fragile","stable"))))</f>
        <v>vente_bloquee</v>
      </c>
    </row>
    <row r="264" spans="1:22" ht="14.4" hidden="1" x14ac:dyDescent="0.3">
      <c r="A264" s="6" t="s">
        <v>202</v>
      </c>
      <c r="B264" s="1" t="s">
        <v>4510</v>
      </c>
      <c r="C264" s="6" t="s">
        <v>1472</v>
      </c>
      <c r="D264" s="6" t="s">
        <v>1530</v>
      </c>
      <c r="E264" s="6" t="s">
        <v>1474</v>
      </c>
      <c r="F264" s="6" t="s">
        <v>1531</v>
      </c>
      <c r="G264" s="18">
        <v>20</v>
      </c>
      <c r="H264">
        <v>71</v>
      </c>
      <c r="I264">
        <v>27</v>
      </c>
      <c r="J264" s="7" t="s">
        <v>1532</v>
      </c>
      <c r="K264" s="7" t="s">
        <v>1533</v>
      </c>
      <c r="L264" s="7" t="s">
        <v>1534</v>
      </c>
      <c r="M264" s="7"/>
      <c r="N264" s="7"/>
      <c r="O264" s="7" t="s">
        <v>90</v>
      </c>
      <c r="P264" s="7"/>
      <c r="Q264" s="7" t="s">
        <v>93</v>
      </c>
      <c r="R264" s="7"/>
      <c r="S264" s="8"/>
      <c r="T264" s="8"/>
      <c r="U264" s="9" t="str">
        <f>IF(COUNTIFS(Contacts_Activation!D:D,D264,Contacts_Activation!N:N,"oui")&gt;0,"oui","non")</f>
        <v>oui</v>
      </c>
      <c r="V264" s="9" t="str">
        <f>IF(COUNTIFS(Travaux!C:C,D264,Travaux!X:X,"en_cours")&gt;0,"travaux_en_cours",IF(COUNTIFS(Ventes!C:C,D264,Ventes!L:L,"signature")&gt;0,"vente_signature",IF(COUNTIFS(Ventes!C:C,D264,Ventes!AD:AD,"oui")&gt;0,"vente_bloquee",IF(COUNTIFS(Gestion_Locative!C:C,D264,Gestion_Locative!O:O,"incomplet")&gt;0,"gestion_fragile","stable"))))</f>
        <v>vente_bloquee</v>
      </c>
    </row>
    <row r="265" spans="1:22" ht="27.6" hidden="1" x14ac:dyDescent="0.3">
      <c r="A265" s="6" t="s">
        <v>202</v>
      </c>
      <c r="B265" s="1" t="s">
        <v>4510</v>
      </c>
      <c r="C265" s="6" t="s">
        <v>1472</v>
      </c>
      <c r="D265" s="6" t="s">
        <v>1535</v>
      </c>
      <c r="E265" s="6" t="s">
        <v>1474</v>
      </c>
      <c r="F265" s="6" t="s">
        <v>1536</v>
      </c>
      <c r="G265" s="18">
        <v>20</v>
      </c>
      <c r="H265">
        <v>71</v>
      </c>
      <c r="I265">
        <v>27</v>
      </c>
      <c r="J265" s="7" t="s">
        <v>1537</v>
      </c>
      <c r="K265" s="7" t="s">
        <v>1538</v>
      </c>
      <c r="L265" s="7" t="s">
        <v>1539</v>
      </c>
      <c r="M265" s="7"/>
      <c r="N265" s="7"/>
      <c r="O265" s="7" t="s">
        <v>90</v>
      </c>
      <c r="P265" s="7"/>
      <c r="Q265" s="7" t="s">
        <v>93</v>
      </c>
      <c r="R265" s="7"/>
      <c r="S265" s="8"/>
      <c r="T265" s="8"/>
      <c r="U265" s="9" t="str">
        <f>IF(COUNTIFS(Contacts_Activation!D:D,D265,Contacts_Activation!N:N,"oui")&gt;0,"oui","non")</f>
        <v>oui</v>
      </c>
      <c r="V265" s="9" t="str">
        <f>IF(COUNTIFS(Travaux!C:C,D265,Travaux!X:X,"en_cours")&gt;0,"travaux_en_cours",IF(COUNTIFS(Ventes!C:C,D265,Ventes!L:L,"signature")&gt;0,"vente_signature",IF(COUNTIFS(Ventes!C:C,D265,Ventes!AD:AD,"oui")&gt;0,"vente_bloquee",IF(COUNTIFS(Gestion_Locative!C:C,D265,Gestion_Locative!O:O,"incomplet")&gt;0,"gestion_fragile","stable"))))</f>
        <v>vente_bloquee</v>
      </c>
    </row>
    <row r="266" spans="1:22" ht="14.4" hidden="1" x14ac:dyDescent="0.3">
      <c r="A266" s="6" t="s">
        <v>202</v>
      </c>
      <c r="B266" s="1" t="s">
        <v>4510</v>
      </c>
      <c r="C266" s="6" t="s">
        <v>1472</v>
      </c>
      <c r="D266" s="6" t="s">
        <v>1540</v>
      </c>
      <c r="E266" s="6" t="s">
        <v>1474</v>
      </c>
      <c r="F266" s="6" t="s">
        <v>1541</v>
      </c>
      <c r="G266" s="18">
        <v>20</v>
      </c>
      <c r="H266">
        <v>71</v>
      </c>
      <c r="I266">
        <v>27</v>
      </c>
      <c r="J266" s="7" t="s">
        <v>272</v>
      </c>
      <c r="K266" s="7" t="s">
        <v>424</v>
      </c>
      <c r="L266" s="7" t="s">
        <v>1542</v>
      </c>
      <c r="M266" s="7" t="s">
        <v>1543</v>
      </c>
      <c r="N266" s="7" t="s">
        <v>990</v>
      </c>
      <c r="O266" s="7" t="s">
        <v>90</v>
      </c>
      <c r="P266" s="7"/>
      <c r="Q266" s="7" t="s">
        <v>93</v>
      </c>
      <c r="R266" s="7"/>
      <c r="S266" s="8"/>
      <c r="T266" s="8"/>
      <c r="U266" s="9" t="str">
        <f>IF(COUNTIFS(Contacts_Activation!D:D,D266,Contacts_Activation!N:N,"oui")&gt;0,"oui","non")</f>
        <v>oui</v>
      </c>
      <c r="V266" s="9" t="str">
        <f>IF(COUNTIFS(Travaux!C:C,D266,Travaux!X:X,"en_cours")&gt;0,"travaux_en_cours",IF(COUNTIFS(Ventes!C:C,D266,Ventes!L:L,"signature")&gt;0,"vente_signature",IF(COUNTIFS(Ventes!C:C,D266,Ventes!AD:AD,"oui")&gt;0,"vente_bloquee",IF(COUNTIFS(Gestion_Locative!C:C,D266,Gestion_Locative!O:O,"incomplet")&gt;0,"gestion_fragile","stable"))))</f>
        <v>vente_bloquee</v>
      </c>
    </row>
    <row r="267" spans="1:22" ht="14.4" hidden="1" x14ac:dyDescent="0.3">
      <c r="A267" s="6" t="s">
        <v>202</v>
      </c>
      <c r="B267" s="1" t="s">
        <v>4510</v>
      </c>
      <c r="C267" s="6" t="s">
        <v>1472</v>
      </c>
      <c r="D267" s="6" t="s">
        <v>1544</v>
      </c>
      <c r="E267" s="6" t="s">
        <v>1474</v>
      </c>
      <c r="F267" s="6" t="s">
        <v>1545</v>
      </c>
      <c r="G267" s="18">
        <v>20</v>
      </c>
      <c r="H267">
        <v>71</v>
      </c>
      <c r="I267">
        <v>27</v>
      </c>
      <c r="J267" s="7" t="s">
        <v>1546</v>
      </c>
      <c r="K267" s="7" t="s">
        <v>1547</v>
      </c>
      <c r="L267" s="7" t="s">
        <v>1548</v>
      </c>
      <c r="M267" s="7" t="s">
        <v>1549</v>
      </c>
      <c r="N267" s="7"/>
      <c r="O267" s="7" t="s">
        <v>90</v>
      </c>
      <c r="P267" s="7"/>
      <c r="Q267" s="7" t="s">
        <v>93</v>
      </c>
      <c r="R267" s="7"/>
      <c r="S267" s="8"/>
      <c r="T267" s="8"/>
      <c r="U267" s="9" t="str">
        <f>IF(COUNTIFS(Contacts_Activation!D:D,D267,Contacts_Activation!N:N,"oui")&gt;0,"oui","non")</f>
        <v>oui</v>
      </c>
      <c r="V267" s="9" t="str">
        <f>IF(COUNTIFS(Travaux!C:C,D267,Travaux!X:X,"en_cours")&gt;0,"travaux_en_cours",IF(COUNTIFS(Ventes!C:C,D267,Ventes!L:L,"signature")&gt;0,"vente_signature",IF(COUNTIFS(Ventes!C:C,D267,Ventes!AD:AD,"oui")&gt;0,"vente_bloquee",IF(COUNTIFS(Gestion_Locative!C:C,D267,Gestion_Locative!O:O,"incomplet")&gt;0,"gestion_fragile","stable"))))</f>
        <v>vente_bloquee</v>
      </c>
    </row>
    <row r="268" spans="1:22" ht="14.4" hidden="1" x14ac:dyDescent="0.3">
      <c r="A268" s="6" t="s">
        <v>202</v>
      </c>
      <c r="B268" s="1" t="s">
        <v>4510</v>
      </c>
      <c r="C268" s="6" t="s">
        <v>1472</v>
      </c>
      <c r="D268" s="6" t="s">
        <v>1550</v>
      </c>
      <c r="E268" s="6" t="s">
        <v>1474</v>
      </c>
      <c r="F268" s="6" t="s">
        <v>1551</v>
      </c>
      <c r="G268" s="18">
        <v>20</v>
      </c>
      <c r="H268">
        <v>71</v>
      </c>
      <c r="I268">
        <v>27</v>
      </c>
      <c r="J268" s="7" t="s">
        <v>1456</v>
      </c>
      <c r="K268" s="7" t="s">
        <v>1552</v>
      </c>
      <c r="L268" s="7" t="s">
        <v>1553</v>
      </c>
      <c r="M268" s="7"/>
      <c r="N268" s="7"/>
      <c r="O268" s="7" t="s">
        <v>90</v>
      </c>
      <c r="P268" s="7"/>
      <c r="Q268" s="7" t="s">
        <v>93</v>
      </c>
      <c r="R268" s="7"/>
      <c r="S268" s="8"/>
      <c r="T268" s="8"/>
      <c r="U268" s="9" t="str">
        <f>IF(COUNTIFS(Contacts_Activation!D:D,D268,Contacts_Activation!N:N,"oui")&gt;0,"oui","non")</f>
        <v>oui</v>
      </c>
      <c r="V268" s="9" t="str">
        <f>IF(COUNTIFS(Travaux!C:C,D268,Travaux!X:X,"en_cours")&gt;0,"travaux_en_cours",IF(COUNTIFS(Ventes!C:C,D268,Ventes!L:L,"signature")&gt;0,"vente_signature",IF(COUNTIFS(Ventes!C:C,D268,Ventes!AD:AD,"oui")&gt;0,"vente_bloquee",IF(COUNTIFS(Gestion_Locative!C:C,D268,Gestion_Locative!O:O,"incomplet")&gt;0,"gestion_fragile","stable"))))</f>
        <v>vente_bloquee</v>
      </c>
    </row>
    <row r="269" spans="1:22" ht="14.4" hidden="1" x14ac:dyDescent="0.3">
      <c r="A269" s="6" t="s">
        <v>202</v>
      </c>
      <c r="B269" s="1" t="s">
        <v>4510</v>
      </c>
      <c r="C269" s="6" t="s">
        <v>1472</v>
      </c>
      <c r="D269" s="6" t="s">
        <v>1554</v>
      </c>
      <c r="E269" s="6" t="s">
        <v>1474</v>
      </c>
      <c r="F269" s="6" t="s">
        <v>1555</v>
      </c>
      <c r="G269" s="18">
        <v>20</v>
      </c>
      <c r="H269">
        <v>71</v>
      </c>
      <c r="I269">
        <v>27</v>
      </c>
      <c r="J269" s="7" t="s">
        <v>1456</v>
      </c>
      <c r="K269" s="7" t="s">
        <v>1556</v>
      </c>
      <c r="L269" s="7" t="s">
        <v>1557</v>
      </c>
      <c r="M269" s="7"/>
      <c r="N269" s="7"/>
      <c r="O269" s="7" t="s">
        <v>90</v>
      </c>
      <c r="P269" s="7"/>
      <c r="Q269" s="7" t="s">
        <v>93</v>
      </c>
      <c r="R269" s="7"/>
      <c r="S269" s="8"/>
      <c r="T269" s="8"/>
      <c r="U269" s="9" t="str">
        <f>IF(COUNTIFS(Contacts_Activation!D:D,D269,Contacts_Activation!N:N,"oui")&gt;0,"oui","non")</f>
        <v>oui</v>
      </c>
      <c r="V269" s="9" t="str">
        <f>IF(COUNTIFS(Travaux!C:C,D269,Travaux!X:X,"en_cours")&gt;0,"travaux_en_cours",IF(COUNTIFS(Ventes!C:C,D269,Ventes!L:L,"signature")&gt;0,"vente_signature",IF(COUNTIFS(Ventes!C:C,D269,Ventes!AD:AD,"oui")&gt;0,"vente_bloquee",IF(COUNTIFS(Gestion_Locative!C:C,D269,Gestion_Locative!O:O,"incomplet")&gt;0,"gestion_fragile","stable"))))</f>
        <v>vente_bloquee</v>
      </c>
    </row>
    <row r="270" spans="1:22" ht="27.6" hidden="1" x14ac:dyDescent="0.3">
      <c r="A270" s="6" t="s">
        <v>202</v>
      </c>
      <c r="B270" s="1" t="s">
        <v>4510</v>
      </c>
      <c r="C270" s="6" t="s">
        <v>1472</v>
      </c>
      <c r="D270" s="6" t="s">
        <v>1558</v>
      </c>
      <c r="E270" s="6" t="s">
        <v>1474</v>
      </c>
      <c r="F270" s="6" t="s">
        <v>1559</v>
      </c>
      <c r="G270" s="18">
        <v>20</v>
      </c>
      <c r="H270">
        <v>71</v>
      </c>
      <c r="I270">
        <v>27</v>
      </c>
      <c r="J270" s="7"/>
      <c r="K270" s="7" t="s">
        <v>407</v>
      </c>
      <c r="L270" s="7"/>
      <c r="M270" s="7"/>
      <c r="N270" s="7"/>
      <c r="O270" s="7" t="s">
        <v>90</v>
      </c>
      <c r="P270" s="7"/>
      <c r="Q270" s="7" t="s">
        <v>93</v>
      </c>
      <c r="R270" s="7"/>
      <c r="S270" s="8"/>
      <c r="T270" s="8"/>
      <c r="U270" s="9" t="str">
        <f>IF(COUNTIFS(Contacts_Activation!D:D,D270,Contacts_Activation!N:N,"oui")&gt;0,"oui","non")</f>
        <v>oui</v>
      </c>
      <c r="V270" s="9" t="str">
        <f>IF(COUNTIFS(Travaux!C:C,D270,Travaux!X:X,"en_cours")&gt;0,"travaux_en_cours",IF(COUNTIFS(Ventes!C:C,D270,Ventes!L:L,"signature")&gt;0,"vente_signature",IF(COUNTIFS(Ventes!C:C,D270,Ventes!AD:AD,"oui")&gt;0,"vente_bloquee",IF(COUNTIFS(Gestion_Locative!C:C,D270,Gestion_Locative!O:O,"incomplet")&gt;0,"gestion_fragile","stable"))))</f>
        <v>vente_bloquee</v>
      </c>
    </row>
    <row r="271" spans="1:22" ht="14.4" hidden="1" x14ac:dyDescent="0.3">
      <c r="A271" s="6" t="s">
        <v>202</v>
      </c>
      <c r="B271" s="1" t="s">
        <v>4510</v>
      </c>
      <c r="C271" s="6" t="s">
        <v>1472</v>
      </c>
      <c r="D271" s="6" t="s">
        <v>1560</v>
      </c>
      <c r="E271" s="6" t="s">
        <v>1474</v>
      </c>
      <c r="F271" s="6" t="s">
        <v>1561</v>
      </c>
      <c r="G271" s="18">
        <v>20</v>
      </c>
      <c r="H271">
        <v>71</v>
      </c>
      <c r="I271">
        <v>27</v>
      </c>
      <c r="J271" s="7" t="s">
        <v>1562</v>
      </c>
      <c r="K271" s="7" t="s">
        <v>1173</v>
      </c>
      <c r="L271" s="7" t="s">
        <v>1563</v>
      </c>
      <c r="M271" s="7"/>
      <c r="N271" s="7"/>
      <c r="O271" s="7" t="s">
        <v>90</v>
      </c>
      <c r="P271" s="7"/>
      <c r="Q271" s="7" t="s">
        <v>93</v>
      </c>
      <c r="R271" s="7"/>
      <c r="S271" s="8"/>
      <c r="T271" s="8"/>
      <c r="U271" s="9" t="str">
        <f>IF(COUNTIFS(Contacts_Activation!D:D,D271,Contacts_Activation!N:N,"oui")&gt;0,"oui","non")</f>
        <v>oui</v>
      </c>
      <c r="V271" s="9" t="str">
        <f>IF(COUNTIFS(Travaux!C:C,D271,Travaux!X:X,"en_cours")&gt;0,"travaux_en_cours",IF(COUNTIFS(Ventes!C:C,D271,Ventes!L:L,"signature")&gt;0,"vente_signature",IF(COUNTIFS(Ventes!C:C,D271,Ventes!AD:AD,"oui")&gt;0,"vente_bloquee",IF(COUNTIFS(Gestion_Locative!C:C,D271,Gestion_Locative!O:O,"incomplet")&gt;0,"gestion_fragile","stable"))))</f>
        <v>vente_bloquee</v>
      </c>
    </row>
    <row r="272" spans="1:22" ht="14.4" hidden="1" x14ac:dyDescent="0.3">
      <c r="A272" s="6" t="s">
        <v>202</v>
      </c>
      <c r="B272" s="1" t="s">
        <v>4510</v>
      </c>
      <c r="C272" s="6" t="s">
        <v>1564</v>
      </c>
      <c r="D272" s="6" t="s">
        <v>1565</v>
      </c>
      <c r="E272" s="6" t="s">
        <v>1566</v>
      </c>
      <c r="F272" s="6" t="s">
        <v>1567</v>
      </c>
      <c r="G272" s="18">
        <v>54</v>
      </c>
      <c r="H272">
        <v>73</v>
      </c>
      <c r="I272">
        <v>28</v>
      </c>
      <c r="J272" s="7" t="s">
        <v>1568</v>
      </c>
      <c r="K272" s="7" t="s">
        <v>1569</v>
      </c>
      <c r="L272" s="7" t="s">
        <v>1570</v>
      </c>
      <c r="M272" s="7"/>
      <c r="N272" s="7"/>
      <c r="O272" s="7" t="s">
        <v>90</v>
      </c>
      <c r="P272" s="7"/>
      <c r="Q272" s="7" t="s">
        <v>93</v>
      </c>
      <c r="R272" s="7"/>
      <c r="S272" s="8"/>
      <c r="T272" s="8"/>
      <c r="U272" s="9" t="str">
        <f>IF(COUNTIFS(Contacts_Activation!D:D,D272,Contacts_Activation!N:N,"oui")&gt;0,"oui","non")</f>
        <v>oui</v>
      </c>
      <c r="V272" s="9" t="str">
        <f>IF(COUNTIFS(Travaux!C:C,D272,Travaux!X:X,"en_cours")&gt;0,"travaux_en_cours",IF(COUNTIFS(Ventes!C:C,D272,Ventes!L:L,"signature")&gt;0,"vente_signature",IF(COUNTIFS(Ventes!C:C,D272,Ventes!AD:AD,"oui")&gt;0,"vente_bloquee",IF(COUNTIFS(Gestion_Locative!C:C,D272,Gestion_Locative!O:O,"incomplet")&gt;0,"gestion_fragile","stable"))))</f>
        <v>vente_bloquee</v>
      </c>
    </row>
    <row r="273" spans="1:22" ht="14.4" hidden="1" x14ac:dyDescent="0.3">
      <c r="A273" s="6" t="s">
        <v>202</v>
      </c>
      <c r="B273" s="1" t="s">
        <v>4510</v>
      </c>
      <c r="C273" s="6" t="s">
        <v>1564</v>
      </c>
      <c r="D273" s="6" t="s">
        <v>1571</v>
      </c>
      <c r="E273" s="6" t="s">
        <v>1566</v>
      </c>
      <c r="F273" s="6" t="s">
        <v>1572</v>
      </c>
      <c r="G273" s="18">
        <v>54</v>
      </c>
      <c r="H273">
        <v>73</v>
      </c>
      <c r="I273">
        <v>28</v>
      </c>
      <c r="J273" s="7" t="s">
        <v>1573</v>
      </c>
      <c r="K273" s="7" t="s">
        <v>1574</v>
      </c>
      <c r="L273" s="7" t="s">
        <v>1575</v>
      </c>
      <c r="M273" s="7"/>
      <c r="N273" s="7"/>
      <c r="O273" s="7" t="s">
        <v>90</v>
      </c>
      <c r="P273" s="7"/>
      <c r="Q273" s="7" t="s">
        <v>93</v>
      </c>
      <c r="R273" s="7"/>
      <c r="S273" s="8"/>
      <c r="T273" s="8"/>
      <c r="U273" s="9" t="str">
        <f>IF(COUNTIFS(Contacts_Activation!D:D,D273,Contacts_Activation!N:N,"oui")&gt;0,"oui","non")</f>
        <v>oui</v>
      </c>
      <c r="V273" s="9" t="str">
        <f>IF(COUNTIFS(Travaux!C:C,D273,Travaux!X:X,"en_cours")&gt;0,"travaux_en_cours",IF(COUNTIFS(Ventes!C:C,D273,Ventes!L:L,"signature")&gt;0,"vente_signature",IF(COUNTIFS(Ventes!C:C,D273,Ventes!AD:AD,"oui")&gt;0,"vente_bloquee",IF(COUNTIFS(Gestion_Locative!C:C,D273,Gestion_Locative!O:O,"incomplet")&gt;0,"gestion_fragile","stable"))))</f>
        <v>vente_bloquee</v>
      </c>
    </row>
    <row r="274" spans="1:22" ht="14.4" hidden="1" x14ac:dyDescent="0.3">
      <c r="A274" s="6" t="s">
        <v>202</v>
      </c>
      <c r="B274" s="1" t="s">
        <v>4510</v>
      </c>
      <c r="C274" s="6" t="s">
        <v>1564</v>
      </c>
      <c r="D274" s="6" t="s">
        <v>1576</v>
      </c>
      <c r="E274" s="6" t="s">
        <v>1566</v>
      </c>
      <c r="F274" s="6" t="s">
        <v>1577</v>
      </c>
      <c r="G274" s="18">
        <v>54</v>
      </c>
      <c r="H274">
        <v>73</v>
      </c>
      <c r="I274">
        <v>28</v>
      </c>
      <c r="J274" s="7" t="s">
        <v>1578</v>
      </c>
      <c r="K274" s="7" t="s">
        <v>295</v>
      </c>
      <c r="L274" s="7" t="s">
        <v>1579</v>
      </c>
      <c r="M274" s="7" t="s">
        <v>1580</v>
      </c>
      <c r="N274" s="7"/>
      <c r="O274" s="7" t="s">
        <v>90</v>
      </c>
      <c r="P274" s="7"/>
      <c r="Q274" s="7" t="s">
        <v>93</v>
      </c>
      <c r="R274" s="7"/>
      <c r="S274" s="8"/>
      <c r="T274" s="8"/>
      <c r="U274" s="9" t="str">
        <f>IF(COUNTIFS(Contacts_Activation!D:D,D274,Contacts_Activation!N:N,"oui")&gt;0,"oui","non")</f>
        <v>oui</v>
      </c>
      <c r="V274" s="9" t="str">
        <f>IF(COUNTIFS(Travaux!C:C,D274,Travaux!X:X,"en_cours")&gt;0,"travaux_en_cours",IF(COUNTIFS(Ventes!C:C,D274,Ventes!L:L,"signature")&gt;0,"vente_signature",IF(COUNTIFS(Ventes!C:C,D274,Ventes!AD:AD,"oui")&gt;0,"vente_bloquee",IF(COUNTIFS(Gestion_Locative!C:C,D274,Gestion_Locative!O:O,"incomplet")&gt;0,"gestion_fragile","stable"))))</f>
        <v>vente_bloquee</v>
      </c>
    </row>
    <row r="275" spans="1:22" ht="27.6" hidden="1" x14ac:dyDescent="0.3">
      <c r="A275" s="6" t="s">
        <v>202</v>
      </c>
      <c r="B275" s="1" t="s">
        <v>4510</v>
      </c>
      <c r="C275" s="6" t="s">
        <v>1564</v>
      </c>
      <c r="D275" s="6" t="s">
        <v>1581</v>
      </c>
      <c r="E275" s="6" t="s">
        <v>1566</v>
      </c>
      <c r="F275" s="6" t="s">
        <v>1582</v>
      </c>
      <c r="G275" s="18">
        <v>54</v>
      </c>
      <c r="H275">
        <v>73</v>
      </c>
      <c r="I275">
        <v>28</v>
      </c>
      <c r="J275" s="7" t="s">
        <v>334</v>
      </c>
      <c r="K275" s="7" t="s">
        <v>983</v>
      </c>
      <c r="L275" s="7" t="s">
        <v>1583</v>
      </c>
      <c r="M275" s="7" t="s">
        <v>1584</v>
      </c>
      <c r="N275" s="7"/>
      <c r="O275" s="7" t="s">
        <v>90</v>
      </c>
      <c r="P275" s="7"/>
      <c r="Q275" s="7" t="s">
        <v>93</v>
      </c>
      <c r="R275" s="7"/>
      <c r="S275" s="8"/>
      <c r="T275" s="8"/>
      <c r="U275" s="9" t="str">
        <f>IF(COUNTIFS(Contacts_Activation!D:D,D275,Contacts_Activation!N:N,"oui")&gt;0,"oui","non")</f>
        <v>oui</v>
      </c>
      <c r="V275" s="9" t="str">
        <f>IF(COUNTIFS(Travaux!C:C,D275,Travaux!X:X,"en_cours")&gt;0,"travaux_en_cours",IF(COUNTIFS(Ventes!C:C,D275,Ventes!L:L,"signature")&gt;0,"vente_signature",IF(COUNTIFS(Ventes!C:C,D275,Ventes!AD:AD,"oui")&gt;0,"vente_bloquee",IF(COUNTIFS(Gestion_Locative!C:C,D275,Gestion_Locative!O:O,"incomplet")&gt;0,"gestion_fragile","stable"))))</f>
        <v>vente_bloquee</v>
      </c>
    </row>
    <row r="276" spans="1:22" ht="14.4" hidden="1" x14ac:dyDescent="0.3">
      <c r="A276" s="6" t="s">
        <v>202</v>
      </c>
      <c r="B276" s="1" t="s">
        <v>4510</v>
      </c>
      <c r="C276" s="6" t="s">
        <v>1564</v>
      </c>
      <c r="D276" s="6" t="s">
        <v>1585</v>
      </c>
      <c r="E276" s="6" t="s">
        <v>1566</v>
      </c>
      <c r="F276" s="6" t="s">
        <v>1586</v>
      </c>
      <c r="G276" s="18">
        <v>54</v>
      </c>
      <c r="H276">
        <v>73</v>
      </c>
      <c r="I276">
        <v>28</v>
      </c>
      <c r="J276" s="7" t="s">
        <v>1307</v>
      </c>
      <c r="K276" s="7" t="s">
        <v>1587</v>
      </c>
      <c r="L276" s="7" t="s">
        <v>1588</v>
      </c>
      <c r="M276" s="7"/>
      <c r="N276" s="7"/>
      <c r="O276" s="7" t="s">
        <v>90</v>
      </c>
      <c r="P276" s="7"/>
      <c r="Q276" s="7" t="s">
        <v>93</v>
      </c>
      <c r="R276" s="7"/>
      <c r="S276" s="8"/>
      <c r="T276" s="8"/>
      <c r="U276" s="9" t="str">
        <f>IF(COUNTIFS(Contacts_Activation!D:D,D276,Contacts_Activation!N:N,"oui")&gt;0,"oui","non")</f>
        <v>oui</v>
      </c>
      <c r="V276" s="9" t="str">
        <f>IF(COUNTIFS(Travaux!C:C,D276,Travaux!X:X,"en_cours")&gt;0,"travaux_en_cours",IF(COUNTIFS(Ventes!C:C,D276,Ventes!L:L,"signature")&gt;0,"vente_signature",IF(COUNTIFS(Ventes!C:C,D276,Ventes!AD:AD,"oui")&gt;0,"vente_bloquee",IF(COUNTIFS(Gestion_Locative!C:C,D276,Gestion_Locative!O:O,"incomplet")&gt;0,"gestion_fragile","stable"))))</f>
        <v>vente_bloquee</v>
      </c>
    </row>
    <row r="277" spans="1:22" ht="14.4" hidden="1" x14ac:dyDescent="0.3">
      <c r="A277" s="6" t="s">
        <v>202</v>
      </c>
      <c r="B277" s="1" t="s">
        <v>4510</v>
      </c>
      <c r="C277" s="6" t="s">
        <v>1564</v>
      </c>
      <c r="D277" s="6" t="s">
        <v>1589</v>
      </c>
      <c r="E277" s="6" t="s">
        <v>1566</v>
      </c>
      <c r="F277" s="6" t="s">
        <v>1590</v>
      </c>
      <c r="G277" s="18">
        <v>54</v>
      </c>
      <c r="H277">
        <v>73</v>
      </c>
      <c r="I277">
        <v>28</v>
      </c>
      <c r="J277" s="7" t="s">
        <v>965</v>
      </c>
      <c r="K277" s="7" t="s">
        <v>1591</v>
      </c>
      <c r="L277" s="7" t="s">
        <v>1592</v>
      </c>
      <c r="M277" s="7"/>
      <c r="N277" s="7"/>
      <c r="O277" s="7" t="s">
        <v>90</v>
      </c>
      <c r="P277" s="7"/>
      <c r="Q277" s="7" t="s">
        <v>93</v>
      </c>
      <c r="R277" s="7"/>
      <c r="S277" s="8"/>
      <c r="T277" s="8"/>
      <c r="U277" s="9" t="str">
        <f>IF(COUNTIFS(Contacts_Activation!D:D,D277,Contacts_Activation!N:N,"oui")&gt;0,"oui","non")</f>
        <v>oui</v>
      </c>
      <c r="V277" s="9" t="str">
        <f>IF(COUNTIFS(Travaux!C:C,D277,Travaux!X:X,"en_cours")&gt;0,"travaux_en_cours",IF(COUNTIFS(Ventes!C:C,D277,Ventes!L:L,"signature")&gt;0,"vente_signature",IF(COUNTIFS(Ventes!C:C,D277,Ventes!AD:AD,"oui")&gt;0,"vente_bloquee",IF(COUNTIFS(Gestion_Locative!C:C,D277,Gestion_Locative!O:O,"incomplet")&gt;0,"gestion_fragile","stable"))))</f>
        <v>vente_bloquee</v>
      </c>
    </row>
    <row r="278" spans="1:22" ht="14.4" hidden="1" x14ac:dyDescent="0.3">
      <c r="A278" s="6" t="s">
        <v>202</v>
      </c>
      <c r="B278" s="1" t="s">
        <v>4510</v>
      </c>
      <c r="C278" s="6" t="s">
        <v>1564</v>
      </c>
      <c r="D278" s="6" t="s">
        <v>1593</v>
      </c>
      <c r="E278" s="6" t="s">
        <v>1566</v>
      </c>
      <c r="F278" s="6" t="s">
        <v>1594</v>
      </c>
      <c r="G278" s="18">
        <v>54</v>
      </c>
      <c r="H278">
        <v>73</v>
      </c>
      <c r="I278">
        <v>28</v>
      </c>
      <c r="J278" s="7" t="s">
        <v>965</v>
      </c>
      <c r="K278" s="7" t="s">
        <v>1595</v>
      </c>
      <c r="L278" s="7" t="s">
        <v>1596</v>
      </c>
      <c r="M278" s="7"/>
      <c r="N278" s="7"/>
      <c r="O278" s="7" t="s">
        <v>90</v>
      </c>
      <c r="P278" s="7"/>
      <c r="Q278" s="7" t="s">
        <v>93</v>
      </c>
      <c r="R278" s="7"/>
      <c r="S278" s="8"/>
      <c r="T278" s="8"/>
      <c r="U278" s="9" t="str">
        <f>IF(COUNTIFS(Contacts_Activation!D:D,D278,Contacts_Activation!N:N,"oui")&gt;0,"oui","non")</f>
        <v>oui</v>
      </c>
      <c r="V278" s="9" t="str">
        <f>IF(COUNTIFS(Travaux!C:C,D278,Travaux!X:X,"en_cours")&gt;0,"travaux_en_cours",IF(COUNTIFS(Ventes!C:C,D278,Ventes!L:L,"signature")&gt;0,"vente_signature",IF(COUNTIFS(Ventes!C:C,D278,Ventes!AD:AD,"oui")&gt;0,"vente_bloquee",IF(COUNTIFS(Gestion_Locative!C:C,D278,Gestion_Locative!O:O,"incomplet")&gt;0,"gestion_fragile","stable"))))</f>
        <v>vente_bloquee</v>
      </c>
    </row>
    <row r="279" spans="1:22" ht="14.4" hidden="1" x14ac:dyDescent="0.3">
      <c r="A279" s="6" t="s">
        <v>202</v>
      </c>
      <c r="B279" s="1" t="s">
        <v>4510</v>
      </c>
      <c r="C279" s="6" t="s">
        <v>1564</v>
      </c>
      <c r="D279" s="6" t="s">
        <v>1597</v>
      </c>
      <c r="E279" s="6" t="s">
        <v>1566</v>
      </c>
      <c r="F279" s="6" t="s">
        <v>1598</v>
      </c>
      <c r="G279" s="18">
        <v>54</v>
      </c>
      <c r="H279">
        <v>73</v>
      </c>
      <c r="I279">
        <v>28</v>
      </c>
      <c r="J279" s="7" t="s">
        <v>1599</v>
      </c>
      <c r="K279" s="7" t="s">
        <v>226</v>
      </c>
      <c r="L279" s="7" t="s">
        <v>1600</v>
      </c>
      <c r="M279" s="7" t="s">
        <v>1601</v>
      </c>
      <c r="N279" s="7"/>
      <c r="O279" s="7" t="s">
        <v>90</v>
      </c>
      <c r="P279" s="7"/>
      <c r="Q279" s="7" t="s">
        <v>93</v>
      </c>
      <c r="R279" s="7"/>
      <c r="S279" s="8"/>
      <c r="T279" s="8"/>
      <c r="U279" s="9" t="str">
        <f>IF(COUNTIFS(Contacts_Activation!D:D,D279,Contacts_Activation!N:N,"oui")&gt;0,"oui","non")</f>
        <v>oui</v>
      </c>
      <c r="V279" s="9" t="str">
        <f>IF(COUNTIFS(Travaux!C:C,D279,Travaux!X:X,"en_cours")&gt;0,"travaux_en_cours",IF(COUNTIFS(Ventes!C:C,D279,Ventes!L:L,"signature")&gt;0,"vente_signature",IF(COUNTIFS(Ventes!C:C,D279,Ventes!AD:AD,"oui")&gt;0,"vente_bloquee",IF(COUNTIFS(Gestion_Locative!C:C,D279,Gestion_Locative!O:O,"incomplet")&gt;0,"gestion_fragile","stable"))))</f>
        <v>vente_bloquee</v>
      </c>
    </row>
    <row r="280" spans="1:22" ht="14.4" hidden="1" x14ac:dyDescent="0.3">
      <c r="A280" s="6" t="s">
        <v>202</v>
      </c>
      <c r="B280" s="1" t="s">
        <v>4510</v>
      </c>
      <c r="C280" s="6" t="s">
        <v>1564</v>
      </c>
      <c r="D280" s="6" t="s">
        <v>1602</v>
      </c>
      <c r="E280" s="6" t="s">
        <v>1566</v>
      </c>
      <c r="F280" s="6" t="s">
        <v>1603</v>
      </c>
      <c r="G280" s="18">
        <v>54</v>
      </c>
      <c r="H280">
        <v>73</v>
      </c>
      <c r="I280">
        <v>28</v>
      </c>
      <c r="J280" s="7" t="s">
        <v>1314</v>
      </c>
      <c r="K280" s="7" t="s">
        <v>1604</v>
      </c>
      <c r="L280" s="7"/>
      <c r="M280" s="7"/>
      <c r="N280" s="7"/>
      <c r="O280" s="7" t="s">
        <v>90</v>
      </c>
      <c r="P280" s="7"/>
      <c r="Q280" s="7" t="s">
        <v>93</v>
      </c>
      <c r="R280" s="7"/>
      <c r="S280" s="8"/>
      <c r="T280" s="8"/>
      <c r="U280" s="9" t="str">
        <f>IF(COUNTIFS(Contacts_Activation!D:D,D280,Contacts_Activation!N:N,"oui")&gt;0,"oui","non")</f>
        <v>oui</v>
      </c>
      <c r="V280" s="9" t="str">
        <f>IF(COUNTIFS(Travaux!C:C,D280,Travaux!X:X,"en_cours")&gt;0,"travaux_en_cours",IF(COUNTIFS(Ventes!C:C,D280,Ventes!L:L,"signature")&gt;0,"vente_signature",IF(COUNTIFS(Ventes!C:C,D280,Ventes!AD:AD,"oui")&gt;0,"vente_bloquee",IF(COUNTIFS(Gestion_Locative!C:C,D280,Gestion_Locative!O:O,"incomplet")&gt;0,"gestion_fragile","stable"))))</f>
        <v>vente_bloquee</v>
      </c>
    </row>
    <row r="281" spans="1:22" ht="14.4" hidden="1" x14ac:dyDescent="0.3">
      <c r="A281" s="6" t="s">
        <v>202</v>
      </c>
      <c r="B281" s="1" t="s">
        <v>4510</v>
      </c>
      <c r="C281" s="6" t="s">
        <v>1564</v>
      </c>
      <c r="D281" s="6" t="s">
        <v>1605</v>
      </c>
      <c r="E281" s="6" t="s">
        <v>1566</v>
      </c>
      <c r="F281" s="6" t="s">
        <v>1606</v>
      </c>
      <c r="G281" s="18">
        <v>54</v>
      </c>
      <c r="H281">
        <v>73</v>
      </c>
      <c r="I281">
        <v>28</v>
      </c>
      <c r="J281" s="7" t="s">
        <v>1607</v>
      </c>
      <c r="K281" s="7" t="s">
        <v>1608</v>
      </c>
      <c r="L281" s="7" t="s">
        <v>1609</v>
      </c>
      <c r="M281" s="7"/>
      <c r="N281" s="7"/>
      <c r="O281" s="7" t="s">
        <v>90</v>
      </c>
      <c r="P281" s="7"/>
      <c r="Q281" s="7" t="s">
        <v>93</v>
      </c>
      <c r="R281" s="7"/>
      <c r="S281" s="8"/>
      <c r="T281" s="8"/>
      <c r="U281" s="9" t="str">
        <f>IF(COUNTIFS(Contacts_Activation!D:D,D281,Contacts_Activation!N:N,"oui")&gt;0,"oui","non")</f>
        <v>oui</v>
      </c>
      <c r="V281" s="9" t="str">
        <f>IF(COUNTIFS(Travaux!C:C,D281,Travaux!X:X,"en_cours")&gt;0,"travaux_en_cours",IF(COUNTIFS(Ventes!C:C,D281,Ventes!L:L,"signature")&gt;0,"vente_signature",IF(COUNTIFS(Ventes!C:C,D281,Ventes!AD:AD,"oui")&gt;0,"vente_bloquee",IF(COUNTIFS(Gestion_Locative!C:C,D281,Gestion_Locative!O:O,"incomplet")&gt;0,"gestion_fragile","stable"))))</f>
        <v>vente_bloquee</v>
      </c>
    </row>
    <row r="282" spans="1:22" ht="14.4" hidden="1" x14ac:dyDescent="0.3">
      <c r="A282" s="6" t="s">
        <v>202</v>
      </c>
      <c r="B282" s="1" t="s">
        <v>4510</v>
      </c>
      <c r="C282" s="6" t="s">
        <v>1564</v>
      </c>
      <c r="D282" s="6" t="s">
        <v>1610</v>
      </c>
      <c r="E282" s="6" t="s">
        <v>1566</v>
      </c>
      <c r="F282" s="6" t="s">
        <v>1611</v>
      </c>
      <c r="G282" s="18">
        <v>54</v>
      </c>
      <c r="H282">
        <v>73</v>
      </c>
      <c r="I282">
        <v>28</v>
      </c>
      <c r="J282" s="7" t="s">
        <v>567</v>
      </c>
      <c r="K282" s="7" t="s">
        <v>1612</v>
      </c>
      <c r="L282" s="7" t="s">
        <v>1613</v>
      </c>
      <c r="M282" s="7"/>
      <c r="N282" s="7"/>
      <c r="O282" s="7" t="s">
        <v>90</v>
      </c>
      <c r="P282" s="7"/>
      <c r="Q282" s="7" t="s">
        <v>93</v>
      </c>
      <c r="R282" s="7"/>
      <c r="S282" s="8"/>
      <c r="T282" s="8"/>
      <c r="U282" s="9" t="str">
        <f>IF(COUNTIFS(Contacts_Activation!D:D,D282,Contacts_Activation!N:N,"oui")&gt;0,"oui","non")</f>
        <v>oui</v>
      </c>
      <c r="V282" s="9" t="str">
        <f>IF(COUNTIFS(Travaux!C:C,D282,Travaux!X:X,"en_cours")&gt;0,"travaux_en_cours",IF(COUNTIFS(Ventes!C:C,D282,Ventes!L:L,"signature")&gt;0,"vente_signature",IF(COUNTIFS(Ventes!C:C,D282,Ventes!AD:AD,"oui")&gt;0,"vente_bloquee",IF(COUNTIFS(Gestion_Locative!C:C,D282,Gestion_Locative!O:O,"incomplet")&gt;0,"gestion_fragile","stable"))))</f>
        <v>vente_bloquee</v>
      </c>
    </row>
    <row r="283" spans="1:22" ht="14.4" hidden="1" x14ac:dyDescent="0.3">
      <c r="A283" s="6" t="s">
        <v>202</v>
      </c>
      <c r="B283" s="1" t="s">
        <v>4510</v>
      </c>
      <c r="C283" s="6" t="s">
        <v>1564</v>
      </c>
      <c r="D283" s="6" t="s">
        <v>1614</v>
      </c>
      <c r="E283" s="6" t="s">
        <v>1566</v>
      </c>
      <c r="F283" s="6" t="s">
        <v>1615</v>
      </c>
      <c r="G283" s="18">
        <v>54</v>
      </c>
      <c r="H283">
        <v>73</v>
      </c>
      <c r="I283">
        <v>28</v>
      </c>
      <c r="J283" s="7" t="s">
        <v>932</v>
      </c>
      <c r="K283" s="7" t="s">
        <v>939</v>
      </c>
      <c r="L283" s="7" t="s">
        <v>1616</v>
      </c>
      <c r="M283" s="7"/>
      <c r="N283" s="7"/>
      <c r="O283" s="7" t="s">
        <v>90</v>
      </c>
      <c r="P283" s="7"/>
      <c r="Q283" s="7" t="s">
        <v>93</v>
      </c>
      <c r="R283" s="7"/>
      <c r="S283" s="8"/>
      <c r="T283" s="8"/>
      <c r="U283" s="9" t="str">
        <f>IF(COUNTIFS(Contacts_Activation!D:D,D283,Contacts_Activation!N:N,"oui")&gt;0,"oui","non")</f>
        <v>oui</v>
      </c>
      <c r="V283" s="9" t="str">
        <f>IF(COUNTIFS(Travaux!C:C,D283,Travaux!X:X,"en_cours")&gt;0,"travaux_en_cours",IF(COUNTIFS(Ventes!C:C,D283,Ventes!L:L,"signature")&gt;0,"vente_signature",IF(COUNTIFS(Ventes!C:C,D283,Ventes!AD:AD,"oui")&gt;0,"vente_bloquee",IF(COUNTIFS(Gestion_Locative!C:C,D283,Gestion_Locative!O:O,"incomplet")&gt;0,"gestion_fragile","stable"))))</f>
        <v>vente_bloquee</v>
      </c>
    </row>
    <row r="284" spans="1:22" ht="27.6" hidden="1" x14ac:dyDescent="0.3">
      <c r="A284" s="6" t="s">
        <v>202</v>
      </c>
      <c r="B284" s="1" t="s">
        <v>4510</v>
      </c>
      <c r="C284" s="6" t="s">
        <v>1564</v>
      </c>
      <c r="D284" s="6" t="s">
        <v>1617</v>
      </c>
      <c r="E284" s="6" t="s">
        <v>1566</v>
      </c>
      <c r="F284" s="6" t="s">
        <v>1618</v>
      </c>
      <c r="G284" s="18">
        <v>54</v>
      </c>
      <c r="H284">
        <v>73</v>
      </c>
      <c r="I284">
        <v>28</v>
      </c>
      <c r="J284" s="7" t="s">
        <v>1619</v>
      </c>
      <c r="K284" s="7" t="s">
        <v>1620</v>
      </c>
      <c r="L284" s="7" t="s">
        <v>1621</v>
      </c>
      <c r="M284" s="7" t="s">
        <v>1622</v>
      </c>
      <c r="N284" s="7"/>
      <c r="O284" s="7" t="s">
        <v>90</v>
      </c>
      <c r="P284" s="7"/>
      <c r="Q284" s="7" t="s">
        <v>93</v>
      </c>
      <c r="R284" s="7"/>
      <c r="S284" s="8"/>
      <c r="T284" s="8"/>
      <c r="U284" s="9" t="str">
        <f>IF(COUNTIFS(Contacts_Activation!D:D,D284,Contacts_Activation!N:N,"oui")&gt;0,"oui","non")</f>
        <v>oui</v>
      </c>
      <c r="V284" s="9" t="str">
        <f>IF(COUNTIFS(Travaux!C:C,D284,Travaux!X:X,"en_cours")&gt;0,"travaux_en_cours",IF(COUNTIFS(Ventes!C:C,D284,Ventes!L:L,"signature")&gt;0,"vente_signature",IF(COUNTIFS(Ventes!C:C,D284,Ventes!AD:AD,"oui")&gt;0,"vente_bloquee",IF(COUNTIFS(Gestion_Locative!C:C,D284,Gestion_Locative!O:O,"incomplet")&gt;0,"gestion_fragile","stable"))))</f>
        <v>vente_bloquee</v>
      </c>
    </row>
    <row r="285" spans="1:22" ht="14.4" hidden="1" x14ac:dyDescent="0.3">
      <c r="A285" s="6" t="s">
        <v>202</v>
      </c>
      <c r="B285" s="1" t="s">
        <v>4510</v>
      </c>
      <c r="C285" s="6" t="s">
        <v>1564</v>
      </c>
      <c r="D285" s="6" t="s">
        <v>1623</v>
      </c>
      <c r="E285" s="6" t="s">
        <v>1566</v>
      </c>
      <c r="F285" s="6" t="s">
        <v>1624</v>
      </c>
      <c r="G285" s="18">
        <v>54</v>
      </c>
      <c r="H285">
        <v>73</v>
      </c>
      <c r="I285">
        <v>28</v>
      </c>
      <c r="J285" s="7" t="s">
        <v>687</v>
      </c>
      <c r="K285" s="7" t="s">
        <v>966</v>
      </c>
      <c r="L285" s="7" t="s">
        <v>1625</v>
      </c>
      <c r="M285" s="7"/>
      <c r="N285" s="7"/>
      <c r="O285" s="7" t="s">
        <v>90</v>
      </c>
      <c r="P285" s="7"/>
      <c r="Q285" s="7" t="s">
        <v>93</v>
      </c>
      <c r="R285" s="7"/>
      <c r="S285" s="8"/>
      <c r="T285" s="8"/>
      <c r="U285" s="9" t="str">
        <f>IF(COUNTIFS(Contacts_Activation!D:D,D285,Contacts_Activation!N:N,"oui")&gt;0,"oui","non")</f>
        <v>oui</v>
      </c>
      <c r="V285" s="9" t="str">
        <f>IF(COUNTIFS(Travaux!C:C,D285,Travaux!X:X,"en_cours")&gt;0,"travaux_en_cours",IF(COUNTIFS(Ventes!C:C,D285,Ventes!L:L,"signature")&gt;0,"vente_signature",IF(COUNTIFS(Ventes!C:C,D285,Ventes!AD:AD,"oui")&gt;0,"vente_bloquee",IF(COUNTIFS(Gestion_Locative!C:C,D285,Gestion_Locative!O:O,"incomplet")&gt;0,"gestion_fragile","stable"))))</f>
        <v>vente_bloquee</v>
      </c>
    </row>
    <row r="286" spans="1:22" ht="14.4" hidden="1" x14ac:dyDescent="0.3">
      <c r="A286" s="6" t="s">
        <v>202</v>
      </c>
      <c r="B286" s="1" t="s">
        <v>4510</v>
      </c>
      <c r="C286" s="6" t="s">
        <v>1564</v>
      </c>
      <c r="D286" s="6" t="s">
        <v>1626</v>
      </c>
      <c r="E286" s="6" t="s">
        <v>1566</v>
      </c>
      <c r="F286" s="6" t="s">
        <v>1627</v>
      </c>
      <c r="G286" s="18">
        <v>54</v>
      </c>
      <c r="H286">
        <v>73</v>
      </c>
      <c r="I286">
        <v>28</v>
      </c>
      <c r="J286" s="7" t="s">
        <v>1628</v>
      </c>
      <c r="K286" s="7" t="s">
        <v>1629</v>
      </c>
      <c r="L286" s="7"/>
      <c r="M286" s="7"/>
      <c r="N286" s="7"/>
      <c r="O286" s="7" t="s">
        <v>90</v>
      </c>
      <c r="P286" s="7"/>
      <c r="Q286" s="7" t="s">
        <v>93</v>
      </c>
      <c r="R286" s="7"/>
      <c r="S286" s="8"/>
      <c r="T286" s="8"/>
      <c r="U286" s="9" t="str">
        <f>IF(COUNTIFS(Contacts_Activation!D:D,D286,Contacts_Activation!N:N,"oui")&gt;0,"oui","non")</f>
        <v>oui</v>
      </c>
      <c r="V286" s="9" t="str">
        <f>IF(COUNTIFS(Travaux!C:C,D286,Travaux!X:X,"en_cours")&gt;0,"travaux_en_cours",IF(COUNTIFS(Ventes!C:C,D286,Ventes!L:L,"signature")&gt;0,"vente_signature",IF(COUNTIFS(Ventes!C:C,D286,Ventes!AD:AD,"oui")&gt;0,"vente_bloquee",IF(COUNTIFS(Gestion_Locative!C:C,D286,Gestion_Locative!O:O,"incomplet")&gt;0,"gestion_fragile","stable"))))</f>
        <v>vente_bloquee</v>
      </c>
    </row>
    <row r="287" spans="1:22" ht="14.4" hidden="1" x14ac:dyDescent="0.3">
      <c r="A287" s="6" t="s">
        <v>202</v>
      </c>
      <c r="B287" s="1" t="s">
        <v>4510</v>
      </c>
      <c r="C287" s="6" t="s">
        <v>1564</v>
      </c>
      <c r="D287" s="6" t="s">
        <v>1630</v>
      </c>
      <c r="E287" s="6" t="s">
        <v>1566</v>
      </c>
      <c r="F287" s="6" t="s">
        <v>1631</v>
      </c>
      <c r="G287" s="18">
        <v>54</v>
      </c>
      <c r="H287">
        <v>73</v>
      </c>
      <c r="I287">
        <v>28</v>
      </c>
      <c r="J287" s="7" t="s">
        <v>1632</v>
      </c>
      <c r="K287" s="7" t="s">
        <v>1633</v>
      </c>
      <c r="L287" s="7" t="s">
        <v>1634</v>
      </c>
      <c r="M287" s="7" t="s">
        <v>1635</v>
      </c>
      <c r="N287" s="7"/>
      <c r="O287" s="7" t="s">
        <v>90</v>
      </c>
      <c r="P287" s="7"/>
      <c r="Q287" s="7" t="s">
        <v>93</v>
      </c>
      <c r="R287" s="7"/>
      <c r="S287" s="8"/>
      <c r="T287" s="8"/>
      <c r="U287" s="9" t="str">
        <f>IF(COUNTIFS(Contacts_Activation!D:D,D287,Contacts_Activation!N:N,"oui")&gt;0,"oui","non")</f>
        <v>oui</v>
      </c>
      <c r="V287" s="9" t="str">
        <f>IF(COUNTIFS(Travaux!C:C,D287,Travaux!X:X,"en_cours")&gt;0,"travaux_en_cours",IF(COUNTIFS(Ventes!C:C,D287,Ventes!L:L,"signature")&gt;0,"vente_signature",IF(COUNTIFS(Ventes!C:C,D287,Ventes!AD:AD,"oui")&gt;0,"vente_bloquee",IF(COUNTIFS(Gestion_Locative!C:C,D287,Gestion_Locative!O:O,"incomplet")&gt;0,"gestion_fragile","stable"))))</f>
        <v>vente_bloquee</v>
      </c>
    </row>
    <row r="288" spans="1:22" ht="14.4" hidden="1" x14ac:dyDescent="0.3">
      <c r="A288" s="6" t="s">
        <v>202</v>
      </c>
      <c r="B288" s="1" t="s">
        <v>4510</v>
      </c>
      <c r="C288" s="6" t="s">
        <v>1564</v>
      </c>
      <c r="D288" s="6" t="s">
        <v>1636</v>
      </c>
      <c r="E288" s="6" t="s">
        <v>1566</v>
      </c>
      <c r="F288" s="6" t="s">
        <v>1637</v>
      </c>
      <c r="G288" s="18">
        <v>54</v>
      </c>
      <c r="H288">
        <v>73</v>
      </c>
      <c r="I288">
        <v>28</v>
      </c>
      <c r="J288" s="7" t="s">
        <v>1638</v>
      </c>
      <c r="K288" s="7" t="s">
        <v>1639</v>
      </c>
      <c r="L288" s="7" t="s">
        <v>1640</v>
      </c>
      <c r="M288" s="7"/>
      <c r="N288" s="7"/>
      <c r="O288" s="7" t="s">
        <v>90</v>
      </c>
      <c r="P288" s="7"/>
      <c r="Q288" s="7" t="s">
        <v>93</v>
      </c>
      <c r="R288" s="7"/>
      <c r="S288" s="8"/>
      <c r="T288" s="8"/>
      <c r="U288" s="9" t="str">
        <f>IF(COUNTIFS(Contacts_Activation!D:D,D288,Contacts_Activation!N:N,"oui")&gt;0,"oui","non")</f>
        <v>oui</v>
      </c>
      <c r="V288" s="9" t="str">
        <f>IF(COUNTIFS(Travaux!C:C,D288,Travaux!X:X,"en_cours")&gt;0,"travaux_en_cours",IF(COUNTIFS(Ventes!C:C,D288,Ventes!L:L,"signature")&gt;0,"vente_signature",IF(COUNTIFS(Ventes!C:C,D288,Ventes!AD:AD,"oui")&gt;0,"vente_bloquee",IF(COUNTIFS(Gestion_Locative!C:C,D288,Gestion_Locative!O:O,"incomplet")&gt;0,"gestion_fragile","stable"))))</f>
        <v>vente_bloquee</v>
      </c>
    </row>
    <row r="289" spans="1:22" ht="14.4" hidden="1" x14ac:dyDescent="0.3">
      <c r="A289" s="6" t="s">
        <v>202</v>
      </c>
      <c r="B289" s="1" t="s">
        <v>4510</v>
      </c>
      <c r="C289" s="6" t="s">
        <v>1564</v>
      </c>
      <c r="D289" s="6" t="s">
        <v>1641</v>
      </c>
      <c r="E289" s="6" t="s">
        <v>1566</v>
      </c>
      <c r="F289" s="6" t="s">
        <v>1642</v>
      </c>
      <c r="G289" s="18">
        <v>54</v>
      </c>
      <c r="H289">
        <v>73</v>
      </c>
      <c r="I289">
        <v>28</v>
      </c>
      <c r="J289" s="7" t="s">
        <v>1643</v>
      </c>
      <c r="K289" s="7" t="s">
        <v>312</v>
      </c>
      <c r="L289" s="7" t="s">
        <v>1644</v>
      </c>
      <c r="M289" s="7"/>
      <c r="N289" s="7"/>
      <c r="O289" s="7" t="s">
        <v>90</v>
      </c>
      <c r="P289" s="7"/>
      <c r="Q289" s="7" t="s">
        <v>93</v>
      </c>
      <c r="R289" s="7"/>
      <c r="S289" s="8"/>
      <c r="T289" s="8"/>
      <c r="U289" s="9" t="str">
        <f>IF(COUNTIFS(Contacts_Activation!D:D,D289,Contacts_Activation!N:N,"oui")&gt;0,"oui","non")</f>
        <v>oui</v>
      </c>
      <c r="V289" s="9" t="str">
        <f>IF(COUNTIFS(Travaux!C:C,D289,Travaux!X:X,"en_cours")&gt;0,"travaux_en_cours",IF(COUNTIFS(Ventes!C:C,D289,Ventes!L:L,"signature")&gt;0,"vente_signature",IF(COUNTIFS(Ventes!C:C,D289,Ventes!AD:AD,"oui")&gt;0,"vente_bloquee",IF(COUNTIFS(Gestion_Locative!C:C,D289,Gestion_Locative!O:O,"incomplet")&gt;0,"gestion_fragile","stable"))))</f>
        <v>vente_bloquee</v>
      </c>
    </row>
    <row r="290" spans="1:22" ht="14.4" hidden="1" x14ac:dyDescent="0.3">
      <c r="A290" s="6" t="s">
        <v>202</v>
      </c>
      <c r="B290" s="1" t="s">
        <v>4510</v>
      </c>
      <c r="C290" s="6" t="s">
        <v>1564</v>
      </c>
      <c r="D290" s="6" t="s">
        <v>1645</v>
      </c>
      <c r="E290" s="6" t="s">
        <v>1566</v>
      </c>
      <c r="F290" s="6" t="s">
        <v>1646</v>
      </c>
      <c r="G290" s="18">
        <v>54</v>
      </c>
      <c r="H290">
        <v>73</v>
      </c>
      <c r="I290">
        <v>28</v>
      </c>
      <c r="J290" s="7" t="s">
        <v>1647</v>
      </c>
      <c r="K290" s="7" t="s">
        <v>1648</v>
      </c>
      <c r="L290" s="7" t="s">
        <v>1649</v>
      </c>
      <c r="M290" s="7"/>
      <c r="N290" s="7" t="s">
        <v>1650</v>
      </c>
      <c r="O290" s="7" t="s">
        <v>90</v>
      </c>
      <c r="P290" s="7"/>
      <c r="Q290" s="7" t="s">
        <v>93</v>
      </c>
      <c r="R290" s="7"/>
      <c r="S290" s="8"/>
      <c r="T290" s="8"/>
      <c r="U290" s="9" t="str">
        <f>IF(COUNTIFS(Contacts_Activation!D:D,D290,Contacts_Activation!N:N,"oui")&gt;0,"oui","non")</f>
        <v>oui</v>
      </c>
      <c r="V290" s="9" t="str">
        <f>IF(COUNTIFS(Travaux!C:C,D290,Travaux!X:X,"en_cours")&gt;0,"travaux_en_cours",IF(COUNTIFS(Ventes!C:C,D290,Ventes!L:L,"signature")&gt;0,"vente_signature",IF(COUNTIFS(Ventes!C:C,D290,Ventes!AD:AD,"oui")&gt;0,"vente_bloquee",IF(COUNTIFS(Gestion_Locative!C:C,D290,Gestion_Locative!O:O,"incomplet")&gt;0,"gestion_fragile","stable"))))</f>
        <v>vente_bloquee</v>
      </c>
    </row>
    <row r="291" spans="1:22" ht="14.4" hidden="1" x14ac:dyDescent="0.3">
      <c r="A291" s="6" t="s">
        <v>202</v>
      </c>
      <c r="B291" s="1" t="s">
        <v>4510</v>
      </c>
      <c r="C291" s="6" t="s">
        <v>1564</v>
      </c>
      <c r="D291" s="6" t="s">
        <v>1651</v>
      </c>
      <c r="E291" s="6" t="s">
        <v>1566</v>
      </c>
      <c r="F291" s="6" t="s">
        <v>1652</v>
      </c>
      <c r="G291" s="18">
        <v>54</v>
      </c>
      <c r="H291">
        <v>73</v>
      </c>
      <c r="I291">
        <v>28</v>
      </c>
      <c r="J291" s="7" t="s">
        <v>1016</v>
      </c>
      <c r="K291" s="7" t="s">
        <v>1653</v>
      </c>
      <c r="L291" s="7" t="s">
        <v>1654</v>
      </c>
      <c r="M291" s="7"/>
      <c r="N291" s="7"/>
      <c r="O291" s="7" t="s">
        <v>90</v>
      </c>
      <c r="P291" s="7"/>
      <c r="Q291" s="7" t="s">
        <v>93</v>
      </c>
      <c r="R291" s="7"/>
      <c r="S291" s="8"/>
      <c r="T291" s="8"/>
      <c r="U291" s="9" t="str">
        <f>IF(COUNTIFS(Contacts_Activation!D:D,D291,Contacts_Activation!N:N,"oui")&gt;0,"oui","non")</f>
        <v>oui</v>
      </c>
      <c r="V291" s="9" t="str">
        <f>IF(COUNTIFS(Travaux!C:C,D291,Travaux!X:X,"en_cours")&gt;0,"travaux_en_cours",IF(COUNTIFS(Ventes!C:C,D291,Ventes!L:L,"signature")&gt;0,"vente_signature",IF(COUNTIFS(Ventes!C:C,D291,Ventes!AD:AD,"oui")&gt;0,"vente_bloquee",IF(COUNTIFS(Gestion_Locative!C:C,D291,Gestion_Locative!O:O,"incomplet")&gt;0,"gestion_fragile","stable"))))</f>
        <v>vente_bloquee</v>
      </c>
    </row>
    <row r="292" spans="1:22" ht="14.4" hidden="1" x14ac:dyDescent="0.3">
      <c r="A292" s="6" t="s">
        <v>202</v>
      </c>
      <c r="B292" s="1" t="s">
        <v>4510</v>
      </c>
      <c r="C292" s="6" t="s">
        <v>1564</v>
      </c>
      <c r="D292" s="6" t="s">
        <v>1655</v>
      </c>
      <c r="E292" s="6" t="s">
        <v>1566</v>
      </c>
      <c r="F292" s="6" t="s">
        <v>1656</v>
      </c>
      <c r="G292" s="18">
        <v>54</v>
      </c>
      <c r="H292">
        <v>73</v>
      </c>
      <c r="I292">
        <v>28</v>
      </c>
      <c r="J292" s="7" t="s">
        <v>1657</v>
      </c>
      <c r="K292" s="7" t="s">
        <v>424</v>
      </c>
      <c r="L292" s="7" t="s">
        <v>1658</v>
      </c>
      <c r="M292" s="7"/>
      <c r="N292" s="7"/>
      <c r="O292" s="7" t="s">
        <v>90</v>
      </c>
      <c r="P292" s="7"/>
      <c r="Q292" s="7" t="s">
        <v>93</v>
      </c>
      <c r="R292" s="7"/>
      <c r="S292" s="8"/>
      <c r="T292" s="8"/>
      <c r="U292" s="9" t="str">
        <f>IF(COUNTIFS(Contacts_Activation!D:D,D292,Contacts_Activation!N:N,"oui")&gt;0,"oui","non")</f>
        <v>oui</v>
      </c>
      <c r="V292" s="9" t="str">
        <f>IF(COUNTIFS(Travaux!C:C,D292,Travaux!X:X,"en_cours")&gt;0,"travaux_en_cours",IF(COUNTIFS(Ventes!C:C,D292,Ventes!L:L,"signature")&gt;0,"vente_signature",IF(COUNTIFS(Ventes!C:C,D292,Ventes!AD:AD,"oui")&gt;0,"vente_bloquee",IF(COUNTIFS(Gestion_Locative!C:C,D292,Gestion_Locative!O:O,"incomplet")&gt;0,"gestion_fragile","stable"))))</f>
        <v>vente_bloquee</v>
      </c>
    </row>
    <row r="293" spans="1:22" ht="27.6" hidden="1" x14ac:dyDescent="0.3">
      <c r="A293" s="6" t="s">
        <v>202</v>
      </c>
      <c r="B293" s="1" t="s">
        <v>4510</v>
      </c>
      <c r="C293" s="6" t="s">
        <v>1564</v>
      </c>
      <c r="D293" s="6" t="s">
        <v>1659</v>
      </c>
      <c r="E293" s="6" t="s">
        <v>1566</v>
      </c>
      <c r="F293" s="6" t="s">
        <v>1660</v>
      </c>
      <c r="G293" s="18">
        <v>54</v>
      </c>
      <c r="H293">
        <v>73</v>
      </c>
      <c r="I293">
        <v>28</v>
      </c>
      <c r="J293" s="7" t="s">
        <v>1661</v>
      </c>
      <c r="K293" s="7" t="s">
        <v>1662</v>
      </c>
      <c r="L293" s="7" t="s">
        <v>1663</v>
      </c>
      <c r="M293" s="7" t="s">
        <v>1664</v>
      </c>
      <c r="N293" s="7"/>
      <c r="O293" s="7" t="s">
        <v>90</v>
      </c>
      <c r="P293" s="7"/>
      <c r="Q293" s="7" t="s">
        <v>93</v>
      </c>
      <c r="R293" s="7"/>
      <c r="S293" s="8"/>
      <c r="T293" s="8"/>
      <c r="U293" s="9" t="str">
        <f>IF(COUNTIFS(Contacts_Activation!D:D,D293,Contacts_Activation!N:N,"oui")&gt;0,"oui","non")</f>
        <v>oui</v>
      </c>
      <c r="V293" s="9" t="str">
        <f>IF(COUNTIFS(Travaux!C:C,D293,Travaux!X:X,"en_cours")&gt;0,"travaux_en_cours",IF(COUNTIFS(Ventes!C:C,D293,Ventes!L:L,"signature")&gt;0,"vente_signature",IF(COUNTIFS(Ventes!C:C,D293,Ventes!AD:AD,"oui")&gt;0,"vente_bloquee",IF(COUNTIFS(Gestion_Locative!C:C,D293,Gestion_Locative!O:O,"incomplet")&gt;0,"gestion_fragile","stable"))))</f>
        <v>vente_bloquee</v>
      </c>
    </row>
    <row r="294" spans="1:22" ht="27.6" hidden="1" x14ac:dyDescent="0.3">
      <c r="A294" s="6" t="s">
        <v>202</v>
      </c>
      <c r="B294" s="1" t="s">
        <v>4510</v>
      </c>
      <c r="C294" s="6" t="s">
        <v>1564</v>
      </c>
      <c r="D294" s="6" t="s">
        <v>1665</v>
      </c>
      <c r="E294" s="6" t="s">
        <v>1566</v>
      </c>
      <c r="F294" s="6" t="s">
        <v>1666</v>
      </c>
      <c r="G294" s="18">
        <v>54</v>
      </c>
      <c r="H294">
        <v>73</v>
      </c>
      <c r="I294">
        <v>28</v>
      </c>
      <c r="J294" s="7" t="s">
        <v>458</v>
      </c>
      <c r="K294" s="7" t="s">
        <v>1667</v>
      </c>
      <c r="L294" s="7" t="s">
        <v>1668</v>
      </c>
      <c r="M294" s="7" t="s">
        <v>1669</v>
      </c>
      <c r="N294" s="7"/>
      <c r="O294" s="7" t="s">
        <v>90</v>
      </c>
      <c r="P294" s="7"/>
      <c r="Q294" s="7" t="s">
        <v>93</v>
      </c>
      <c r="R294" s="7"/>
      <c r="S294" s="8"/>
      <c r="T294" s="8"/>
      <c r="U294" s="9" t="str">
        <f>IF(COUNTIFS(Contacts_Activation!D:D,D294,Contacts_Activation!N:N,"oui")&gt;0,"oui","non")</f>
        <v>oui</v>
      </c>
      <c r="V294" s="9" t="str">
        <f>IF(COUNTIFS(Travaux!C:C,D294,Travaux!X:X,"en_cours")&gt;0,"travaux_en_cours",IF(COUNTIFS(Ventes!C:C,D294,Ventes!L:L,"signature")&gt;0,"vente_signature",IF(COUNTIFS(Ventes!C:C,D294,Ventes!AD:AD,"oui")&gt;0,"vente_bloquee",IF(COUNTIFS(Gestion_Locative!C:C,D294,Gestion_Locative!O:O,"incomplet")&gt;0,"gestion_fragile","stable"))))</f>
        <v>vente_bloquee</v>
      </c>
    </row>
    <row r="295" spans="1:22" ht="14.4" hidden="1" x14ac:dyDescent="0.3">
      <c r="A295" s="6" t="s">
        <v>202</v>
      </c>
      <c r="B295" s="1" t="s">
        <v>4510</v>
      </c>
      <c r="C295" s="6" t="s">
        <v>1564</v>
      </c>
      <c r="D295" s="6" t="s">
        <v>1670</v>
      </c>
      <c r="E295" s="6" t="s">
        <v>1566</v>
      </c>
      <c r="F295" s="6" t="s">
        <v>1671</v>
      </c>
      <c r="G295" s="18">
        <v>54</v>
      </c>
      <c r="H295">
        <v>73</v>
      </c>
      <c r="I295">
        <v>28</v>
      </c>
      <c r="J295" s="7" t="s">
        <v>1672</v>
      </c>
      <c r="K295" s="7" t="s">
        <v>1673</v>
      </c>
      <c r="L295" s="7" t="s">
        <v>1674</v>
      </c>
      <c r="M295" s="7"/>
      <c r="N295" s="7"/>
      <c r="O295" s="7" t="s">
        <v>90</v>
      </c>
      <c r="P295" s="7"/>
      <c r="Q295" s="7" t="s">
        <v>93</v>
      </c>
      <c r="R295" s="7"/>
      <c r="S295" s="8"/>
      <c r="T295" s="8"/>
      <c r="U295" s="9" t="str">
        <f>IF(COUNTIFS(Contacts_Activation!D:D,D295,Contacts_Activation!N:N,"oui")&gt;0,"oui","non")</f>
        <v>oui</v>
      </c>
      <c r="V295" s="9" t="str">
        <f>IF(COUNTIFS(Travaux!C:C,D295,Travaux!X:X,"en_cours")&gt;0,"travaux_en_cours",IF(COUNTIFS(Ventes!C:C,D295,Ventes!L:L,"signature")&gt;0,"vente_signature",IF(COUNTIFS(Ventes!C:C,D295,Ventes!AD:AD,"oui")&gt;0,"vente_bloquee",IF(COUNTIFS(Gestion_Locative!C:C,D295,Gestion_Locative!O:O,"incomplet")&gt;0,"gestion_fragile","stable"))))</f>
        <v>vente_bloquee</v>
      </c>
    </row>
    <row r="296" spans="1:22" ht="14.4" hidden="1" x14ac:dyDescent="0.3">
      <c r="A296" s="6" t="s">
        <v>202</v>
      </c>
      <c r="B296" s="1" t="s">
        <v>4510</v>
      </c>
      <c r="C296" s="6" t="s">
        <v>1564</v>
      </c>
      <c r="D296" s="6" t="s">
        <v>1675</v>
      </c>
      <c r="E296" s="6" t="s">
        <v>1566</v>
      </c>
      <c r="F296" s="6" t="s">
        <v>1676</v>
      </c>
      <c r="G296" s="18">
        <v>54</v>
      </c>
      <c r="H296">
        <v>73</v>
      </c>
      <c r="I296">
        <v>28</v>
      </c>
      <c r="J296" s="7" t="s">
        <v>1356</v>
      </c>
      <c r="K296" s="7" t="s">
        <v>1677</v>
      </c>
      <c r="L296" s="7" t="s">
        <v>1678</v>
      </c>
      <c r="M296" s="7" t="s">
        <v>1679</v>
      </c>
      <c r="N296" s="7" t="s">
        <v>1680</v>
      </c>
      <c r="O296" s="7" t="s">
        <v>90</v>
      </c>
      <c r="P296" s="7"/>
      <c r="Q296" s="7" t="s">
        <v>93</v>
      </c>
      <c r="R296" s="7"/>
      <c r="S296" s="8"/>
      <c r="T296" s="8"/>
      <c r="U296" s="9" t="str">
        <f>IF(COUNTIFS(Contacts_Activation!D:D,D296,Contacts_Activation!N:N,"oui")&gt;0,"oui","non")</f>
        <v>oui</v>
      </c>
      <c r="V296" s="9" t="str">
        <f>IF(COUNTIFS(Travaux!C:C,D296,Travaux!X:X,"en_cours")&gt;0,"travaux_en_cours",IF(COUNTIFS(Ventes!C:C,D296,Ventes!L:L,"signature")&gt;0,"vente_signature",IF(COUNTIFS(Ventes!C:C,D296,Ventes!AD:AD,"oui")&gt;0,"vente_bloquee",IF(COUNTIFS(Gestion_Locative!C:C,D296,Gestion_Locative!O:O,"incomplet")&gt;0,"gestion_fragile","stable"))))</f>
        <v>vente_bloquee</v>
      </c>
    </row>
    <row r="297" spans="1:22" ht="14.4" hidden="1" x14ac:dyDescent="0.3">
      <c r="A297" s="6" t="s">
        <v>202</v>
      </c>
      <c r="B297" s="1" t="s">
        <v>4510</v>
      </c>
      <c r="C297" s="6" t="s">
        <v>1564</v>
      </c>
      <c r="D297" s="6" t="s">
        <v>1681</v>
      </c>
      <c r="E297" s="6" t="s">
        <v>1566</v>
      </c>
      <c r="F297" s="6" t="s">
        <v>1682</v>
      </c>
      <c r="G297" s="18">
        <v>54</v>
      </c>
      <c r="H297">
        <v>73</v>
      </c>
      <c r="I297">
        <v>28</v>
      </c>
      <c r="J297" s="7" t="s">
        <v>1683</v>
      </c>
      <c r="K297" s="7" t="s">
        <v>1684</v>
      </c>
      <c r="L297" s="7" t="s">
        <v>1685</v>
      </c>
      <c r="M297" s="7"/>
      <c r="N297" s="7"/>
      <c r="O297" s="7" t="s">
        <v>90</v>
      </c>
      <c r="P297" s="7"/>
      <c r="Q297" s="7" t="s">
        <v>93</v>
      </c>
      <c r="R297" s="7"/>
      <c r="S297" s="8"/>
      <c r="T297" s="8"/>
      <c r="U297" s="9" t="str">
        <f>IF(COUNTIFS(Contacts_Activation!D:D,D297,Contacts_Activation!N:N,"oui")&gt;0,"oui","non")</f>
        <v>oui</v>
      </c>
      <c r="V297" s="9" t="str">
        <f>IF(COUNTIFS(Travaux!C:C,D297,Travaux!X:X,"en_cours")&gt;0,"travaux_en_cours",IF(COUNTIFS(Ventes!C:C,D297,Ventes!L:L,"signature")&gt;0,"vente_signature",IF(COUNTIFS(Ventes!C:C,D297,Ventes!AD:AD,"oui")&gt;0,"vente_bloquee",IF(COUNTIFS(Gestion_Locative!C:C,D297,Gestion_Locative!O:O,"incomplet")&gt;0,"gestion_fragile","stable"))))</f>
        <v>vente_bloquee</v>
      </c>
    </row>
    <row r="298" spans="1:22" ht="14.4" hidden="1" x14ac:dyDescent="0.3">
      <c r="A298" s="6" t="s">
        <v>202</v>
      </c>
      <c r="B298" s="1" t="s">
        <v>4510</v>
      </c>
      <c r="C298" s="6" t="s">
        <v>1564</v>
      </c>
      <c r="D298" s="6" t="s">
        <v>1686</v>
      </c>
      <c r="E298" s="6" t="s">
        <v>1566</v>
      </c>
      <c r="F298" s="6" t="s">
        <v>1687</v>
      </c>
      <c r="G298" s="18">
        <v>54</v>
      </c>
      <c r="H298">
        <v>73</v>
      </c>
      <c r="I298">
        <v>28</v>
      </c>
      <c r="J298" s="7" t="s">
        <v>1688</v>
      </c>
      <c r="K298" s="7" t="s">
        <v>1689</v>
      </c>
      <c r="L298" s="7" t="s">
        <v>1690</v>
      </c>
      <c r="M298" s="7" t="s">
        <v>1691</v>
      </c>
      <c r="N298" s="7"/>
      <c r="O298" s="7" t="s">
        <v>90</v>
      </c>
      <c r="P298" s="7"/>
      <c r="Q298" s="7" t="s">
        <v>93</v>
      </c>
      <c r="R298" s="7"/>
      <c r="S298" s="8"/>
      <c r="T298" s="8"/>
      <c r="U298" s="9" t="str">
        <f>IF(COUNTIFS(Contacts_Activation!D:D,D298,Contacts_Activation!N:N,"oui")&gt;0,"oui","non")</f>
        <v>oui</v>
      </c>
      <c r="V298" s="9" t="str">
        <f>IF(COUNTIFS(Travaux!C:C,D298,Travaux!X:X,"en_cours")&gt;0,"travaux_en_cours",IF(COUNTIFS(Ventes!C:C,D298,Ventes!L:L,"signature")&gt;0,"vente_signature",IF(COUNTIFS(Ventes!C:C,D298,Ventes!AD:AD,"oui")&gt;0,"vente_bloquee",IF(COUNTIFS(Gestion_Locative!C:C,D298,Gestion_Locative!O:O,"incomplet")&gt;0,"gestion_fragile","stable"))))</f>
        <v>vente_bloquee</v>
      </c>
    </row>
    <row r="299" spans="1:22" ht="14.4" hidden="1" x14ac:dyDescent="0.3">
      <c r="A299" s="6" t="s">
        <v>202</v>
      </c>
      <c r="B299" s="1" t="s">
        <v>4510</v>
      </c>
      <c r="C299" s="6" t="s">
        <v>1564</v>
      </c>
      <c r="D299" s="6" t="s">
        <v>1692</v>
      </c>
      <c r="E299" s="6" t="s">
        <v>1566</v>
      </c>
      <c r="F299" s="6" t="s">
        <v>1693</v>
      </c>
      <c r="G299" s="18">
        <v>54</v>
      </c>
      <c r="H299">
        <v>73</v>
      </c>
      <c r="I299">
        <v>28</v>
      </c>
      <c r="J299" s="7" t="s">
        <v>1694</v>
      </c>
      <c r="K299" s="7" t="s">
        <v>1695</v>
      </c>
      <c r="L299" s="7" t="s">
        <v>1696</v>
      </c>
      <c r="M299" s="7"/>
      <c r="N299" s="7"/>
      <c r="O299" s="7" t="s">
        <v>90</v>
      </c>
      <c r="P299" s="7"/>
      <c r="Q299" s="7" t="s">
        <v>93</v>
      </c>
      <c r="R299" s="7"/>
      <c r="S299" s="8"/>
      <c r="T299" s="8"/>
      <c r="U299" s="9" t="str">
        <f>IF(COUNTIFS(Contacts_Activation!D:D,D299,Contacts_Activation!N:N,"oui")&gt;0,"oui","non")</f>
        <v>oui</v>
      </c>
      <c r="V299" s="9" t="str">
        <f>IF(COUNTIFS(Travaux!C:C,D299,Travaux!X:X,"en_cours")&gt;0,"travaux_en_cours",IF(COUNTIFS(Ventes!C:C,D299,Ventes!L:L,"signature")&gt;0,"vente_signature",IF(COUNTIFS(Ventes!C:C,D299,Ventes!AD:AD,"oui")&gt;0,"vente_bloquee",IF(COUNTIFS(Gestion_Locative!C:C,D299,Gestion_Locative!O:O,"incomplet")&gt;0,"gestion_fragile","stable"))))</f>
        <v>vente_bloquee</v>
      </c>
    </row>
    <row r="300" spans="1:22" ht="14.4" hidden="1" x14ac:dyDescent="0.3">
      <c r="A300" s="6" t="s">
        <v>202</v>
      </c>
      <c r="B300" s="1" t="s">
        <v>4510</v>
      </c>
      <c r="C300" s="6" t="s">
        <v>1564</v>
      </c>
      <c r="D300" s="6" t="s">
        <v>1697</v>
      </c>
      <c r="E300" s="6" t="s">
        <v>1566</v>
      </c>
      <c r="F300" s="6" t="s">
        <v>1698</v>
      </c>
      <c r="G300" s="18">
        <v>54</v>
      </c>
      <c r="H300">
        <v>73</v>
      </c>
      <c r="I300">
        <v>28</v>
      </c>
      <c r="J300" s="7" t="s">
        <v>1699</v>
      </c>
      <c r="K300" s="7" t="s">
        <v>754</v>
      </c>
      <c r="L300" s="7"/>
      <c r="M300" s="7"/>
      <c r="N300" s="7"/>
      <c r="O300" s="7" t="s">
        <v>90</v>
      </c>
      <c r="P300" s="7"/>
      <c r="Q300" s="7" t="s">
        <v>93</v>
      </c>
      <c r="R300" s="7"/>
      <c r="S300" s="8"/>
      <c r="T300" s="8"/>
      <c r="U300" s="9" t="str">
        <f>IF(COUNTIFS(Contacts_Activation!D:D,D300,Contacts_Activation!N:N,"oui")&gt;0,"oui","non")</f>
        <v>oui</v>
      </c>
      <c r="V300" s="9" t="str">
        <f>IF(COUNTIFS(Travaux!C:C,D300,Travaux!X:X,"en_cours")&gt;0,"travaux_en_cours",IF(COUNTIFS(Ventes!C:C,D300,Ventes!L:L,"signature")&gt;0,"vente_signature",IF(COUNTIFS(Ventes!C:C,D300,Ventes!AD:AD,"oui")&gt;0,"vente_bloquee",IF(COUNTIFS(Gestion_Locative!C:C,D300,Gestion_Locative!O:O,"incomplet")&gt;0,"gestion_fragile","stable"))))</f>
        <v>vente_bloquee</v>
      </c>
    </row>
    <row r="301" spans="1:22" ht="14.4" hidden="1" x14ac:dyDescent="0.3">
      <c r="A301" s="6" t="s">
        <v>202</v>
      </c>
      <c r="B301" s="1" t="s">
        <v>4510</v>
      </c>
      <c r="C301" s="6" t="s">
        <v>1564</v>
      </c>
      <c r="D301" s="6" t="s">
        <v>1700</v>
      </c>
      <c r="E301" s="6" t="s">
        <v>1566</v>
      </c>
      <c r="F301" s="6" t="s">
        <v>1701</v>
      </c>
      <c r="G301" s="18">
        <v>54</v>
      </c>
      <c r="H301">
        <v>73</v>
      </c>
      <c r="I301">
        <v>28</v>
      </c>
      <c r="J301" s="7" t="s">
        <v>284</v>
      </c>
      <c r="K301" s="7" t="s">
        <v>1064</v>
      </c>
      <c r="L301" s="7" t="s">
        <v>1702</v>
      </c>
      <c r="M301" s="7"/>
      <c r="N301" s="7"/>
      <c r="O301" s="7" t="s">
        <v>90</v>
      </c>
      <c r="P301" s="7"/>
      <c r="Q301" s="7" t="s">
        <v>93</v>
      </c>
      <c r="R301" s="7"/>
      <c r="S301" s="8"/>
      <c r="T301" s="8"/>
      <c r="U301" s="9" t="str">
        <f>IF(COUNTIFS(Contacts_Activation!D:D,D301,Contacts_Activation!N:N,"oui")&gt;0,"oui","non")</f>
        <v>oui</v>
      </c>
      <c r="V301" s="9" t="str">
        <f>IF(COUNTIFS(Travaux!C:C,D301,Travaux!X:X,"en_cours")&gt;0,"travaux_en_cours",IF(COUNTIFS(Ventes!C:C,D301,Ventes!L:L,"signature")&gt;0,"vente_signature",IF(COUNTIFS(Ventes!C:C,D301,Ventes!AD:AD,"oui")&gt;0,"vente_bloquee",IF(COUNTIFS(Gestion_Locative!C:C,D301,Gestion_Locative!O:O,"incomplet")&gt;0,"gestion_fragile","stable"))))</f>
        <v>vente_bloquee</v>
      </c>
    </row>
    <row r="302" spans="1:22" ht="14.4" hidden="1" x14ac:dyDescent="0.3">
      <c r="A302" s="6" t="s">
        <v>202</v>
      </c>
      <c r="B302" s="1" t="s">
        <v>4510</v>
      </c>
      <c r="C302" s="6" t="s">
        <v>1564</v>
      </c>
      <c r="D302" s="6" t="s">
        <v>1703</v>
      </c>
      <c r="E302" s="6" t="s">
        <v>1566</v>
      </c>
      <c r="F302" s="6" t="s">
        <v>1704</v>
      </c>
      <c r="G302" s="18">
        <v>54</v>
      </c>
      <c r="H302">
        <v>73</v>
      </c>
      <c r="I302">
        <v>28</v>
      </c>
      <c r="J302" s="7" t="s">
        <v>1705</v>
      </c>
      <c r="K302" s="7" t="s">
        <v>1706</v>
      </c>
      <c r="L302" s="7"/>
      <c r="M302" s="7"/>
      <c r="N302" s="7"/>
      <c r="O302" s="7" t="s">
        <v>90</v>
      </c>
      <c r="P302" s="7"/>
      <c r="Q302" s="7" t="s">
        <v>93</v>
      </c>
      <c r="R302" s="7"/>
      <c r="S302" s="8"/>
      <c r="T302" s="8"/>
      <c r="U302" s="9" t="str">
        <f>IF(COUNTIFS(Contacts_Activation!D:D,D302,Contacts_Activation!N:N,"oui")&gt;0,"oui","non")</f>
        <v>oui</v>
      </c>
      <c r="V302" s="9" t="str">
        <f>IF(COUNTIFS(Travaux!C:C,D302,Travaux!X:X,"en_cours")&gt;0,"travaux_en_cours",IF(COUNTIFS(Ventes!C:C,D302,Ventes!L:L,"signature")&gt;0,"vente_signature",IF(COUNTIFS(Ventes!C:C,D302,Ventes!AD:AD,"oui")&gt;0,"vente_bloquee",IF(COUNTIFS(Gestion_Locative!C:C,D302,Gestion_Locative!O:O,"incomplet")&gt;0,"gestion_fragile","stable"))))</f>
        <v>vente_bloquee</v>
      </c>
    </row>
    <row r="303" spans="1:22" ht="14.4" hidden="1" x14ac:dyDescent="0.3">
      <c r="A303" s="6" t="s">
        <v>202</v>
      </c>
      <c r="B303" s="1" t="s">
        <v>4510</v>
      </c>
      <c r="C303" s="6" t="s">
        <v>1564</v>
      </c>
      <c r="D303" s="6" t="s">
        <v>1707</v>
      </c>
      <c r="E303" s="6" t="s">
        <v>1566</v>
      </c>
      <c r="F303" s="6" t="s">
        <v>1708</v>
      </c>
      <c r="G303" s="18">
        <v>54</v>
      </c>
      <c r="H303">
        <v>73</v>
      </c>
      <c r="I303">
        <v>28</v>
      </c>
      <c r="J303" s="7" t="s">
        <v>1709</v>
      </c>
      <c r="K303" s="7" t="s">
        <v>1710</v>
      </c>
      <c r="L303" s="7" t="s">
        <v>1711</v>
      </c>
      <c r="M303" s="7"/>
      <c r="N303" s="7" t="s">
        <v>1712</v>
      </c>
      <c r="O303" s="7" t="s">
        <v>90</v>
      </c>
      <c r="P303" s="7"/>
      <c r="Q303" s="7" t="s">
        <v>93</v>
      </c>
      <c r="R303" s="7"/>
      <c r="S303" s="8"/>
      <c r="T303" s="8"/>
      <c r="U303" s="9" t="str">
        <f>IF(COUNTIFS(Contacts_Activation!D:D,D303,Contacts_Activation!N:N,"oui")&gt;0,"oui","non")</f>
        <v>oui</v>
      </c>
      <c r="V303" s="9" t="str">
        <f>IF(COUNTIFS(Travaux!C:C,D303,Travaux!X:X,"en_cours")&gt;0,"travaux_en_cours",IF(COUNTIFS(Ventes!C:C,D303,Ventes!L:L,"signature")&gt;0,"vente_signature",IF(COUNTIFS(Ventes!C:C,D303,Ventes!AD:AD,"oui")&gt;0,"vente_bloquee",IF(COUNTIFS(Gestion_Locative!C:C,D303,Gestion_Locative!O:O,"incomplet")&gt;0,"gestion_fragile","stable"))))</f>
        <v>vente_bloquee</v>
      </c>
    </row>
    <row r="304" spans="1:22" ht="14.4" hidden="1" x14ac:dyDescent="0.3">
      <c r="A304" s="6" t="s">
        <v>202</v>
      </c>
      <c r="B304" s="1" t="s">
        <v>4510</v>
      </c>
      <c r="C304" s="6" t="s">
        <v>1564</v>
      </c>
      <c r="D304" s="6" t="s">
        <v>1713</v>
      </c>
      <c r="E304" s="6" t="s">
        <v>1566</v>
      </c>
      <c r="F304" s="6" t="s">
        <v>1714</v>
      </c>
      <c r="G304" s="18">
        <v>54</v>
      </c>
      <c r="H304">
        <v>73</v>
      </c>
      <c r="I304">
        <v>28</v>
      </c>
      <c r="J304" s="7" t="s">
        <v>1715</v>
      </c>
      <c r="K304" s="7" t="s">
        <v>1716</v>
      </c>
      <c r="L304" s="7" t="s">
        <v>1717</v>
      </c>
      <c r="M304" s="7" t="s">
        <v>1718</v>
      </c>
      <c r="N304" s="7"/>
      <c r="O304" s="7" t="s">
        <v>90</v>
      </c>
      <c r="P304" s="7"/>
      <c r="Q304" s="7" t="s">
        <v>93</v>
      </c>
      <c r="R304" s="7"/>
      <c r="S304" s="8"/>
      <c r="T304" s="8"/>
      <c r="U304" s="9" t="str">
        <f>IF(COUNTIFS(Contacts_Activation!D:D,D304,Contacts_Activation!N:N,"oui")&gt;0,"oui","non")</f>
        <v>oui</v>
      </c>
      <c r="V304" s="9" t="str">
        <f>IF(COUNTIFS(Travaux!C:C,D304,Travaux!X:X,"en_cours")&gt;0,"travaux_en_cours",IF(COUNTIFS(Ventes!C:C,D304,Ventes!L:L,"signature")&gt;0,"vente_signature",IF(COUNTIFS(Ventes!C:C,D304,Ventes!AD:AD,"oui")&gt;0,"vente_bloquee",IF(COUNTIFS(Gestion_Locative!C:C,D304,Gestion_Locative!O:O,"incomplet")&gt;0,"gestion_fragile","stable"))))</f>
        <v>vente_bloquee</v>
      </c>
    </row>
    <row r="305" spans="1:22" ht="14.4" hidden="1" x14ac:dyDescent="0.3">
      <c r="A305" s="6" t="s">
        <v>202</v>
      </c>
      <c r="B305" s="1" t="s">
        <v>4510</v>
      </c>
      <c r="C305" s="6" t="s">
        <v>1564</v>
      </c>
      <c r="D305" s="6" t="s">
        <v>1719</v>
      </c>
      <c r="E305" s="6" t="s">
        <v>1566</v>
      </c>
      <c r="F305" s="6" t="s">
        <v>1720</v>
      </c>
      <c r="G305" s="18">
        <v>54</v>
      </c>
      <c r="H305">
        <v>73</v>
      </c>
      <c r="I305">
        <v>28</v>
      </c>
      <c r="J305" s="7" t="s">
        <v>235</v>
      </c>
      <c r="K305" s="7" t="s">
        <v>1721</v>
      </c>
      <c r="L305" s="7" t="s">
        <v>1722</v>
      </c>
      <c r="M305" s="7"/>
      <c r="N305" s="7"/>
      <c r="O305" s="7" t="s">
        <v>90</v>
      </c>
      <c r="P305" s="7"/>
      <c r="Q305" s="7" t="s">
        <v>93</v>
      </c>
      <c r="R305" s="7"/>
      <c r="S305" s="8"/>
      <c r="T305" s="8"/>
      <c r="U305" s="9" t="str">
        <f>IF(COUNTIFS(Contacts_Activation!D:D,D305,Contacts_Activation!N:N,"oui")&gt;0,"oui","non")</f>
        <v>oui</v>
      </c>
      <c r="V305" s="9" t="str">
        <f>IF(COUNTIFS(Travaux!C:C,D305,Travaux!X:X,"en_cours")&gt;0,"travaux_en_cours",IF(COUNTIFS(Ventes!C:C,D305,Ventes!L:L,"signature")&gt;0,"vente_signature",IF(COUNTIFS(Ventes!C:C,D305,Ventes!AD:AD,"oui")&gt;0,"vente_bloquee",IF(COUNTIFS(Gestion_Locative!C:C,D305,Gestion_Locative!O:O,"incomplet")&gt;0,"gestion_fragile","stable"))))</f>
        <v>vente_bloquee</v>
      </c>
    </row>
    <row r="306" spans="1:22" ht="14.4" hidden="1" x14ac:dyDescent="0.3">
      <c r="A306" s="6" t="s">
        <v>202</v>
      </c>
      <c r="B306" s="1" t="s">
        <v>4510</v>
      </c>
      <c r="C306" s="6" t="s">
        <v>1564</v>
      </c>
      <c r="D306" s="6" t="s">
        <v>1723</v>
      </c>
      <c r="E306" s="6" t="s">
        <v>1566</v>
      </c>
      <c r="F306" s="6" t="s">
        <v>1724</v>
      </c>
      <c r="G306" s="18">
        <v>54</v>
      </c>
      <c r="H306">
        <v>73</v>
      </c>
      <c r="I306">
        <v>28</v>
      </c>
      <c r="J306" s="7" t="s">
        <v>1232</v>
      </c>
      <c r="K306" s="7" t="s">
        <v>1725</v>
      </c>
      <c r="L306" s="7"/>
      <c r="M306" s="7"/>
      <c r="N306" s="7"/>
      <c r="O306" s="7" t="s">
        <v>90</v>
      </c>
      <c r="P306" s="7"/>
      <c r="Q306" s="7" t="s">
        <v>93</v>
      </c>
      <c r="R306" s="7"/>
      <c r="S306" s="8"/>
      <c r="T306" s="8"/>
      <c r="U306" s="9" t="str">
        <f>IF(COUNTIFS(Contacts_Activation!D:D,D306,Contacts_Activation!N:N,"oui")&gt;0,"oui","non")</f>
        <v>oui</v>
      </c>
      <c r="V306" s="9" t="str">
        <f>IF(COUNTIFS(Travaux!C:C,D306,Travaux!X:X,"en_cours")&gt;0,"travaux_en_cours",IF(COUNTIFS(Ventes!C:C,D306,Ventes!L:L,"signature")&gt;0,"vente_signature",IF(COUNTIFS(Ventes!C:C,D306,Ventes!AD:AD,"oui")&gt;0,"vente_bloquee",IF(COUNTIFS(Gestion_Locative!C:C,D306,Gestion_Locative!O:O,"incomplet")&gt;0,"gestion_fragile","stable"))))</f>
        <v>vente_bloquee</v>
      </c>
    </row>
    <row r="307" spans="1:22" ht="14.4" hidden="1" x14ac:dyDescent="0.3">
      <c r="A307" s="6" t="s">
        <v>202</v>
      </c>
      <c r="B307" s="1" t="s">
        <v>4510</v>
      </c>
      <c r="C307" s="6" t="s">
        <v>1564</v>
      </c>
      <c r="D307" s="6" t="s">
        <v>1726</v>
      </c>
      <c r="E307" s="6" t="s">
        <v>1566</v>
      </c>
      <c r="F307" s="6" t="s">
        <v>1727</v>
      </c>
      <c r="G307" s="18">
        <v>54</v>
      </c>
      <c r="H307">
        <v>73</v>
      </c>
      <c r="I307">
        <v>28</v>
      </c>
      <c r="J307" s="7" t="s">
        <v>1728</v>
      </c>
      <c r="K307" s="7" t="s">
        <v>1729</v>
      </c>
      <c r="L307" s="7" t="s">
        <v>1730</v>
      </c>
      <c r="M307" s="7" t="s">
        <v>1731</v>
      </c>
      <c r="N307" s="7" t="s">
        <v>672</v>
      </c>
      <c r="O307" s="7" t="s">
        <v>90</v>
      </c>
      <c r="P307" s="7"/>
      <c r="Q307" s="7" t="s">
        <v>93</v>
      </c>
      <c r="R307" s="7"/>
      <c r="S307" s="8"/>
      <c r="T307" s="8"/>
      <c r="U307" s="9" t="str">
        <f>IF(COUNTIFS(Contacts_Activation!D:D,D307,Contacts_Activation!N:N,"oui")&gt;0,"oui","non")</f>
        <v>oui</v>
      </c>
      <c r="V307" s="9" t="str">
        <f>IF(COUNTIFS(Travaux!C:C,D307,Travaux!X:X,"en_cours")&gt;0,"travaux_en_cours",IF(COUNTIFS(Ventes!C:C,D307,Ventes!L:L,"signature")&gt;0,"vente_signature",IF(COUNTIFS(Ventes!C:C,D307,Ventes!AD:AD,"oui")&gt;0,"vente_bloquee",IF(COUNTIFS(Gestion_Locative!C:C,D307,Gestion_Locative!O:O,"incomplet")&gt;0,"gestion_fragile","stable"))))</f>
        <v>vente_bloquee</v>
      </c>
    </row>
    <row r="308" spans="1:22" ht="14.4" hidden="1" x14ac:dyDescent="0.3">
      <c r="A308" s="6" t="s">
        <v>202</v>
      </c>
      <c r="B308" s="1" t="s">
        <v>4510</v>
      </c>
      <c r="C308" s="6" t="s">
        <v>1564</v>
      </c>
      <c r="D308" s="6" t="s">
        <v>1732</v>
      </c>
      <c r="E308" s="6" t="s">
        <v>1566</v>
      </c>
      <c r="F308" s="6" t="s">
        <v>1733</v>
      </c>
      <c r="G308" s="18">
        <v>54</v>
      </c>
      <c r="H308">
        <v>73</v>
      </c>
      <c r="I308">
        <v>28</v>
      </c>
      <c r="J308" s="7" t="s">
        <v>1734</v>
      </c>
      <c r="K308" s="7" t="s">
        <v>1735</v>
      </c>
      <c r="L308" s="7" t="s">
        <v>1736</v>
      </c>
      <c r="M308" s="7"/>
      <c r="N308" s="7"/>
      <c r="O308" s="7" t="s">
        <v>90</v>
      </c>
      <c r="P308" s="7"/>
      <c r="Q308" s="7" t="s">
        <v>93</v>
      </c>
      <c r="R308" s="7"/>
      <c r="S308" s="8"/>
      <c r="T308" s="8"/>
      <c r="U308" s="9" t="str">
        <f>IF(COUNTIFS(Contacts_Activation!D:D,D308,Contacts_Activation!N:N,"oui")&gt;0,"oui","non")</f>
        <v>oui</v>
      </c>
      <c r="V308" s="9" t="str">
        <f>IF(COUNTIFS(Travaux!C:C,D308,Travaux!X:X,"en_cours")&gt;0,"travaux_en_cours",IF(COUNTIFS(Ventes!C:C,D308,Ventes!L:L,"signature")&gt;0,"vente_signature",IF(COUNTIFS(Ventes!C:C,D308,Ventes!AD:AD,"oui")&gt;0,"vente_bloquee",IF(COUNTIFS(Gestion_Locative!C:C,D308,Gestion_Locative!O:O,"incomplet")&gt;0,"gestion_fragile","stable"))))</f>
        <v>vente_bloquee</v>
      </c>
    </row>
    <row r="309" spans="1:22" ht="14.4" hidden="1" x14ac:dyDescent="0.3">
      <c r="A309" s="6" t="s">
        <v>202</v>
      </c>
      <c r="B309" s="1" t="s">
        <v>4510</v>
      </c>
      <c r="C309" s="6" t="s">
        <v>1564</v>
      </c>
      <c r="D309" s="6" t="s">
        <v>1737</v>
      </c>
      <c r="E309" s="6" t="s">
        <v>1566</v>
      </c>
      <c r="F309" s="6" t="s">
        <v>1738</v>
      </c>
      <c r="G309" s="18">
        <v>54</v>
      </c>
      <c r="H309">
        <v>73</v>
      </c>
      <c r="I309">
        <v>28</v>
      </c>
      <c r="J309" s="7" t="s">
        <v>1406</v>
      </c>
      <c r="K309" s="7" t="s">
        <v>754</v>
      </c>
      <c r="L309" s="7" t="s">
        <v>1739</v>
      </c>
      <c r="M309" s="7"/>
      <c r="N309" s="7"/>
      <c r="O309" s="7" t="s">
        <v>90</v>
      </c>
      <c r="P309" s="7"/>
      <c r="Q309" s="7" t="s">
        <v>93</v>
      </c>
      <c r="R309" s="7"/>
      <c r="S309" s="8"/>
      <c r="T309" s="8"/>
      <c r="U309" s="9" t="str">
        <f>IF(COUNTIFS(Contacts_Activation!D:D,D309,Contacts_Activation!N:N,"oui")&gt;0,"oui","non")</f>
        <v>oui</v>
      </c>
      <c r="V309" s="9" t="str">
        <f>IF(COUNTIFS(Travaux!C:C,D309,Travaux!X:X,"en_cours")&gt;0,"travaux_en_cours",IF(COUNTIFS(Ventes!C:C,D309,Ventes!L:L,"signature")&gt;0,"vente_signature",IF(COUNTIFS(Ventes!C:C,D309,Ventes!AD:AD,"oui")&gt;0,"vente_bloquee",IF(COUNTIFS(Gestion_Locative!C:C,D309,Gestion_Locative!O:O,"incomplet")&gt;0,"gestion_fragile","stable"))))</f>
        <v>vente_bloquee</v>
      </c>
    </row>
    <row r="310" spans="1:22" ht="14.4" hidden="1" x14ac:dyDescent="0.3">
      <c r="A310" s="6" t="s">
        <v>202</v>
      </c>
      <c r="B310" s="1" t="s">
        <v>4510</v>
      </c>
      <c r="C310" s="6" t="s">
        <v>1564</v>
      </c>
      <c r="D310" s="6" t="s">
        <v>1740</v>
      </c>
      <c r="E310" s="6" t="s">
        <v>1566</v>
      </c>
      <c r="F310" s="6" t="s">
        <v>1741</v>
      </c>
      <c r="G310" s="18">
        <v>54</v>
      </c>
      <c r="H310">
        <v>73</v>
      </c>
      <c r="I310">
        <v>28</v>
      </c>
      <c r="J310" s="7" t="s">
        <v>1742</v>
      </c>
      <c r="K310" s="7" t="s">
        <v>1330</v>
      </c>
      <c r="L310" s="7" t="s">
        <v>1743</v>
      </c>
      <c r="M310" s="7"/>
      <c r="N310" s="7"/>
      <c r="O310" s="7" t="s">
        <v>90</v>
      </c>
      <c r="P310" s="7"/>
      <c r="Q310" s="7" t="s">
        <v>93</v>
      </c>
      <c r="R310" s="7"/>
      <c r="S310" s="8"/>
      <c r="T310" s="8"/>
      <c r="U310" s="9" t="str">
        <f>IF(COUNTIFS(Contacts_Activation!D:D,D310,Contacts_Activation!N:N,"oui")&gt;0,"oui","non")</f>
        <v>oui</v>
      </c>
      <c r="V310" s="9" t="str">
        <f>IF(COUNTIFS(Travaux!C:C,D310,Travaux!X:X,"en_cours")&gt;0,"travaux_en_cours",IF(COUNTIFS(Ventes!C:C,D310,Ventes!L:L,"signature")&gt;0,"vente_signature",IF(COUNTIFS(Ventes!C:C,D310,Ventes!AD:AD,"oui")&gt;0,"vente_bloquee",IF(COUNTIFS(Gestion_Locative!C:C,D310,Gestion_Locative!O:O,"incomplet")&gt;0,"gestion_fragile","stable"))))</f>
        <v>vente_bloquee</v>
      </c>
    </row>
    <row r="311" spans="1:22" ht="14.4" hidden="1" x14ac:dyDescent="0.3">
      <c r="A311" s="6" t="s">
        <v>202</v>
      </c>
      <c r="B311" s="1" t="s">
        <v>4510</v>
      </c>
      <c r="C311" s="6" t="s">
        <v>1564</v>
      </c>
      <c r="D311" s="6" t="s">
        <v>1744</v>
      </c>
      <c r="E311" s="6" t="s">
        <v>1566</v>
      </c>
      <c r="F311" s="6" t="s">
        <v>1745</v>
      </c>
      <c r="G311" s="18">
        <v>54</v>
      </c>
      <c r="H311">
        <v>73</v>
      </c>
      <c r="I311">
        <v>28</v>
      </c>
      <c r="J311" s="7" t="s">
        <v>1746</v>
      </c>
      <c r="K311" s="7" t="s">
        <v>1747</v>
      </c>
      <c r="L311" s="7" t="s">
        <v>1748</v>
      </c>
      <c r="M311" s="7"/>
      <c r="N311" s="7"/>
      <c r="O311" s="7" t="s">
        <v>90</v>
      </c>
      <c r="P311" s="7"/>
      <c r="Q311" s="7" t="s">
        <v>93</v>
      </c>
      <c r="R311" s="7"/>
      <c r="S311" s="8"/>
      <c r="T311" s="8"/>
      <c r="U311" s="9" t="str">
        <f>IF(COUNTIFS(Contacts_Activation!D:D,D311,Contacts_Activation!N:N,"oui")&gt;0,"oui","non")</f>
        <v>oui</v>
      </c>
      <c r="V311" s="9" t="str">
        <f>IF(COUNTIFS(Travaux!C:C,D311,Travaux!X:X,"en_cours")&gt;0,"travaux_en_cours",IF(COUNTIFS(Ventes!C:C,D311,Ventes!L:L,"signature")&gt;0,"vente_signature",IF(COUNTIFS(Ventes!C:C,D311,Ventes!AD:AD,"oui")&gt;0,"vente_bloquee",IF(COUNTIFS(Gestion_Locative!C:C,D311,Gestion_Locative!O:O,"incomplet")&gt;0,"gestion_fragile","stable"))))</f>
        <v>vente_bloquee</v>
      </c>
    </row>
    <row r="312" spans="1:22" ht="14.4" hidden="1" x14ac:dyDescent="0.3">
      <c r="A312" s="6" t="s">
        <v>202</v>
      </c>
      <c r="B312" s="1" t="s">
        <v>4510</v>
      </c>
      <c r="C312" s="6" t="s">
        <v>1564</v>
      </c>
      <c r="D312" s="6" t="s">
        <v>1749</v>
      </c>
      <c r="E312" s="6" t="s">
        <v>1566</v>
      </c>
      <c r="F312" s="6" t="s">
        <v>1750</v>
      </c>
      <c r="G312" s="18">
        <v>54</v>
      </c>
      <c r="H312">
        <v>73</v>
      </c>
      <c r="I312">
        <v>28</v>
      </c>
      <c r="J312" s="7" t="s">
        <v>416</v>
      </c>
      <c r="K312" s="7" t="s">
        <v>1751</v>
      </c>
      <c r="L312" s="7" t="s">
        <v>1752</v>
      </c>
      <c r="M312" s="7" t="s">
        <v>1753</v>
      </c>
      <c r="N312" s="7"/>
      <c r="O312" s="7" t="s">
        <v>90</v>
      </c>
      <c r="P312" s="7"/>
      <c r="Q312" s="7" t="s">
        <v>93</v>
      </c>
      <c r="R312" s="7"/>
      <c r="S312" s="8"/>
      <c r="T312" s="8"/>
      <c r="U312" s="9" t="str">
        <f>IF(COUNTIFS(Contacts_Activation!D:D,D312,Contacts_Activation!N:N,"oui")&gt;0,"oui","non")</f>
        <v>oui</v>
      </c>
      <c r="V312" s="9" t="str">
        <f>IF(COUNTIFS(Travaux!C:C,D312,Travaux!X:X,"en_cours")&gt;0,"travaux_en_cours",IF(COUNTIFS(Ventes!C:C,D312,Ventes!L:L,"signature")&gt;0,"vente_signature",IF(COUNTIFS(Ventes!C:C,D312,Ventes!AD:AD,"oui")&gt;0,"vente_bloquee",IF(COUNTIFS(Gestion_Locative!C:C,D312,Gestion_Locative!O:O,"incomplet")&gt;0,"gestion_fragile","stable"))))</f>
        <v>vente_bloquee</v>
      </c>
    </row>
    <row r="313" spans="1:22" ht="27.6" hidden="1" x14ac:dyDescent="0.3">
      <c r="A313" s="6" t="s">
        <v>202</v>
      </c>
      <c r="B313" s="1" t="s">
        <v>4510</v>
      </c>
      <c r="C313" s="6" t="s">
        <v>1564</v>
      </c>
      <c r="D313" s="6" t="s">
        <v>1754</v>
      </c>
      <c r="E313" s="6" t="s">
        <v>1566</v>
      </c>
      <c r="F313" s="6" t="s">
        <v>1755</v>
      </c>
      <c r="G313" s="18">
        <v>54</v>
      </c>
      <c r="H313">
        <v>73</v>
      </c>
      <c r="I313">
        <v>28</v>
      </c>
      <c r="J313" s="7" t="s">
        <v>1756</v>
      </c>
      <c r="K313" s="7" t="s">
        <v>1757</v>
      </c>
      <c r="L313" s="7" t="s">
        <v>1758</v>
      </c>
      <c r="M313" s="7"/>
      <c r="N313" s="7"/>
      <c r="O313" s="7" t="s">
        <v>90</v>
      </c>
      <c r="P313" s="7"/>
      <c r="Q313" s="7" t="s">
        <v>93</v>
      </c>
      <c r="R313" s="7"/>
      <c r="S313" s="8"/>
      <c r="T313" s="8"/>
      <c r="U313" s="9" t="str">
        <f>IF(COUNTIFS(Contacts_Activation!D:D,D313,Contacts_Activation!N:N,"oui")&gt;0,"oui","non")</f>
        <v>oui</v>
      </c>
      <c r="V313" s="9" t="str">
        <f>IF(COUNTIFS(Travaux!C:C,D313,Travaux!X:X,"en_cours")&gt;0,"travaux_en_cours",IF(COUNTIFS(Ventes!C:C,D313,Ventes!L:L,"signature")&gt;0,"vente_signature",IF(COUNTIFS(Ventes!C:C,D313,Ventes!AD:AD,"oui")&gt;0,"vente_bloquee",IF(COUNTIFS(Gestion_Locative!C:C,D313,Gestion_Locative!O:O,"incomplet")&gt;0,"gestion_fragile","stable"))))</f>
        <v>vente_bloquee</v>
      </c>
    </row>
    <row r="314" spans="1:22" ht="14.4" hidden="1" x14ac:dyDescent="0.3">
      <c r="A314" s="6" t="s">
        <v>202</v>
      </c>
      <c r="B314" s="1" t="s">
        <v>4510</v>
      </c>
      <c r="C314" s="6" t="s">
        <v>1564</v>
      </c>
      <c r="D314" s="6" t="s">
        <v>1759</v>
      </c>
      <c r="E314" s="6" t="s">
        <v>1566</v>
      </c>
      <c r="F314" s="6" t="s">
        <v>1760</v>
      </c>
      <c r="G314" s="18">
        <v>54</v>
      </c>
      <c r="H314">
        <v>73</v>
      </c>
      <c r="I314">
        <v>28</v>
      </c>
      <c r="J314" s="7" t="s">
        <v>299</v>
      </c>
      <c r="K314" s="7" t="s">
        <v>1761</v>
      </c>
      <c r="L314" s="7" t="s">
        <v>1762</v>
      </c>
      <c r="M314" s="7"/>
      <c r="N314" s="7"/>
      <c r="O314" s="7" t="s">
        <v>90</v>
      </c>
      <c r="P314" s="7"/>
      <c r="Q314" s="7" t="s">
        <v>93</v>
      </c>
      <c r="R314" s="7"/>
      <c r="S314" s="8"/>
      <c r="T314" s="8"/>
      <c r="U314" s="9" t="str">
        <f>IF(COUNTIFS(Contacts_Activation!D:D,D314,Contacts_Activation!N:N,"oui")&gt;0,"oui","non")</f>
        <v>oui</v>
      </c>
      <c r="V314" s="9" t="str">
        <f>IF(COUNTIFS(Travaux!C:C,D314,Travaux!X:X,"en_cours")&gt;0,"travaux_en_cours",IF(COUNTIFS(Ventes!C:C,D314,Ventes!L:L,"signature")&gt;0,"vente_signature",IF(COUNTIFS(Ventes!C:C,D314,Ventes!AD:AD,"oui")&gt;0,"vente_bloquee",IF(COUNTIFS(Gestion_Locative!C:C,D314,Gestion_Locative!O:O,"incomplet")&gt;0,"gestion_fragile","stable"))))</f>
        <v>vente_bloquee</v>
      </c>
    </row>
    <row r="315" spans="1:22" ht="14.4" hidden="1" x14ac:dyDescent="0.3">
      <c r="A315" s="6" t="s">
        <v>202</v>
      </c>
      <c r="B315" s="1" t="s">
        <v>4510</v>
      </c>
      <c r="C315" s="6" t="s">
        <v>1564</v>
      </c>
      <c r="D315" s="6" t="s">
        <v>1763</v>
      </c>
      <c r="E315" s="6" t="s">
        <v>1566</v>
      </c>
      <c r="F315" s="6" t="s">
        <v>1764</v>
      </c>
      <c r="G315" s="18">
        <v>54</v>
      </c>
      <c r="H315">
        <v>73</v>
      </c>
      <c r="I315">
        <v>28</v>
      </c>
      <c r="J315" s="7" t="s">
        <v>272</v>
      </c>
      <c r="K315" s="7" t="s">
        <v>1765</v>
      </c>
      <c r="L315" s="7" t="s">
        <v>1766</v>
      </c>
      <c r="M315" s="7"/>
      <c r="N315" s="7"/>
      <c r="O315" s="7" t="s">
        <v>90</v>
      </c>
      <c r="P315" s="7"/>
      <c r="Q315" s="7" t="s">
        <v>93</v>
      </c>
      <c r="R315" s="7"/>
      <c r="S315" s="8"/>
      <c r="T315" s="8"/>
      <c r="U315" s="9" t="str">
        <f>IF(COUNTIFS(Contacts_Activation!D:D,D315,Contacts_Activation!N:N,"oui")&gt;0,"oui","non")</f>
        <v>oui</v>
      </c>
      <c r="V315" s="9" t="str">
        <f>IF(COUNTIFS(Travaux!C:C,D315,Travaux!X:X,"en_cours")&gt;0,"travaux_en_cours",IF(COUNTIFS(Ventes!C:C,D315,Ventes!L:L,"signature")&gt;0,"vente_signature",IF(COUNTIFS(Ventes!C:C,D315,Ventes!AD:AD,"oui")&gt;0,"vente_bloquee",IF(COUNTIFS(Gestion_Locative!C:C,D315,Gestion_Locative!O:O,"incomplet")&gt;0,"gestion_fragile","stable"))))</f>
        <v>vente_bloquee</v>
      </c>
    </row>
    <row r="316" spans="1:22" ht="14.4" hidden="1" x14ac:dyDescent="0.3">
      <c r="A316" s="6" t="s">
        <v>202</v>
      </c>
      <c r="B316" s="1" t="s">
        <v>4510</v>
      </c>
      <c r="C316" s="6" t="s">
        <v>1564</v>
      </c>
      <c r="D316" s="6" t="s">
        <v>1767</v>
      </c>
      <c r="E316" s="6" t="s">
        <v>1566</v>
      </c>
      <c r="F316" s="6" t="s">
        <v>1768</v>
      </c>
      <c r="G316" s="18">
        <v>54</v>
      </c>
      <c r="H316">
        <v>73</v>
      </c>
      <c r="I316">
        <v>28</v>
      </c>
      <c r="J316" s="7" t="s">
        <v>272</v>
      </c>
      <c r="K316" s="7" t="s">
        <v>1769</v>
      </c>
      <c r="L316" s="7" t="s">
        <v>1770</v>
      </c>
      <c r="M316" s="7"/>
      <c r="N316" s="7" t="s">
        <v>1771</v>
      </c>
      <c r="O316" s="7" t="s">
        <v>90</v>
      </c>
      <c r="P316" s="7"/>
      <c r="Q316" s="7" t="s">
        <v>93</v>
      </c>
      <c r="R316" s="7"/>
      <c r="S316" s="8"/>
      <c r="T316" s="8"/>
      <c r="U316" s="9" t="str">
        <f>IF(COUNTIFS(Contacts_Activation!D:D,D316,Contacts_Activation!N:N,"oui")&gt;0,"oui","non")</f>
        <v>oui</v>
      </c>
      <c r="V316" s="9" t="str">
        <f>IF(COUNTIFS(Travaux!C:C,D316,Travaux!X:X,"en_cours")&gt;0,"travaux_en_cours",IF(COUNTIFS(Ventes!C:C,D316,Ventes!L:L,"signature")&gt;0,"vente_signature",IF(COUNTIFS(Ventes!C:C,D316,Ventes!AD:AD,"oui")&gt;0,"vente_bloquee",IF(COUNTIFS(Gestion_Locative!C:C,D316,Gestion_Locative!O:O,"incomplet")&gt;0,"gestion_fragile","stable"))))</f>
        <v>vente_bloquee</v>
      </c>
    </row>
    <row r="317" spans="1:22" ht="14.4" hidden="1" x14ac:dyDescent="0.3">
      <c r="A317" s="6" t="s">
        <v>202</v>
      </c>
      <c r="B317" s="1" t="s">
        <v>4510</v>
      </c>
      <c r="C317" s="6" t="s">
        <v>1564</v>
      </c>
      <c r="D317" s="6" t="s">
        <v>1772</v>
      </c>
      <c r="E317" s="6" t="s">
        <v>1566</v>
      </c>
      <c r="F317" s="6" t="s">
        <v>1773</v>
      </c>
      <c r="G317" s="18">
        <v>54</v>
      </c>
      <c r="H317">
        <v>73</v>
      </c>
      <c r="I317">
        <v>28</v>
      </c>
      <c r="J317" s="7" t="s">
        <v>932</v>
      </c>
      <c r="K317" s="7" t="s">
        <v>1774</v>
      </c>
      <c r="L317" s="7" t="s">
        <v>1775</v>
      </c>
      <c r="M317" s="7"/>
      <c r="N317" s="7"/>
      <c r="O317" s="7" t="s">
        <v>90</v>
      </c>
      <c r="P317" s="7"/>
      <c r="Q317" s="7" t="s">
        <v>93</v>
      </c>
      <c r="R317" s="7"/>
      <c r="S317" s="8"/>
      <c r="T317" s="8"/>
      <c r="U317" s="9" t="str">
        <f>IF(COUNTIFS(Contacts_Activation!D:D,D317,Contacts_Activation!N:N,"oui")&gt;0,"oui","non")</f>
        <v>oui</v>
      </c>
      <c r="V317" s="9" t="str">
        <f>IF(COUNTIFS(Travaux!C:C,D317,Travaux!X:X,"en_cours")&gt;0,"travaux_en_cours",IF(COUNTIFS(Ventes!C:C,D317,Ventes!L:L,"signature")&gt;0,"vente_signature",IF(COUNTIFS(Ventes!C:C,D317,Ventes!AD:AD,"oui")&gt;0,"vente_bloquee",IF(COUNTIFS(Gestion_Locative!C:C,D317,Gestion_Locative!O:O,"incomplet")&gt;0,"gestion_fragile","stable"))))</f>
        <v>vente_bloquee</v>
      </c>
    </row>
    <row r="318" spans="1:22" ht="14.4" hidden="1" x14ac:dyDescent="0.3">
      <c r="A318" s="6" t="s">
        <v>202</v>
      </c>
      <c r="B318" s="1" t="s">
        <v>4510</v>
      </c>
      <c r="C318" s="6" t="s">
        <v>1564</v>
      </c>
      <c r="D318" s="6" t="s">
        <v>1776</v>
      </c>
      <c r="E318" s="6" t="s">
        <v>1566</v>
      </c>
      <c r="F318" s="6" t="s">
        <v>1777</v>
      </c>
      <c r="G318" s="18">
        <v>54</v>
      </c>
      <c r="H318">
        <v>73</v>
      </c>
      <c r="I318">
        <v>28</v>
      </c>
      <c r="J318" s="7" t="s">
        <v>1778</v>
      </c>
      <c r="K318" s="7" t="s">
        <v>1779</v>
      </c>
      <c r="L318" s="7" t="s">
        <v>1780</v>
      </c>
      <c r="M318" s="7"/>
      <c r="N318" s="7"/>
      <c r="O318" s="7" t="s">
        <v>90</v>
      </c>
      <c r="P318" s="7"/>
      <c r="Q318" s="7" t="s">
        <v>93</v>
      </c>
      <c r="R318" s="7"/>
      <c r="S318" s="8"/>
      <c r="T318" s="8"/>
      <c r="U318" s="9" t="str">
        <f>IF(COUNTIFS(Contacts_Activation!D:D,D318,Contacts_Activation!N:N,"oui")&gt;0,"oui","non")</f>
        <v>oui</v>
      </c>
      <c r="V318" s="9" t="str">
        <f>IF(COUNTIFS(Travaux!C:C,D318,Travaux!X:X,"en_cours")&gt;0,"travaux_en_cours",IF(COUNTIFS(Ventes!C:C,D318,Ventes!L:L,"signature")&gt;0,"vente_signature",IF(COUNTIFS(Ventes!C:C,D318,Ventes!AD:AD,"oui")&gt;0,"vente_bloquee",IF(COUNTIFS(Gestion_Locative!C:C,D318,Gestion_Locative!O:O,"incomplet")&gt;0,"gestion_fragile","stable"))))</f>
        <v>vente_bloquee</v>
      </c>
    </row>
    <row r="319" spans="1:22" ht="41.4" hidden="1" x14ac:dyDescent="0.3">
      <c r="A319" s="6" t="s">
        <v>202</v>
      </c>
      <c r="B319" s="1" t="s">
        <v>4510</v>
      </c>
      <c r="C319" s="6" t="s">
        <v>1564</v>
      </c>
      <c r="D319" s="6" t="s">
        <v>1781</v>
      </c>
      <c r="E319" s="6" t="s">
        <v>1566</v>
      </c>
      <c r="F319" s="6" t="s">
        <v>1782</v>
      </c>
      <c r="G319" s="18">
        <v>54</v>
      </c>
      <c r="H319">
        <v>73</v>
      </c>
      <c r="I319">
        <v>28</v>
      </c>
      <c r="J319" s="7" t="s">
        <v>1783</v>
      </c>
      <c r="K319" s="7" t="s">
        <v>1784</v>
      </c>
      <c r="L319" s="7" t="s">
        <v>1785</v>
      </c>
      <c r="M319" s="7" t="s">
        <v>1786</v>
      </c>
      <c r="N319" s="7"/>
      <c r="O319" s="7" t="s">
        <v>90</v>
      </c>
      <c r="P319" s="7"/>
      <c r="Q319" s="7" t="s">
        <v>93</v>
      </c>
      <c r="R319" s="7"/>
      <c r="S319" s="8"/>
      <c r="T319" s="8"/>
      <c r="U319" s="9" t="str">
        <f>IF(COUNTIFS(Contacts_Activation!D:D,D319,Contacts_Activation!N:N,"oui")&gt;0,"oui","non")</f>
        <v>oui</v>
      </c>
      <c r="V319" s="9" t="str">
        <f>IF(COUNTIFS(Travaux!C:C,D319,Travaux!X:X,"en_cours")&gt;0,"travaux_en_cours",IF(COUNTIFS(Ventes!C:C,D319,Ventes!L:L,"signature")&gt;0,"vente_signature",IF(COUNTIFS(Ventes!C:C,D319,Ventes!AD:AD,"oui")&gt;0,"vente_bloquee",IF(COUNTIFS(Gestion_Locative!C:C,D319,Gestion_Locative!O:O,"incomplet")&gt;0,"gestion_fragile","stable"))))</f>
        <v>vente_bloquee</v>
      </c>
    </row>
    <row r="320" spans="1:22" ht="14.4" hidden="1" x14ac:dyDescent="0.3">
      <c r="A320" s="6" t="s">
        <v>202</v>
      </c>
      <c r="B320" s="1" t="s">
        <v>4510</v>
      </c>
      <c r="C320" s="6" t="s">
        <v>1564</v>
      </c>
      <c r="D320" s="6" t="s">
        <v>1787</v>
      </c>
      <c r="E320" s="6" t="s">
        <v>1566</v>
      </c>
      <c r="F320" s="6" t="s">
        <v>1788</v>
      </c>
      <c r="G320" s="18">
        <v>54</v>
      </c>
      <c r="H320">
        <v>73</v>
      </c>
      <c r="I320">
        <v>28</v>
      </c>
      <c r="J320" s="7" t="s">
        <v>1789</v>
      </c>
      <c r="K320" s="7" t="s">
        <v>285</v>
      </c>
      <c r="L320" s="7" t="s">
        <v>1790</v>
      </c>
      <c r="M320" s="7"/>
      <c r="N320" s="7"/>
      <c r="O320" s="7" t="s">
        <v>90</v>
      </c>
      <c r="P320" s="7"/>
      <c r="Q320" s="7" t="s">
        <v>93</v>
      </c>
      <c r="R320" s="7"/>
      <c r="S320" s="8"/>
      <c r="T320" s="8"/>
      <c r="U320" s="9" t="str">
        <f>IF(COUNTIFS(Contacts_Activation!D:D,D320,Contacts_Activation!N:N,"oui")&gt;0,"oui","non")</f>
        <v>oui</v>
      </c>
      <c r="V320" s="9" t="str">
        <f>IF(COUNTIFS(Travaux!C:C,D320,Travaux!X:X,"en_cours")&gt;0,"travaux_en_cours",IF(COUNTIFS(Ventes!C:C,D320,Ventes!L:L,"signature")&gt;0,"vente_signature",IF(COUNTIFS(Ventes!C:C,D320,Ventes!AD:AD,"oui")&gt;0,"vente_bloquee",IF(COUNTIFS(Gestion_Locative!C:C,D320,Gestion_Locative!O:O,"incomplet")&gt;0,"gestion_fragile","stable"))))</f>
        <v>vente_bloquee</v>
      </c>
    </row>
    <row r="321" spans="1:22" ht="14.4" hidden="1" x14ac:dyDescent="0.3">
      <c r="A321" s="6" t="s">
        <v>202</v>
      </c>
      <c r="B321" s="1" t="s">
        <v>4510</v>
      </c>
      <c r="C321" s="6" t="s">
        <v>1564</v>
      </c>
      <c r="D321" s="6" t="s">
        <v>1791</v>
      </c>
      <c r="E321" s="6" t="s">
        <v>1566</v>
      </c>
      <c r="F321" s="6" t="s">
        <v>1792</v>
      </c>
      <c r="G321" s="18">
        <v>54</v>
      </c>
      <c r="H321">
        <v>73</v>
      </c>
      <c r="I321">
        <v>28</v>
      </c>
      <c r="J321" s="7" t="s">
        <v>1793</v>
      </c>
      <c r="K321" s="7" t="s">
        <v>1794</v>
      </c>
      <c r="L321" s="7"/>
      <c r="M321" s="7"/>
      <c r="N321" s="7" t="s">
        <v>1795</v>
      </c>
      <c r="O321" s="7" t="s">
        <v>90</v>
      </c>
      <c r="P321" s="7"/>
      <c r="Q321" s="7" t="s">
        <v>93</v>
      </c>
      <c r="R321" s="7"/>
      <c r="S321" s="8"/>
      <c r="T321" s="8"/>
      <c r="U321" s="9" t="str">
        <f>IF(COUNTIFS(Contacts_Activation!D:D,D321,Contacts_Activation!N:N,"oui")&gt;0,"oui","non")</f>
        <v>oui</v>
      </c>
      <c r="V321" s="9" t="str">
        <f>IF(COUNTIFS(Travaux!C:C,D321,Travaux!X:X,"en_cours")&gt;0,"travaux_en_cours",IF(COUNTIFS(Ventes!C:C,D321,Ventes!L:L,"signature")&gt;0,"vente_signature",IF(COUNTIFS(Ventes!C:C,D321,Ventes!AD:AD,"oui")&gt;0,"vente_bloquee",IF(COUNTIFS(Gestion_Locative!C:C,D321,Gestion_Locative!O:O,"incomplet")&gt;0,"gestion_fragile","stable"))))</f>
        <v>vente_bloquee</v>
      </c>
    </row>
    <row r="322" spans="1:22" ht="27.6" hidden="1" x14ac:dyDescent="0.3">
      <c r="A322" s="6" t="s">
        <v>202</v>
      </c>
      <c r="B322" s="1" t="s">
        <v>4510</v>
      </c>
      <c r="C322" s="6" t="s">
        <v>1564</v>
      </c>
      <c r="D322" s="6" t="s">
        <v>1796</v>
      </c>
      <c r="E322" s="6" t="s">
        <v>1566</v>
      </c>
      <c r="F322" s="6" t="s">
        <v>1797</v>
      </c>
      <c r="G322" s="18">
        <v>54</v>
      </c>
      <c r="H322">
        <v>73</v>
      </c>
      <c r="I322">
        <v>28</v>
      </c>
      <c r="J322" s="7" t="s">
        <v>1672</v>
      </c>
      <c r="K322" s="7" t="s">
        <v>1798</v>
      </c>
      <c r="L322" s="7" t="s">
        <v>1799</v>
      </c>
      <c r="M322" s="7" t="s">
        <v>1800</v>
      </c>
      <c r="N322" s="7" t="s">
        <v>1801</v>
      </c>
      <c r="O322" s="7" t="s">
        <v>90</v>
      </c>
      <c r="P322" s="7"/>
      <c r="Q322" s="7" t="s">
        <v>93</v>
      </c>
      <c r="R322" s="7"/>
      <c r="S322" s="8"/>
      <c r="T322" s="8"/>
      <c r="U322" s="9" t="str">
        <f>IF(COUNTIFS(Contacts_Activation!D:D,D322,Contacts_Activation!N:N,"oui")&gt;0,"oui","non")</f>
        <v>oui</v>
      </c>
      <c r="V322" s="9" t="str">
        <f>IF(COUNTIFS(Travaux!C:C,D322,Travaux!X:X,"en_cours")&gt;0,"travaux_en_cours",IF(COUNTIFS(Ventes!C:C,D322,Ventes!L:L,"signature")&gt;0,"vente_signature",IF(COUNTIFS(Ventes!C:C,D322,Ventes!AD:AD,"oui")&gt;0,"vente_bloquee",IF(COUNTIFS(Gestion_Locative!C:C,D322,Gestion_Locative!O:O,"incomplet")&gt;0,"gestion_fragile","stable"))))</f>
        <v>vente_bloquee</v>
      </c>
    </row>
    <row r="323" spans="1:22" ht="14.4" hidden="1" x14ac:dyDescent="0.3">
      <c r="A323" s="6" t="s">
        <v>202</v>
      </c>
      <c r="B323" s="1" t="s">
        <v>4510</v>
      </c>
      <c r="C323" s="6" t="s">
        <v>1564</v>
      </c>
      <c r="D323" s="6" t="s">
        <v>1802</v>
      </c>
      <c r="E323" s="6" t="s">
        <v>1566</v>
      </c>
      <c r="F323" s="6" t="s">
        <v>1803</v>
      </c>
      <c r="G323" s="18">
        <v>54</v>
      </c>
      <c r="H323">
        <v>73</v>
      </c>
      <c r="I323">
        <v>28</v>
      </c>
      <c r="J323" s="7" t="s">
        <v>1804</v>
      </c>
      <c r="K323" s="7" t="s">
        <v>1805</v>
      </c>
      <c r="L323" s="7" t="s">
        <v>1806</v>
      </c>
      <c r="M323" s="7"/>
      <c r="N323" s="7"/>
      <c r="O323" s="7" t="s">
        <v>90</v>
      </c>
      <c r="P323" s="7"/>
      <c r="Q323" s="7" t="s">
        <v>93</v>
      </c>
      <c r="R323" s="7"/>
      <c r="S323" s="8"/>
      <c r="T323" s="8"/>
      <c r="U323" s="9" t="str">
        <f>IF(COUNTIFS(Contacts_Activation!D:D,D323,Contacts_Activation!N:N,"oui")&gt;0,"oui","non")</f>
        <v>oui</v>
      </c>
      <c r="V323" s="9" t="str">
        <f>IF(COUNTIFS(Travaux!C:C,D323,Travaux!X:X,"en_cours")&gt;0,"travaux_en_cours",IF(COUNTIFS(Ventes!C:C,D323,Ventes!L:L,"signature")&gt;0,"vente_signature",IF(COUNTIFS(Ventes!C:C,D323,Ventes!AD:AD,"oui")&gt;0,"vente_bloquee",IF(COUNTIFS(Gestion_Locative!C:C,D323,Gestion_Locative!O:O,"incomplet")&gt;0,"gestion_fragile","stable"))))</f>
        <v>vente_bloquee</v>
      </c>
    </row>
    <row r="324" spans="1:22" ht="14.4" hidden="1" x14ac:dyDescent="0.3">
      <c r="A324" s="6" t="s">
        <v>202</v>
      </c>
      <c r="B324" s="1" t="s">
        <v>4510</v>
      </c>
      <c r="C324" s="6" t="s">
        <v>1564</v>
      </c>
      <c r="D324" s="6" t="s">
        <v>1807</v>
      </c>
      <c r="E324" s="6" t="s">
        <v>1566</v>
      </c>
      <c r="F324" s="6" t="s">
        <v>1808</v>
      </c>
      <c r="G324" s="18">
        <v>54</v>
      </c>
      <c r="H324">
        <v>73</v>
      </c>
      <c r="I324">
        <v>28</v>
      </c>
      <c r="J324" s="7" t="s">
        <v>1809</v>
      </c>
      <c r="K324" s="7" t="s">
        <v>1810</v>
      </c>
      <c r="L324" s="7" t="s">
        <v>1811</v>
      </c>
      <c r="M324" s="7"/>
      <c r="N324" s="7"/>
      <c r="O324" s="7" t="s">
        <v>90</v>
      </c>
      <c r="P324" s="7"/>
      <c r="Q324" s="7" t="s">
        <v>93</v>
      </c>
      <c r="R324" s="7"/>
      <c r="S324" s="8"/>
      <c r="T324" s="8"/>
      <c r="U324" s="9" t="str">
        <f>IF(COUNTIFS(Contacts_Activation!D:D,D324,Contacts_Activation!N:N,"oui")&gt;0,"oui","non")</f>
        <v>oui</v>
      </c>
      <c r="V324" s="9" t="str">
        <f>IF(COUNTIFS(Travaux!C:C,D324,Travaux!X:X,"en_cours")&gt;0,"travaux_en_cours",IF(COUNTIFS(Ventes!C:C,D324,Ventes!L:L,"signature")&gt;0,"vente_signature",IF(COUNTIFS(Ventes!C:C,D324,Ventes!AD:AD,"oui")&gt;0,"vente_bloquee",IF(COUNTIFS(Gestion_Locative!C:C,D324,Gestion_Locative!O:O,"incomplet")&gt;0,"gestion_fragile","stable"))))</f>
        <v>vente_bloquee</v>
      </c>
    </row>
    <row r="325" spans="1:22" ht="14.4" hidden="1" x14ac:dyDescent="0.3">
      <c r="A325" s="6" t="s">
        <v>202</v>
      </c>
      <c r="B325" s="1" t="s">
        <v>4510</v>
      </c>
      <c r="C325" s="6" t="s">
        <v>1564</v>
      </c>
      <c r="D325" s="6" t="s">
        <v>1812</v>
      </c>
      <c r="E325" s="6" t="s">
        <v>1566</v>
      </c>
      <c r="F325" s="6" t="s">
        <v>1813</v>
      </c>
      <c r="G325" s="18">
        <v>54</v>
      </c>
      <c r="H325">
        <v>73</v>
      </c>
      <c r="I325">
        <v>28</v>
      </c>
      <c r="J325" s="7" t="s">
        <v>1814</v>
      </c>
      <c r="K325" s="7" t="s">
        <v>1815</v>
      </c>
      <c r="L325" s="7" t="s">
        <v>1816</v>
      </c>
      <c r="M325" s="7" t="s">
        <v>1817</v>
      </c>
      <c r="N325" s="7"/>
      <c r="O325" s="7" t="s">
        <v>90</v>
      </c>
      <c r="P325" s="7"/>
      <c r="Q325" s="7" t="s">
        <v>93</v>
      </c>
      <c r="R325" s="7"/>
      <c r="S325" s="8"/>
      <c r="T325" s="8"/>
      <c r="U325" s="9" t="str">
        <f>IF(COUNTIFS(Contacts_Activation!D:D,D325,Contacts_Activation!N:N,"oui")&gt;0,"oui","non")</f>
        <v>oui</v>
      </c>
      <c r="V325" s="9" t="str">
        <f>IF(COUNTIFS(Travaux!C:C,D325,Travaux!X:X,"en_cours")&gt;0,"travaux_en_cours",IF(COUNTIFS(Ventes!C:C,D325,Ventes!L:L,"signature")&gt;0,"vente_signature",IF(COUNTIFS(Ventes!C:C,D325,Ventes!AD:AD,"oui")&gt;0,"vente_bloquee",IF(COUNTIFS(Gestion_Locative!C:C,D325,Gestion_Locative!O:O,"incomplet")&gt;0,"gestion_fragile","stable"))))</f>
        <v>vente_bloquee</v>
      </c>
    </row>
    <row r="326" spans="1:22" ht="14.4" hidden="1" x14ac:dyDescent="0.3">
      <c r="A326" s="6" t="s">
        <v>270</v>
      </c>
      <c r="B326" s="1" t="s">
        <v>4516</v>
      </c>
      <c r="C326" s="6" t="s">
        <v>1818</v>
      </c>
      <c r="D326" s="6" t="s">
        <v>1819</v>
      </c>
      <c r="E326" s="6" t="s">
        <v>1820</v>
      </c>
      <c r="F326" s="6" t="s">
        <v>1821</v>
      </c>
      <c r="G326" s="18">
        <v>13</v>
      </c>
      <c r="H326">
        <v>57</v>
      </c>
      <c r="I326">
        <v>53</v>
      </c>
      <c r="J326" s="7" t="s">
        <v>1822</v>
      </c>
      <c r="K326" s="7" t="s">
        <v>1823</v>
      </c>
      <c r="L326" s="7" t="s">
        <v>1824</v>
      </c>
      <c r="M326" s="7"/>
      <c r="N326" s="7"/>
      <c r="O326" s="7" t="s">
        <v>90</v>
      </c>
      <c r="P326" s="7"/>
      <c r="Q326" s="7" t="s">
        <v>93</v>
      </c>
      <c r="R326" s="7"/>
      <c r="S326" s="8"/>
      <c r="T326" s="8"/>
      <c r="U326" s="9" t="str">
        <f>IF(COUNTIFS(Contacts_Activation!D:D,D326,Contacts_Activation!N:N,"oui")&gt;0,"oui","non")</f>
        <v>oui</v>
      </c>
      <c r="V326" s="9" t="str">
        <f>IF(COUNTIFS(Travaux!C:C,D326,Travaux!X:X,"en_cours")&gt;0,"travaux_en_cours",IF(COUNTIFS(Ventes!C:C,D326,Ventes!L:L,"signature")&gt;0,"vente_signature",IF(COUNTIFS(Ventes!C:C,D326,Ventes!AD:AD,"oui")&gt;0,"vente_bloquee",IF(COUNTIFS(Gestion_Locative!C:C,D326,Gestion_Locative!O:O,"incomplet")&gt;0,"gestion_fragile","stable"))))</f>
        <v>vente_bloquee</v>
      </c>
    </row>
    <row r="327" spans="1:22" ht="14.4" hidden="1" x14ac:dyDescent="0.3">
      <c r="A327" s="6" t="s">
        <v>270</v>
      </c>
      <c r="B327" s="1" t="s">
        <v>4516</v>
      </c>
      <c r="C327" s="6" t="s">
        <v>1818</v>
      </c>
      <c r="D327" s="6" t="s">
        <v>1825</v>
      </c>
      <c r="E327" s="6" t="s">
        <v>1820</v>
      </c>
      <c r="F327" s="6" t="s">
        <v>1826</v>
      </c>
      <c r="G327" s="18">
        <v>13</v>
      </c>
      <c r="H327">
        <v>57</v>
      </c>
      <c r="I327">
        <v>53</v>
      </c>
      <c r="J327" s="7" t="s">
        <v>1827</v>
      </c>
      <c r="K327" s="7" t="s">
        <v>1828</v>
      </c>
      <c r="L327" s="7" t="s">
        <v>1829</v>
      </c>
      <c r="M327" s="7" t="s">
        <v>1830</v>
      </c>
      <c r="N327" s="7"/>
      <c r="O327" s="7" t="s">
        <v>90</v>
      </c>
      <c r="P327" s="7"/>
      <c r="Q327" s="7" t="s">
        <v>93</v>
      </c>
      <c r="R327" s="7"/>
      <c r="S327" s="8"/>
      <c r="T327" s="8"/>
      <c r="U327" s="9" t="str">
        <f>IF(COUNTIFS(Contacts_Activation!D:D,D327,Contacts_Activation!N:N,"oui")&gt;0,"oui","non")</f>
        <v>oui</v>
      </c>
      <c r="V327" s="9" t="str">
        <f>IF(COUNTIFS(Travaux!C:C,D327,Travaux!X:X,"en_cours")&gt;0,"travaux_en_cours",IF(COUNTIFS(Ventes!C:C,D327,Ventes!L:L,"signature")&gt;0,"vente_signature",IF(COUNTIFS(Ventes!C:C,D327,Ventes!AD:AD,"oui")&gt;0,"vente_bloquee",IF(COUNTIFS(Gestion_Locative!C:C,D327,Gestion_Locative!O:O,"incomplet")&gt;0,"gestion_fragile","stable"))))</f>
        <v>vente_bloquee</v>
      </c>
    </row>
    <row r="328" spans="1:22" ht="14.4" hidden="1" x14ac:dyDescent="0.3">
      <c r="A328" s="6" t="s">
        <v>270</v>
      </c>
      <c r="B328" s="1" t="s">
        <v>4516</v>
      </c>
      <c r="C328" s="6" t="s">
        <v>1818</v>
      </c>
      <c r="D328" s="6" t="s">
        <v>1831</v>
      </c>
      <c r="E328" s="6" t="s">
        <v>1820</v>
      </c>
      <c r="F328" s="6" t="s">
        <v>1832</v>
      </c>
      <c r="G328" s="18">
        <v>13</v>
      </c>
      <c r="H328">
        <v>57</v>
      </c>
      <c r="I328">
        <v>53</v>
      </c>
      <c r="J328" s="7" t="s">
        <v>1833</v>
      </c>
      <c r="K328" s="7" t="s">
        <v>1834</v>
      </c>
      <c r="L328" s="7" t="s">
        <v>1835</v>
      </c>
      <c r="M328" s="7"/>
      <c r="N328" s="7"/>
      <c r="O328" s="7" t="s">
        <v>90</v>
      </c>
      <c r="P328" s="7"/>
      <c r="Q328" s="7" t="s">
        <v>93</v>
      </c>
      <c r="R328" s="7"/>
      <c r="S328" s="8"/>
      <c r="T328" s="8"/>
      <c r="U328" s="9" t="str">
        <f>IF(COUNTIFS(Contacts_Activation!D:D,D328,Contacts_Activation!N:N,"oui")&gt;0,"oui","non")</f>
        <v>oui</v>
      </c>
      <c r="V328" s="9" t="str">
        <f>IF(COUNTIFS(Travaux!C:C,D328,Travaux!X:X,"en_cours")&gt;0,"travaux_en_cours",IF(COUNTIFS(Ventes!C:C,D328,Ventes!L:L,"signature")&gt;0,"vente_signature",IF(COUNTIFS(Ventes!C:C,D328,Ventes!AD:AD,"oui")&gt;0,"vente_bloquee",IF(COUNTIFS(Gestion_Locative!C:C,D328,Gestion_Locative!O:O,"incomplet")&gt;0,"gestion_fragile","stable"))))</f>
        <v>vente_bloquee</v>
      </c>
    </row>
    <row r="329" spans="1:22" ht="14.4" hidden="1" x14ac:dyDescent="0.3">
      <c r="A329" s="6" t="s">
        <v>270</v>
      </c>
      <c r="B329" s="1" t="s">
        <v>4516</v>
      </c>
      <c r="C329" s="6" t="s">
        <v>1818</v>
      </c>
      <c r="D329" s="6" t="s">
        <v>1836</v>
      </c>
      <c r="E329" s="6" t="s">
        <v>1820</v>
      </c>
      <c r="F329" s="6" t="s">
        <v>1837</v>
      </c>
      <c r="G329" s="18">
        <v>13</v>
      </c>
      <c r="H329">
        <v>57</v>
      </c>
      <c r="I329">
        <v>53</v>
      </c>
      <c r="J329" s="7" t="s">
        <v>1838</v>
      </c>
      <c r="K329" s="7" t="s">
        <v>1839</v>
      </c>
      <c r="L329" s="7" t="s">
        <v>1840</v>
      </c>
      <c r="M329" s="7"/>
      <c r="N329" s="7"/>
      <c r="O329" s="7" t="s">
        <v>90</v>
      </c>
      <c r="P329" s="7"/>
      <c r="Q329" s="7" t="s">
        <v>93</v>
      </c>
      <c r="R329" s="7"/>
      <c r="S329" s="8"/>
      <c r="T329" s="8"/>
      <c r="U329" s="9" t="str">
        <f>IF(COUNTIFS(Contacts_Activation!D:D,D329,Contacts_Activation!N:N,"oui")&gt;0,"oui","non")</f>
        <v>oui</v>
      </c>
      <c r="V329" s="9" t="str">
        <f>IF(COUNTIFS(Travaux!C:C,D329,Travaux!X:X,"en_cours")&gt;0,"travaux_en_cours",IF(COUNTIFS(Ventes!C:C,D329,Ventes!L:L,"signature")&gt;0,"vente_signature",IF(COUNTIFS(Ventes!C:C,D329,Ventes!AD:AD,"oui")&gt;0,"vente_bloquee",IF(COUNTIFS(Gestion_Locative!C:C,D329,Gestion_Locative!O:O,"incomplet")&gt;0,"gestion_fragile","stable"))))</f>
        <v>vente_bloquee</v>
      </c>
    </row>
    <row r="330" spans="1:22" ht="14.4" hidden="1" x14ac:dyDescent="0.3">
      <c r="A330" s="6" t="s">
        <v>270</v>
      </c>
      <c r="B330" s="1" t="s">
        <v>4516</v>
      </c>
      <c r="C330" s="6" t="s">
        <v>1818</v>
      </c>
      <c r="D330" s="6" t="s">
        <v>1841</v>
      </c>
      <c r="E330" s="6" t="s">
        <v>1820</v>
      </c>
      <c r="F330" s="6" t="s">
        <v>1842</v>
      </c>
      <c r="G330" s="18">
        <v>13</v>
      </c>
      <c r="H330">
        <v>57</v>
      </c>
      <c r="I330">
        <v>53</v>
      </c>
      <c r="J330" s="7" t="s">
        <v>1843</v>
      </c>
      <c r="K330" s="7" t="s">
        <v>1844</v>
      </c>
      <c r="L330" s="7" t="s">
        <v>1845</v>
      </c>
      <c r="M330" s="7" t="s">
        <v>1846</v>
      </c>
      <c r="N330" s="7"/>
      <c r="O330" s="7" t="s">
        <v>90</v>
      </c>
      <c r="P330" s="7"/>
      <c r="Q330" s="7" t="s">
        <v>93</v>
      </c>
      <c r="R330" s="7"/>
      <c r="S330" s="8"/>
      <c r="T330" s="8"/>
      <c r="U330" s="9" t="str">
        <f>IF(COUNTIFS(Contacts_Activation!D:D,D330,Contacts_Activation!N:N,"oui")&gt;0,"oui","non")</f>
        <v>oui</v>
      </c>
      <c r="V330" s="9" t="str">
        <f>IF(COUNTIFS(Travaux!C:C,D330,Travaux!X:X,"en_cours")&gt;0,"travaux_en_cours",IF(COUNTIFS(Ventes!C:C,D330,Ventes!L:L,"signature")&gt;0,"vente_signature",IF(COUNTIFS(Ventes!C:C,D330,Ventes!AD:AD,"oui")&gt;0,"vente_bloquee",IF(COUNTIFS(Gestion_Locative!C:C,D330,Gestion_Locative!O:O,"incomplet")&gt;0,"gestion_fragile","stable"))))</f>
        <v>vente_bloquee</v>
      </c>
    </row>
    <row r="331" spans="1:22" ht="14.4" hidden="1" x14ac:dyDescent="0.3">
      <c r="A331" s="6" t="s">
        <v>270</v>
      </c>
      <c r="B331" s="1" t="s">
        <v>4516</v>
      </c>
      <c r="C331" s="6" t="s">
        <v>1818</v>
      </c>
      <c r="D331" s="6" t="s">
        <v>1847</v>
      </c>
      <c r="E331" s="6" t="s">
        <v>1820</v>
      </c>
      <c r="F331" s="6" t="s">
        <v>1848</v>
      </c>
      <c r="G331" s="18">
        <v>13</v>
      </c>
      <c r="H331">
        <v>57</v>
      </c>
      <c r="I331">
        <v>53</v>
      </c>
      <c r="J331" s="7" t="s">
        <v>1849</v>
      </c>
      <c r="K331" s="7" t="s">
        <v>1850</v>
      </c>
      <c r="L331" s="7" t="s">
        <v>1851</v>
      </c>
      <c r="M331" s="7"/>
      <c r="N331" s="7"/>
      <c r="O331" s="7" t="s">
        <v>90</v>
      </c>
      <c r="P331" s="7"/>
      <c r="Q331" s="7" t="s">
        <v>93</v>
      </c>
      <c r="R331" s="7"/>
      <c r="S331" s="8"/>
      <c r="T331" s="8"/>
      <c r="U331" s="9" t="str">
        <f>IF(COUNTIFS(Contacts_Activation!D:D,D331,Contacts_Activation!N:N,"oui")&gt;0,"oui","non")</f>
        <v>oui</v>
      </c>
      <c r="V331" s="9" t="str">
        <f>IF(COUNTIFS(Travaux!C:C,D331,Travaux!X:X,"en_cours")&gt;0,"travaux_en_cours",IF(COUNTIFS(Ventes!C:C,D331,Ventes!L:L,"signature")&gt;0,"vente_signature",IF(COUNTIFS(Ventes!C:C,D331,Ventes!AD:AD,"oui")&gt;0,"vente_bloquee",IF(COUNTIFS(Gestion_Locative!C:C,D331,Gestion_Locative!O:O,"incomplet")&gt;0,"gestion_fragile","stable"))))</f>
        <v>vente_bloquee</v>
      </c>
    </row>
    <row r="332" spans="1:22" ht="14.4" hidden="1" x14ac:dyDescent="0.3">
      <c r="A332" s="6" t="s">
        <v>270</v>
      </c>
      <c r="B332" s="1" t="s">
        <v>4516</v>
      </c>
      <c r="C332" s="6" t="s">
        <v>1818</v>
      </c>
      <c r="D332" s="6" t="s">
        <v>1852</v>
      </c>
      <c r="E332" s="6" t="s">
        <v>1820</v>
      </c>
      <c r="F332" s="6" t="s">
        <v>1853</v>
      </c>
      <c r="G332" s="18">
        <v>13</v>
      </c>
      <c r="H332">
        <v>57</v>
      </c>
      <c r="I332">
        <v>53</v>
      </c>
      <c r="J332" s="7" t="s">
        <v>1838</v>
      </c>
      <c r="K332" s="7" t="s">
        <v>1854</v>
      </c>
      <c r="L332" s="7" t="s">
        <v>1855</v>
      </c>
      <c r="M332" s="7"/>
      <c r="N332" s="7" t="s">
        <v>1856</v>
      </c>
      <c r="O332" s="7" t="s">
        <v>90</v>
      </c>
      <c r="P332" s="7"/>
      <c r="Q332" s="7" t="s">
        <v>93</v>
      </c>
      <c r="R332" s="7"/>
      <c r="S332" s="8"/>
      <c r="T332" s="8"/>
      <c r="U332" s="9" t="str">
        <f>IF(COUNTIFS(Contacts_Activation!D:D,D332,Contacts_Activation!N:N,"oui")&gt;0,"oui","non")</f>
        <v>oui</v>
      </c>
      <c r="V332" s="9" t="str">
        <f>IF(COUNTIFS(Travaux!C:C,D332,Travaux!X:X,"en_cours")&gt;0,"travaux_en_cours",IF(COUNTIFS(Ventes!C:C,D332,Ventes!L:L,"signature")&gt;0,"vente_signature",IF(COUNTIFS(Ventes!C:C,D332,Ventes!AD:AD,"oui")&gt;0,"vente_bloquee",IF(COUNTIFS(Gestion_Locative!C:C,D332,Gestion_Locative!O:O,"incomplet")&gt;0,"gestion_fragile","stable"))))</f>
        <v>vente_bloquee</v>
      </c>
    </row>
    <row r="333" spans="1:22" ht="27.6" hidden="1" x14ac:dyDescent="0.3">
      <c r="A333" s="6" t="s">
        <v>270</v>
      </c>
      <c r="B333" s="1" t="s">
        <v>4516</v>
      </c>
      <c r="C333" s="6" t="s">
        <v>1818</v>
      </c>
      <c r="D333" s="6" t="s">
        <v>1857</v>
      </c>
      <c r="E333" s="6" t="s">
        <v>1820</v>
      </c>
      <c r="F333" s="6" t="s">
        <v>1858</v>
      </c>
      <c r="G333" s="18">
        <v>13</v>
      </c>
      <c r="H333">
        <v>57</v>
      </c>
      <c r="I333">
        <v>53</v>
      </c>
      <c r="J333" s="7" t="s">
        <v>1859</v>
      </c>
      <c r="K333" s="7" t="s">
        <v>1860</v>
      </c>
      <c r="L333" s="7" t="s">
        <v>1861</v>
      </c>
      <c r="M333" s="7"/>
      <c r="N333" s="7"/>
      <c r="O333" s="7" t="s">
        <v>90</v>
      </c>
      <c r="P333" s="7"/>
      <c r="Q333" s="7" t="s">
        <v>93</v>
      </c>
      <c r="R333" s="7"/>
      <c r="S333" s="8"/>
      <c r="T333" s="8"/>
      <c r="U333" s="9" t="str">
        <f>IF(COUNTIFS(Contacts_Activation!D:D,D333,Contacts_Activation!N:N,"oui")&gt;0,"oui","non")</f>
        <v>oui</v>
      </c>
      <c r="V333" s="9" t="str">
        <f>IF(COUNTIFS(Travaux!C:C,D333,Travaux!X:X,"en_cours")&gt;0,"travaux_en_cours",IF(COUNTIFS(Ventes!C:C,D333,Ventes!L:L,"signature")&gt;0,"vente_signature",IF(COUNTIFS(Ventes!C:C,D333,Ventes!AD:AD,"oui")&gt;0,"vente_bloquee",IF(COUNTIFS(Gestion_Locative!C:C,D333,Gestion_Locative!O:O,"incomplet")&gt;0,"gestion_fragile","stable"))))</f>
        <v>vente_bloquee</v>
      </c>
    </row>
    <row r="334" spans="1:22" ht="27.6" hidden="1" x14ac:dyDescent="0.3">
      <c r="A334" s="6" t="s">
        <v>270</v>
      </c>
      <c r="B334" s="1" t="s">
        <v>4516</v>
      </c>
      <c r="C334" s="6" t="s">
        <v>1818</v>
      </c>
      <c r="D334" s="6" t="s">
        <v>1862</v>
      </c>
      <c r="E334" s="6" t="s">
        <v>1820</v>
      </c>
      <c r="F334" s="6" t="s">
        <v>1863</v>
      </c>
      <c r="G334" s="18">
        <v>13</v>
      </c>
      <c r="H334">
        <v>57</v>
      </c>
      <c r="I334">
        <v>53</v>
      </c>
      <c r="J334" s="7" t="s">
        <v>1864</v>
      </c>
      <c r="K334" s="7" t="s">
        <v>1865</v>
      </c>
      <c r="L334" s="7" t="s">
        <v>1866</v>
      </c>
      <c r="M334" s="7" t="s">
        <v>1867</v>
      </c>
      <c r="N334" s="7"/>
      <c r="O334" s="7" t="s">
        <v>90</v>
      </c>
      <c r="P334" s="7"/>
      <c r="Q334" s="7" t="s">
        <v>93</v>
      </c>
      <c r="R334" s="7"/>
      <c r="S334" s="8"/>
      <c r="T334" s="8"/>
      <c r="U334" s="9" t="str">
        <f>IF(COUNTIFS(Contacts_Activation!D:D,D334,Contacts_Activation!N:N,"oui")&gt;0,"oui","non")</f>
        <v>oui</v>
      </c>
      <c r="V334" s="9" t="str">
        <f>IF(COUNTIFS(Travaux!C:C,D334,Travaux!X:X,"en_cours")&gt;0,"travaux_en_cours",IF(COUNTIFS(Ventes!C:C,D334,Ventes!L:L,"signature")&gt;0,"vente_signature",IF(COUNTIFS(Ventes!C:C,D334,Ventes!AD:AD,"oui")&gt;0,"vente_bloquee",IF(COUNTIFS(Gestion_Locative!C:C,D334,Gestion_Locative!O:O,"incomplet")&gt;0,"gestion_fragile","stable"))))</f>
        <v>vente_bloquee</v>
      </c>
    </row>
    <row r="335" spans="1:22" ht="14.4" hidden="1" x14ac:dyDescent="0.3">
      <c r="A335" s="6" t="s">
        <v>270</v>
      </c>
      <c r="B335" s="1" t="s">
        <v>4516</v>
      </c>
      <c r="C335" s="6" t="s">
        <v>1818</v>
      </c>
      <c r="D335" s="6" t="s">
        <v>1868</v>
      </c>
      <c r="E335" s="6" t="s">
        <v>1820</v>
      </c>
      <c r="F335" s="6" t="s">
        <v>1869</v>
      </c>
      <c r="G335" s="18">
        <v>13</v>
      </c>
      <c r="H335">
        <v>57</v>
      </c>
      <c r="I335">
        <v>53</v>
      </c>
      <c r="J335" s="7" t="s">
        <v>439</v>
      </c>
      <c r="K335" s="7" t="s">
        <v>1870</v>
      </c>
      <c r="L335" s="7" t="s">
        <v>1871</v>
      </c>
      <c r="M335" s="7"/>
      <c r="N335" s="7"/>
      <c r="O335" s="7" t="s">
        <v>90</v>
      </c>
      <c r="P335" s="7"/>
      <c r="Q335" s="7" t="s">
        <v>93</v>
      </c>
      <c r="R335" s="7"/>
      <c r="S335" s="8"/>
      <c r="T335" s="8"/>
      <c r="U335" s="9" t="str">
        <f>IF(COUNTIFS(Contacts_Activation!D:D,D335,Contacts_Activation!N:N,"oui")&gt;0,"oui","non")</f>
        <v>oui</v>
      </c>
      <c r="V335" s="9" t="str">
        <f>IF(COUNTIFS(Travaux!C:C,D335,Travaux!X:X,"en_cours")&gt;0,"travaux_en_cours",IF(COUNTIFS(Ventes!C:C,D335,Ventes!L:L,"signature")&gt;0,"vente_signature",IF(COUNTIFS(Ventes!C:C,D335,Ventes!AD:AD,"oui")&gt;0,"vente_bloquee",IF(COUNTIFS(Gestion_Locative!C:C,D335,Gestion_Locative!O:O,"incomplet")&gt;0,"gestion_fragile","stable"))))</f>
        <v>vente_bloquee</v>
      </c>
    </row>
    <row r="336" spans="1:22" ht="14.4" hidden="1" x14ac:dyDescent="0.3">
      <c r="A336" s="6" t="s">
        <v>270</v>
      </c>
      <c r="B336" s="1" t="s">
        <v>4516</v>
      </c>
      <c r="C336" s="6" t="s">
        <v>1818</v>
      </c>
      <c r="D336" s="6" t="s">
        <v>1872</v>
      </c>
      <c r="E336" s="6" t="s">
        <v>1820</v>
      </c>
      <c r="F336" s="6" t="s">
        <v>1873</v>
      </c>
      <c r="G336" s="18">
        <v>13</v>
      </c>
      <c r="H336">
        <v>57</v>
      </c>
      <c r="I336">
        <v>53</v>
      </c>
      <c r="J336" s="7" t="s">
        <v>1874</v>
      </c>
      <c r="K336" s="7" t="s">
        <v>1875</v>
      </c>
      <c r="L336" s="7"/>
      <c r="M336" s="7"/>
      <c r="N336" s="7"/>
      <c r="O336" s="7" t="s">
        <v>90</v>
      </c>
      <c r="P336" s="7"/>
      <c r="Q336" s="7" t="s">
        <v>93</v>
      </c>
      <c r="R336" s="7"/>
      <c r="S336" s="8"/>
      <c r="T336" s="8"/>
      <c r="U336" s="9" t="str">
        <f>IF(COUNTIFS(Contacts_Activation!D:D,D336,Contacts_Activation!N:N,"oui")&gt;0,"oui","non")</f>
        <v>oui</v>
      </c>
      <c r="V336" s="9" t="str">
        <f>IF(COUNTIFS(Travaux!C:C,D336,Travaux!X:X,"en_cours")&gt;0,"travaux_en_cours",IF(COUNTIFS(Ventes!C:C,D336,Ventes!L:L,"signature")&gt;0,"vente_signature",IF(COUNTIFS(Ventes!C:C,D336,Ventes!AD:AD,"oui")&gt;0,"vente_bloquee",IF(COUNTIFS(Gestion_Locative!C:C,D336,Gestion_Locative!O:O,"incomplet")&gt;0,"gestion_fragile","stable"))))</f>
        <v>vente_bloquee</v>
      </c>
    </row>
    <row r="337" spans="1:22" ht="14.4" hidden="1" x14ac:dyDescent="0.3">
      <c r="A337" s="6" t="s">
        <v>270</v>
      </c>
      <c r="B337" s="1" t="s">
        <v>4516</v>
      </c>
      <c r="C337" s="6" t="s">
        <v>1818</v>
      </c>
      <c r="D337" s="6" t="s">
        <v>1876</v>
      </c>
      <c r="E337" s="6" t="s">
        <v>1820</v>
      </c>
      <c r="F337" s="6" t="s">
        <v>1877</v>
      </c>
      <c r="G337" s="18">
        <v>13</v>
      </c>
      <c r="H337">
        <v>57</v>
      </c>
      <c r="I337">
        <v>53</v>
      </c>
      <c r="J337" s="7" t="s">
        <v>1016</v>
      </c>
      <c r="K337" s="7" t="s">
        <v>1878</v>
      </c>
      <c r="L337" s="7" t="s">
        <v>1879</v>
      </c>
      <c r="M337" s="7" t="s">
        <v>1880</v>
      </c>
      <c r="N337" s="7" t="s">
        <v>1881</v>
      </c>
      <c r="O337" s="7" t="s">
        <v>90</v>
      </c>
      <c r="P337" s="7"/>
      <c r="Q337" s="7" t="s">
        <v>93</v>
      </c>
      <c r="R337" s="7"/>
      <c r="S337" s="8"/>
      <c r="T337" s="8"/>
      <c r="U337" s="9" t="str">
        <f>IF(COUNTIFS(Contacts_Activation!D:D,D337,Contacts_Activation!N:N,"oui")&gt;0,"oui","non")</f>
        <v>oui</v>
      </c>
      <c r="V337" s="9" t="str">
        <f>IF(COUNTIFS(Travaux!C:C,D337,Travaux!X:X,"en_cours")&gt;0,"travaux_en_cours",IF(COUNTIFS(Ventes!C:C,D337,Ventes!L:L,"signature")&gt;0,"vente_signature",IF(COUNTIFS(Ventes!C:C,D337,Ventes!AD:AD,"oui")&gt;0,"vente_bloquee",IF(COUNTIFS(Gestion_Locative!C:C,D337,Gestion_Locative!O:O,"incomplet")&gt;0,"gestion_fragile","stable"))))</f>
        <v>vente_bloquee</v>
      </c>
    </row>
    <row r="338" spans="1:22" ht="14.4" hidden="1" x14ac:dyDescent="0.3">
      <c r="A338" s="6" t="s">
        <v>270</v>
      </c>
      <c r="B338" s="1" t="s">
        <v>4516</v>
      </c>
      <c r="C338" s="6" t="s">
        <v>1818</v>
      </c>
      <c r="D338" s="6" t="s">
        <v>1882</v>
      </c>
      <c r="E338" s="6" t="s">
        <v>1820</v>
      </c>
      <c r="F338" s="6" t="s">
        <v>1883</v>
      </c>
      <c r="G338" s="18">
        <v>13</v>
      </c>
      <c r="H338">
        <v>57</v>
      </c>
      <c r="I338">
        <v>53</v>
      </c>
      <c r="J338" s="7" t="s">
        <v>1884</v>
      </c>
      <c r="K338" s="7" t="s">
        <v>1885</v>
      </c>
      <c r="L338" s="7" t="s">
        <v>1886</v>
      </c>
      <c r="M338" s="7"/>
      <c r="N338" s="7"/>
      <c r="O338" s="7" t="s">
        <v>90</v>
      </c>
      <c r="P338" s="7"/>
      <c r="Q338" s="7" t="s">
        <v>93</v>
      </c>
      <c r="R338" s="7"/>
      <c r="S338" s="8"/>
      <c r="T338" s="8"/>
      <c r="U338" s="9" t="str">
        <f>IF(COUNTIFS(Contacts_Activation!D:D,D338,Contacts_Activation!N:N,"oui")&gt;0,"oui","non")</f>
        <v>oui</v>
      </c>
      <c r="V338" s="9" t="str">
        <f>IF(COUNTIFS(Travaux!C:C,D338,Travaux!X:X,"en_cours")&gt;0,"travaux_en_cours",IF(COUNTIFS(Ventes!C:C,D338,Ventes!L:L,"signature")&gt;0,"vente_signature",IF(COUNTIFS(Ventes!C:C,D338,Ventes!AD:AD,"oui")&gt;0,"vente_bloquee",IF(COUNTIFS(Gestion_Locative!C:C,D338,Gestion_Locative!O:O,"incomplet")&gt;0,"gestion_fragile","stable"))))</f>
        <v>vente_bloquee</v>
      </c>
    </row>
    <row r="339" spans="1:22" ht="27.6" hidden="1" x14ac:dyDescent="0.3">
      <c r="A339" s="6" t="s">
        <v>262</v>
      </c>
      <c r="B339" s="1" t="s">
        <v>4517</v>
      </c>
      <c r="C339" s="6" t="s">
        <v>1887</v>
      </c>
      <c r="D339" s="6" t="s">
        <v>1888</v>
      </c>
      <c r="E339" s="6" t="s">
        <v>1889</v>
      </c>
      <c r="F339" s="6" t="s">
        <v>1890</v>
      </c>
      <c r="G339" s="18">
        <v>15</v>
      </c>
      <c r="H339">
        <v>29</v>
      </c>
      <c r="I339">
        <v>31</v>
      </c>
      <c r="J339" s="7" t="s">
        <v>1891</v>
      </c>
      <c r="K339" s="7" t="s">
        <v>1892</v>
      </c>
      <c r="L339" s="7" t="s">
        <v>1893</v>
      </c>
      <c r="M339" s="7"/>
      <c r="N339" s="7"/>
      <c r="O339" s="7" t="s">
        <v>90</v>
      </c>
      <c r="P339" s="7"/>
      <c r="Q339" s="7" t="s">
        <v>93</v>
      </c>
      <c r="R339" s="7"/>
      <c r="S339" s="8"/>
      <c r="T339" s="8"/>
      <c r="U339" s="9" t="str">
        <f>IF(COUNTIFS(Contacts_Activation!D:D,D339,Contacts_Activation!N:N,"oui")&gt;0,"oui","non")</f>
        <v>oui</v>
      </c>
      <c r="V339" s="9" t="str">
        <f>IF(COUNTIFS(Travaux!C:C,D339,Travaux!X:X,"en_cours")&gt;0,"travaux_en_cours",IF(COUNTIFS(Ventes!C:C,D339,Ventes!L:L,"signature")&gt;0,"vente_signature",IF(COUNTIFS(Ventes!C:C,D339,Ventes!AD:AD,"oui")&gt;0,"vente_bloquee",IF(COUNTIFS(Gestion_Locative!C:C,D339,Gestion_Locative!O:O,"incomplet")&gt;0,"gestion_fragile","stable"))))</f>
        <v>vente_bloquee</v>
      </c>
    </row>
    <row r="340" spans="1:22" ht="14.4" hidden="1" x14ac:dyDescent="0.3">
      <c r="A340" s="6" t="s">
        <v>262</v>
      </c>
      <c r="B340" s="1" t="s">
        <v>4517</v>
      </c>
      <c r="C340" s="6" t="s">
        <v>1887</v>
      </c>
      <c r="D340" s="6" t="s">
        <v>1894</v>
      </c>
      <c r="E340" s="6" t="s">
        <v>1889</v>
      </c>
      <c r="F340" s="6" t="s">
        <v>1895</v>
      </c>
      <c r="G340" s="18">
        <v>15</v>
      </c>
      <c r="H340">
        <v>29</v>
      </c>
      <c r="I340">
        <v>31</v>
      </c>
      <c r="J340" s="7" t="s">
        <v>1896</v>
      </c>
      <c r="K340" s="7" t="s">
        <v>1897</v>
      </c>
      <c r="L340" s="7" t="s">
        <v>1898</v>
      </c>
      <c r="M340" s="7"/>
      <c r="N340" s="7"/>
      <c r="O340" s="7" t="s">
        <v>90</v>
      </c>
      <c r="P340" s="7"/>
      <c r="Q340" s="7" t="s">
        <v>93</v>
      </c>
      <c r="R340" s="7"/>
      <c r="S340" s="8"/>
      <c r="T340" s="8"/>
      <c r="U340" s="9" t="str">
        <f>IF(COUNTIFS(Contacts_Activation!D:D,D340,Contacts_Activation!N:N,"oui")&gt;0,"oui","non")</f>
        <v>oui</v>
      </c>
      <c r="V340" s="9" t="str">
        <f>IF(COUNTIFS(Travaux!C:C,D340,Travaux!X:X,"en_cours")&gt;0,"travaux_en_cours",IF(COUNTIFS(Ventes!C:C,D340,Ventes!L:L,"signature")&gt;0,"vente_signature",IF(COUNTIFS(Ventes!C:C,D340,Ventes!AD:AD,"oui")&gt;0,"vente_bloquee",IF(COUNTIFS(Gestion_Locative!C:C,D340,Gestion_Locative!O:O,"incomplet")&gt;0,"gestion_fragile","stable"))))</f>
        <v>vente_bloquee</v>
      </c>
    </row>
    <row r="341" spans="1:22" ht="14.4" hidden="1" x14ac:dyDescent="0.3">
      <c r="A341" s="6" t="s">
        <v>262</v>
      </c>
      <c r="B341" s="1" t="s">
        <v>4517</v>
      </c>
      <c r="C341" s="6" t="s">
        <v>1887</v>
      </c>
      <c r="D341" s="6" t="s">
        <v>1899</v>
      </c>
      <c r="E341" s="6" t="s">
        <v>1889</v>
      </c>
      <c r="F341" s="6" t="s">
        <v>1900</v>
      </c>
      <c r="G341" s="18">
        <v>15</v>
      </c>
      <c r="H341">
        <v>29</v>
      </c>
      <c r="I341">
        <v>31</v>
      </c>
      <c r="J341" s="7" t="s">
        <v>1901</v>
      </c>
      <c r="K341" s="7" t="s">
        <v>972</v>
      </c>
      <c r="L341" s="7" t="s">
        <v>1902</v>
      </c>
      <c r="M341" s="7"/>
      <c r="N341" s="7"/>
      <c r="O341" s="7" t="s">
        <v>90</v>
      </c>
      <c r="P341" s="7"/>
      <c r="Q341" s="7" t="s">
        <v>93</v>
      </c>
      <c r="R341" s="7"/>
      <c r="S341" s="8"/>
      <c r="T341" s="8"/>
      <c r="U341" s="9" t="str">
        <f>IF(COUNTIFS(Contacts_Activation!D:D,D341,Contacts_Activation!N:N,"oui")&gt;0,"oui","non")</f>
        <v>oui</v>
      </c>
      <c r="V341" s="9" t="str">
        <f>IF(COUNTIFS(Travaux!C:C,D341,Travaux!X:X,"en_cours")&gt;0,"travaux_en_cours",IF(COUNTIFS(Ventes!C:C,D341,Ventes!L:L,"signature")&gt;0,"vente_signature",IF(COUNTIFS(Ventes!C:C,D341,Ventes!AD:AD,"oui")&gt;0,"vente_bloquee",IF(COUNTIFS(Gestion_Locative!C:C,D341,Gestion_Locative!O:O,"incomplet")&gt;0,"gestion_fragile","stable"))))</f>
        <v>vente_bloquee</v>
      </c>
    </row>
    <row r="342" spans="1:22" ht="14.4" hidden="1" x14ac:dyDescent="0.3">
      <c r="A342" s="6" t="s">
        <v>262</v>
      </c>
      <c r="B342" s="1" t="s">
        <v>4517</v>
      </c>
      <c r="C342" s="6" t="s">
        <v>1887</v>
      </c>
      <c r="D342" s="6" t="s">
        <v>1903</v>
      </c>
      <c r="E342" s="6" t="s">
        <v>1889</v>
      </c>
      <c r="F342" s="6" t="s">
        <v>1904</v>
      </c>
      <c r="G342" s="18">
        <v>15</v>
      </c>
      <c r="H342">
        <v>29</v>
      </c>
      <c r="I342">
        <v>31</v>
      </c>
      <c r="J342" s="7" t="s">
        <v>349</v>
      </c>
      <c r="K342" s="7" t="s">
        <v>826</v>
      </c>
      <c r="L342" s="7" t="s">
        <v>1905</v>
      </c>
      <c r="M342" s="7"/>
      <c r="N342" s="7"/>
      <c r="O342" s="7" t="s">
        <v>90</v>
      </c>
      <c r="P342" s="7"/>
      <c r="Q342" s="7" t="s">
        <v>93</v>
      </c>
      <c r="R342" s="7"/>
      <c r="S342" s="8"/>
      <c r="T342" s="8"/>
      <c r="U342" s="9" t="str">
        <f>IF(COUNTIFS(Contacts_Activation!D:D,D342,Contacts_Activation!N:N,"oui")&gt;0,"oui","non")</f>
        <v>oui</v>
      </c>
      <c r="V342" s="9" t="str">
        <f>IF(COUNTIFS(Travaux!C:C,D342,Travaux!X:X,"en_cours")&gt;0,"travaux_en_cours",IF(COUNTIFS(Ventes!C:C,D342,Ventes!L:L,"signature")&gt;0,"vente_signature",IF(COUNTIFS(Ventes!C:C,D342,Ventes!AD:AD,"oui")&gt;0,"vente_bloquee",IF(COUNTIFS(Gestion_Locative!C:C,D342,Gestion_Locative!O:O,"incomplet")&gt;0,"gestion_fragile","stable"))))</f>
        <v>vente_bloquee</v>
      </c>
    </row>
    <row r="343" spans="1:22" ht="14.4" hidden="1" x14ac:dyDescent="0.3">
      <c r="A343" s="6" t="s">
        <v>262</v>
      </c>
      <c r="B343" s="1" t="s">
        <v>4517</v>
      </c>
      <c r="C343" s="6" t="s">
        <v>1887</v>
      </c>
      <c r="D343" s="6" t="s">
        <v>1906</v>
      </c>
      <c r="E343" s="6" t="s">
        <v>1889</v>
      </c>
      <c r="F343" s="6" t="s">
        <v>1907</v>
      </c>
      <c r="G343" s="18">
        <v>15</v>
      </c>
      <c r="H343">
        <v>29</v>
      </c>
      <c r="I343">
        <v>31</v>
      </c>
      <c r="J343" s="7" t="s">
        <v>1908</v>
      </c>
      <c r="K343" s="7" t="s">
        <v>1909</v>
      </c>
      <c r="L343" s="7" t="s">
        <v>1910</v>
      </c>
      <c r="M343" s="7"/>
      <c r="N343" s="7"/>
      <c r="O343" s="7" t="s">
        <v>90</v>
      </c>
      <c r="P343" s="7"/>
      <c r="Q343" s="7" t="s">
        <v>93</v>
      </c>
      <c r="R343" s="7"/>
      <c r="S343" s="8"/>
      <c r="T343" s="8"/>
      <c r="U343" s="9" t="str">
        <f>IF(COUNTIFS(Contacts_Activation!D:D,D343,Contacts_Activation!N:N,"oui")&gt;0,"oui","non")</f>
        <v>oui</v>
      </c>
      <c r="V343" s="9" t="str">
        <f>IF(COUNTIFS(Travaux!C:C,D343,Travaux!X:X,"en_cours")&gt;0,"travaux_en_cours",IF(COUNTIFS(Ventes!C:C,D343,Ventes!L:L,"signature")&gt;0,"vente_signature",IF(COUNTIFS(Ventes!C:C,D343,Ventes!AD:AD,"oui")&gt;0,"vente_bloquee",IF(COUNTIFS(Gestion_Locative!C:C,D343,Gestion_Locative!O:O,"incomplet")&gt;0,"gestion_fragile","stable"))))</f>
        <v>vente_bloquee</v>
      </c>
    </row>
    <row r="344" spans="1:22" ht="14.4" hidden="1" x14ac:dyDescent="0.3">
      <c r="A344" s="6" t="s">
        <v>262</v>
      </c>
      <c r="B344" s="1" t="s">
        <v>4517</v>
      </c>
      <c r="C344" s="6" t="s">
        <v>1887</v>
      </c>
      <c r="D344" s="6" t="s">
        <v>1911</v>
      </c>
      <c r="E344" s="6" t="s">
        <v>1889</v>
      </c>
      <c r="F344" s="6" t="s">
        <v>1912</v>
      </c>
      <c r="G344" s="18">
        <v>15</v>
      </c>
      <c r="H344">
        <v>29</v>
      </c>
      <c r="I344">
        <v>31</v>
      </c>
      <c r="J344" s="7" t="s">
        <v>1913</v>
      </c>
      <c r="K344" s="7" t="s">
        <v>1834</v>
      </c>
      <c r="L344" s="7" t="s">
        <v>1914</v>
      </c>
      <c r="M344" s="7"/>
      <c r="N344" s="7"/>
      <c r="O344" s="7" t="s">
        <v>90</v>
      </c>
      <c r="P344" s="7"/>
      <c r="Q344" s="7" t="s">
        <v>93</v>
      </c>
      <c r="R344" s="7"/>
      <c r="S344" s="8"/>
      <c r="T344" s="8"/>
      <c r="U344" s="9" t="str">
        <f>IF(COUNTIFS(Contacts_Activation!D:D,D344,Contacts_Activation!N:N,"oui")&gt;0,"oui","non")</f>
        <v>oui</v>
      </c>
      <c r="V344" s="9" t="str">
        <f>IF(COUNTIFS(Travaux!C:C,D344,Travaux!X:X,"en_cours")&gt;0,"travaux_en_cours",IF(COUNTIFS(Ventes!C:C,D344,Ventes!L:L,"signature")&gt;0,"vente_signature",IF(COUNTIFS(Ventes!C:C,D344,Ventes!AD:AD,"oui")&gt;0,"vente_bloquee",IF(COUNTIFS(Gestion_Locative!C:C,D344,Gestion_Locative!O:O,"incomplet")&gt;0,"gestion_fragile","stable"))))</f>
        <v>vente_bloquee</v>
      </c>
    </row>
    <row r="345" spans="1:22" ht="14.4" hidden="1" x14ac:dyDescent="0.3">
      <c r="A345" s="6" t="s">
        <v>262</v>
      </c>
      <c r="B345" s="1" t="s">
        <v>4517</v>
      </c>
      <c r="C345" s="6" t="s">
        <v>1887</v>
      </c>
      <c r="D345" s="6" t="s">
        <v>1915</v>
      </c>
      <c r="E345" s="6" t="s">
        <v>1889</v>
      </c>
      <c r="F345" s="6" t="s">
        <v>1916</v>
      </c>
      <c r="G345" s="18">
        <v>15</v>
      </c>
      <c r="H345">
        <v>29</v>
      </c>
      <c r="I345">
        <v>31</v>
      </c>
      <c r="J345" s="7" t="s">
        <v>458</v>
      </c>
      <c r="K345" s="7" t="s">
        <v>1457</v>
      </c>
      <c r="L345" s="7" t="s">
        <v>1917</v>
      </c>
      <c r="M345" s="7"/>
      <c r="N345" s="7"/>
      <c r="O345" s="7" t="s">
        <v>90</v>
      </c>
      <c r="P345" s="7"/>
      <c r="Q345" s="7" t="s">
        <v>93</v>
      </c>
      <c r="R345" s="7"/>
      <c r="S345" s="8"/>
      <c r="T345" s="8"/>
      <c r="U345" s="9" t="str">
        <f>IF(COUNTIFS(Contacts_Activation!D:D,D345,Contacts_Activation!N:N,"oui")&gt;0,"oui","non")</f>
        <v>oui</v>
      </c>
      <c r="V345" s="9" t="str">
        <f>IF(COUNTIFS(Travaux!C:C,D345,Travaux!X:X,"en_cours")&gt;0,"travaux_en_cours",IF(COUNTIFS(Ventes!C:C,D345,Ventes!L:L,"signature")&gt;0,"vente_signature",IF(COUNTIFS(Ventes!C:C,D345,Ventes!AD:AD,"oui")&gt;0,"vente_bloquee",IF(COUNTIFS(Gestion_Locative!C:C,D345,Gestion_Locative!O:O,"incomplet")&gt;0,"gestion_fragile","stable"))))</f>
        <v>vente_bloquee</v>
      </c>
    </row>
    <row r="346" spans="1:22" ht="14.4" hidden="1" x14ac:dyDescent="0.3">
      <c r="A346" s="6" t="s">
        <v>262</v>
      </c>
      <c r="B346" s="1" t="s">
        <v>4517</v>
      </c>
      <c r="C346" s="6" t="s">
        <v>1887</v>
      </c>
      <c r="D346" s="6" t="s">
        <v>1918</v>
      </c>
      <c r="E346" s="6" t="s">
        <v>1889</v>
      </c>
      <c r="F346" s="6" t="s">
        <v>1919</v>
      </c>
      <c r="G346" s="18">
        <v>15</v>
      </c>
      <c r="H346">
        <v>29</v>
      </c>
      <c r="I346">
        <v>31</v>
      </c>
      <c r="J346" s="7" t="s">
        <v>697</v>
      </c>
      <c r="K346" s="7" t="s">
        <v>226</v>
      </c>
      <c r="L346" s="7" t="s">
        <v>1920</v>
      </c>
      <c r="M346" s="7" t="s">
        <v>1921</v>
      </c>
      <c r="N346" s="7"/>
      <c r="O346" s="7" t="s">
        <v>90</v>
      </c>
      <c r="P346" s="7"/>
      <c r="Q346" s="7" t="s">
        <v>93</v>
      </c>
      <c r="R346" s="7"/>
      <c r="S346" s="8"/>
      <c r="T346" s="8"/>
      <c r="U346" s="9" t="str">
        <f>IF(COUNTIFS(Contacts_Activation!D:D,D346,Contacts_Activation!N:N,"oui")&gt;0,"oui","non")</f>
        <v>oui</v>
      </c>
      <c r="V346" s="9" t="str">
        <f>IF(COUNTIFS(Travaux!C:C,D346,Travaux!X:X,"en_cours")&gt;0,"travaux_en_cours",IF(COUNTIFS(Ventes!C:C,D346,Ventes!L:L,"signature")&gt;0,"vente_signature",IF(COUNTIFS(Ventes!C:C,D346,Ventes!AD:AD,"oui")&gt;0,"vente_bloquee",IF(COUNTIFS(Gestion_Locative!C:C,D346,Gestion_Locative!O:O,"incomplet")&gt;0,"gestion_fragile","stable"))))</f>
        <v>vente_bloquee</v>
      </c>
    </row>
    <row r="347" spans="1:22" ht="14.4" hidden="1" x14ac:dyDescent="0.3">
      <c r="A347" s="6" t="s">
        <v>262</v>
      </c>
      <c r="B347" s="1" t="s">
        <v>4517</v>
      </c>
      <c r="C347" s="6" t="s">
        <v>1887</v>
      </c>
      <c r="D347" s="6" t="s">
        <v>1922</v>
      </c>
      <c r="E347" s="6" t="s">
        <v>1889</v>
      </c>
      <c r="F347" s="6" t="s">
        <v>1923</v>
      </c>
      <c r="G347" s="18">
        <v>15</v>
      </c>
      <c r="H347">
        <v>29</v>
      </c>
      <c r="I347">
        <v>31</v>
      </c>
      <c r="J347" s="7" t="s">
        <v>1924</v>
      </c>
      <c r="K347" s="7" t="s">
        <v>939</v>
      </c>
      <c r="L347" s="7" t="s">
        <v>1925</v>
      </c>
      <c r="M347" s="7"/>
      <c r="N347" s="7"/>
      <c r="O347" s="7" t="s">
        <v>90</v>
      </c>
      <c r="P347" s="7"/>
      <c r="Q347" s="7" t="s">
        <v>93</v>
      </c>
      <c r="R347" s="7"/>
      <c r="S347" s="8"/>
      <c r="T347" s="8"/>
      <c r="U347" s="9" t="str">
        <f>IF(COUNTIFS(Contacts_Activation!D:D,D347,Contacts_Activation!N:N,"oui")&gt;0,"oui","non")</f>
        <v>oui</v>
      </c>
      <c r="V347" s="9" t="str">
        <f>IF(COUNTIFS(Travaux!C:C,D347,Travaux!X:X,"en_cours")&gt;0,"travaux_en_cours",IF(COUNTIFS(Ventes!C:C,D347,Ventes!L:L,"signature")&gt;0,"vente_signature",IF(COUNTIFS(Ventes!C:C,D347,Ventes!AD:AD,"oui")&gt;0,"vente_bloquee",IF(COUNTIFS(Gestion_Locative!C:C,D347,Gestion_Locative!O:O,"incomplet")&gt;0,"gestion_fragile","stable"))))</f>
        <v>vente_bloquee</v>
      </c>
    </row>
    <row r="348" spans="1:22" ht="14.4" hidden="1" x14ac:dyDescent="0.3">
      <c r="A348" s="6" t="s">
        <v>262</v>
      </c>
      <c r="B348" s="1" t="s">
        <v>4517</v>
      </c>
      <c r="C348" s="6" t="s">
        <v>1887</v>
      </c>
      <c r="D348" s="6" t="s">
        <v>1926</v>
      </c>
      <c r="E348" s="6" t="s">
        <v>1889</v>
      </c>
      <c r="F348" s="6" t="s">
        <v>1927</v>
      </c>
      <c r="G348" s="18">
        <v>15</v>
      </c>
      <c r="H348">
        <v>29</v>
      </c>
      <c r="I348">
        <v>31</v>
      </c>
      <c r="J348" s="7" t="s">
        <v>1928</v>
      </c>
      <c r="K348" s="7" t="s">
        <v>1929</v>
      </c>
      <c r="L348" s="7" t="s">
        <v>1930</v>
      </c>
      <c r="M348" s="7"/>
      <c r="N348" s="7"/>
      <c r="O348" s="7" t="s">
        <v>90</v>
      </c>
      <c r="P348" s="7"/>
      <c r="Q348" s="7" t="s">
        <v>93</v>
      </c>
      <c r="R348" s="7"/>
      <c r="S348" s="8"/>
      <c r="T348" s="8"/>
      <c r="U348" s="9" t="str">
        <f>IF(COUNTIFS(Contacts_Activation!D:D,D348,Contacts_Activation!N:N,"oui")&gt;0,"oui","non")</f>
        <v>oui</v>
      </c>
      <c r="V348" s="9" t="str">
        <f>IF(COUNTIFS(Travaux!C:C,D348,Travaux!X:X,"en_cours")&gt;0,"travaux_en_cours",IF(COUNTIFS(Ventes!C:C,D348,Ventes!L:L,"signature")&gt;0,"vente_signature",IF(COUNTIFS(Ventes!C:C,D348,Ventes!AD:AD,"oui")&gt;0,"vente_bloquee",IF(COUNTIFS(Gestion_Locative!C:C,D348,Gestion_Locative!O:O,"incomplet")&gt;0,"gestion_fragile","stable"))))</f>
        <v>vente_bloquee</v>
      </c>
    </row>
    <row r="349" spans="1:22" ht="14.4" hidden="1" x14ac:dyDescent="0.3">
      <c r="A349" s="6" t="s">
        <v>262</v>
      </c>
      <c r="B349" s="1" t="s">
        <v>4517</v>
      </c>
      <c r="C349" s="6" t="s">
        <v>1887</v>
      </c>
      <c r="D349" s="6" t="s">
        <v>1931</v>
      </c>
      <c r="E349" s="6" t="s">
        <v>1889</v>
      </c>
      <c r="F349" s="6" t="s">
        <v>1932</v>
      </c>
      <c r="G349" s="18">
        <v>15</v>
      </c>
      <c r="H349">
        <v>29</v>
      </c>
      <c r="I349">
        <v>31</v>
      </c>
      <c r="J349" s="7" t="s">
        <v>1933</v>
      </c>
      <c r="K349" s="7" t="s">
        <v>1934</v>
      </c>
      <c r="L349" s="7" t="s">
        <v>1935</v>
      </c>
      <c r="M349" s="7" t="s">
        <v>1936</v>
      </c>
      <c r="N349" s="7"/>
      <c r="O349" s="7" t="s">
        <v>90</v>
      </c>
      <c r="P349" s="7"/>
      <c r="Q349" s="7" t="s">
        <v>93</v>
      </c>
      <c r="R349" s="7"/>
      <c r="S349" s="8"/>
      <c r="T349" s="8"/>
      <c r="U349" s="9" t="str">
        <f>IF(COUNTIFS(Contacts_Activation!D:D,D349,Contacts_Activation!N:N,"oui")&gt;0,"oui","non")</f>
        <v>oui</v>
      </c>
      <c r="V349" s="9" t="str">
        <f>IF(COUNTIFS(Travaux!C:C,D349,Travaux!X:X,"en_cours")&gt;0,"travaux_en_cours",IF(COUNTIFS(Ventes!C:C,D349,Ventes!L:L,"signature")&gt;0,"vente_signature",IF(COUNTIFS(Ventes!C:C,D349,Ventes!AD:AD,"oui")&gt;0,"vente_bloquee",IF(COUNTIFS(Gestion_Locative!C:C,D349,Gestion_Locative!O:O,"incomplet")&gt;0,"gestion_fragile","stable"))))</f>
        <v>vente_bloquee</v>
      </c>
    </row>
    <row r="350" spans="1:22" ht="14.4" hidden="1" x14ac:dyDescent="0.3">
      <c r="A350" s="6" t="s">
        <v>262</v>
      </c>
      <c r="B350" s="1" t="s">
        <v>4517</v>
      </c>
      <c r="C350" s="6" t="s">
        <v>1887</v>
      </c>
      <c r="D350" s="6" t="s">
        <v>1937</v>
      </c>
      <c r="E350" s="6" t="s">
        <v>1889</v>
      </c>
      <c r="F350" s="6" t="s">
        <v>1938</v>
      </c>
      <c r="G350" s="18">
        <v>15</v>
      </c>
      <c r="H350">
        <v>29</v>
      </c>
      <c r="I350">
        <v>31</v>
      </c>
      <c r="J350" s="7" t="s">
        <v>1933</v>
      </c>
      <c r="K350" s="7" t="s">
        <v>259</v>
      </c>
      <c r="L350" s="7" t="s">
        <v>1939</v>
      </c>
      <c r="M350" s="7"/>
      <c r="N350" s="7"/>
      <c r="O350" s="7" t="s">
        <v>90</v>
      </c>
      <c r="P350" s="7"/>
      <c r="Q350" s="7" t="s">
        <v>93</v>
      </c>
      <c r="R350" s="7"/>
      <c r="S350" s="8"/>
      <c r="T350" s="8"/>
      <c r="U350" s="9" t="str">
        <f>IF(COUNTIFS(Contacts_Activation!D:D,D350,Contacts_Activation!N:N,"oui")&gt;0,"oui","non")</f>
        <v>oui</v>
      </c>
      <c r="V350" s="9" t="str">
        <f>IF(COUNTIFS(Travaux!C:C,D350,Travaux!X:X,"en_cours")&gt;0,"travaux_en_cours",IF(COUNTIFS(Ventes!C:C,D350,Ventes!L:L,"signature")&gt;0,"vente_signature",IF(COUNTIFS(Ventes!C:C,D350,Ventes!AD:AD,"oui")&gt;0,"vente_bloquee",IF(COUNTIFS(Gestion_Locative!C:C,D350,Gestion_Locative!O:O,"incomplet")&gt;0,"gestion_fragile","stable"))))</f>
        <v>vente_bloquee</v>
      </c>
    </row>
    <row r="351" spans="1:22" ht="14.4" hidden="1" x14ac:dyDescent="0.3">
      <c r="A351" s="6" t="s">
        <v>262</v>
      </c>
      <c r="B351" s="1" t="s">
        <v>4517</v>
      </c>
      <c r="C351" s="6" t="s">
        <v>1887</v>
      </c>
      <c r="D351" s="6" t="s">
        <v>1940</v>
      </c>
      <c r="E351" s="6" t="s">
        <v>1889</v>
      </c>
      <c r="F351" s="6" t="s">
        <v>1941</v>
      </c>
      <c r="G351" s="18">
        <v>15</v>
      </c>
      <c r="H351">
        <v>29</v>
      </c>
      <c r="I351">
        <v>31</v>
      </c>
      <c r="J351" s="7" t="s">
        <v>334</v>
      </c>
      <c r="K351" s="7" t="s">
        <v>1942</v>
      </c>
      <c r="L351" s="7" t="s">
        <v>1943</v>
      </c>
      <c r="M351" s="7"/>
      <c r="N351" s="7"/>
      <c r="O351" s="7" t="s">
        <v>90</v>
      </c>
      <c r="P351" s="7"/>
      <c r="Q351" s="7" t="s">
        <v>93</v>
      </c>
      <c r="R351" s="7"/>
      <c r="S351" s="8"/>
      <c r="T351" s="8"/>
      <c r="U351" s="9" t="str">
        <f>IF(COUNTIFS(Contacts_Activation!D:D,D351,Contacts_Activation!N:N,"oui")&gt;0,"oui","non")</f>
        <v>oui</v>
      </c>
      <c r="V351" s="9" t="str">
        <f>IF(COUNTIFS(Travaux!C:C,D351,Travaux!X:X,"en_cours")&gt;0,"travaux_en_cours",IF(COUNTIFS(Ventes!C:C,D351,Ventes!L:L,"signature")&gt;0,"vente_signature",IF(COUNTIFS(Ventes!C:C,D351,Ventes!AD:AD,"oui")&gt;0,"vente_bloquee",IF(COUNTIFS(Gestion_Locative!C:C,D351,Gestion_Locative!O:O,"incomplet")&gt;0,"gestion_fragile","stable"))))</f>
        <v>vente_bloquee</v>
      </c>
    </row>
    <row r="352" spans="1:22" ht="14.4" hidden="1" x14ac:dyDescent="0.3">
      <c r="A352" s="6" t="s">
        <v>262</v>
      </c>
      <c r="B352" s="1" t="s">
        <v>4517</v>
      </c>
      <c r="C352" s="6" t="s">
        <v>1887</v>
      </c>
      <c r="D352" s="6" t="s">
        <v>1944</v>
      </c>
      <c r="E352" s="6" t="s">
        <v>1889</v>
      </c>
      <c r="F352" s="6" t="s">
        <v>1945</v>
      </c>
      <c r="G352" s="18">
        <v>15</v>
      </c>
      <c r="H352">
        <v>29</v>
      </c>
      <c r="I352">
        <v>31</v>
      </c>
      <c r="J352" s="7" t="s">
        <v>1946</v>
      </c>
      <c r="K352" s="7" t="s">
        <v>1457</v>
      </c>
      <c r="L352" s="7" t="s">
        <v>1947</v>
      </c>
      <c r="M352" s="7"/>
      <c r="N352" s="7"/>
      <c r="O352" s="7" t="s">
        <v>90</v>
      </c>
      <c r="P352" s="7"/>
      <c r="Q352" s="7" t="s">
        <v>93</v>
      </c>
      <c r="R352" s="7"/>
      <c r="S352" s="8"/>
      <c r="T352" s="8"/>
      <c r="U352" s="9" t="str">
        <f>IF(COUNTIFS(Contacts_Activation!D:D,D352,Contacts_Activation!N:N,"oui")&gt;0,"oui","non")</f>
        <v>oui</v>
      </c>
      <c r="V352" s="9" t="str">
        <f>IF(COUNTIFS(Travaux!C:C,D352,Travaux!X:X,"en_cours")&gt;0,"travaux_en_cours",IF(COUNTIFS(Ventes!C:C,D352,Ventes!L:L,"signature")&gt;0,"vente_signature",IF(COUNTIFS(Ventes!C:C,D352,Ventes!AD:AD,"oui")&gt;0,"vente_bloquee",IF(COUNTIFS(Gestion_Locative!C:C,D352,Gestion_Locative!O:O,"incomplet")&gt;0,"gestion_fragile","stable"))))</f>
        <v>vente_bloquee</v>
      </c>
    </row>
    <row r="353" spans="1:22" ht="14.4" hidden="1" x14ac:dyDescent="0.3">
      <c r="A353" s="6" t="s">
        <v>262</v>
      </c>
      <c r="B353" s="1" t="s">
        <v>4517</v>
      </c>
      <c r="C353" s="6" t="s">
        <v>1887</v>
      </c>
      <c r="D353" s="6" t="s">
        <v>1948</v>
      </c>
      <c r="E353" s="6" t="s">
        <v>1889</v>
      </c>
      <c r="F353" s="6" t="s">
        <v>1949</v>
      </c>
      <c r="G353" s="18">
        <v>15</v>
      </c>
      <c r="H353">
        <v>29</v>
      </c>
      <c r="I353">
        <v>31</v>
      </c>
      <c r="J353" s="7" t="s">
        <v>1950</v>
      </c>
      <c r="K353" s="7" t="s">
        <v>1951</v>
      </c>
      <c r="L353" s="7" t="s">
        <v>1952</v>
      </c>
      <c r="M353" s="7"/>
      <c r="N353" s="7"/>
      <c r="O353" s="7" t="s">
        <v>90</v>
      </c>
      <c r="P353" s="7"/>
      <c r="Q353" s="7" t="s">
        <v>93</v>
      </c>
      <c r="R353" s="7"/>
      <c r="S353" s="8"/>
      <c r="T353" s="8"/>
      <c r="U353" s="9" t="str">
        <f>IF(COUNTIFS(Contacts_Activation!D:D,D353,Contacts_Activation!N:N,"oui")&gt;0,"oui","non")</f>
        <v>oui</v>
      </c>
      <c r="V353" s="9" t="str">
        <f>IF(COUNTIFS(Travaux!C:C,D353,Travaux!X:X,"en_cours")&gt;0,"travaux_en_cours",IF(COUNTIFS(Ventes!C:C,D353,Ventes!L:L,"signature")&gt;0,"vente_signature",IF(COUNTIFS(Ventes!C:C,D353,Ventes!AD:AD,"oui")&gt;0,"vente_bloquee",IF(COUNTIFS(Gestion_Locative!C:C,D353,Gestion_Locative!O:O,"incomplet")&gt;0,"gestion_fragile","stable"))))</f>
        <v>vente_bloquee</v>
      </c>
    </row>
    <row r="354" spans="1:22" ht="14.4" hidden="1" x14ac:dyDescent="0.3">
      <c r="A354" s="6" t="s">
        <v>270</v>
      </c>
      <c r="B354" s="1" t="s">
        <v>4519</v>
      </c>
      <c r="C354" s="6" t="s">
        <v>1953</v>
      </c>
      <c r="D354" s="6" t="s">
        <v>1954</v>
      </c>
      <c r="E354" s="6" t="s">
        <v>1955</v>
      </c>
      <c r="F354" s="6" t="s">
        <v>1956</v>
      </c>
      <c r="G354" s="18">
        <v>7</v>
      </c>
      <c r="H354">
        <v>79</v>
      </c>
      <c r="I354">
        <v>73</v>
      </c>
      <c r="J354" s="7" t="s">
        <v>1573</v>
      </c>
      <c r="K354" s="7" t="s">
        <v>1834</v>
      </c>
      <c r="L354" s="7" t="s">
        <v>1957</v>
      </c>
      <c r="M354" s="7"/>
      <c r="N354" s="7"/>
      <c r="O354" s="7" t="s">
        <v>90</v>
      </c>
      <c r="P354" s="7"/>
      <c r="Q354" s="7" t="s">
        <v>93</v>
      </c>
      <c r="R354" s="7"/>
      <c r="S354" s="8"/>
      <c r="T354" s="8"/>
      <c r="U354" s="9" t="str">
        <f>IF(COUNTIFS(Contacts_Activation!D:D,D354,Contacts_Activation!N:N,"oui")&gt;0,"oui","non")</f>
        <v>oui</v>
      </c>
      <c r="V354" s="9" t="str">
        <f>IF(COUNTIFS(Travaux!C:C,D354,Travaux!X:X,"en_cours")&gt;0,"travaux_en_cours",IF(COUNTIFS(Ventes!C:C,D354,Ventes!L:L,"signature")&gt;0,"vente_signature",IF(COUNTIFS(Ventes!C:C,D354,Ventes!AD:AD,"oui")&gt;0,"vente_bloquee",IF(COUNTIFS(Gestion_Locative!C:C,D354,Gestion_Locative!O:O,"incomplet")&gt;0,"gestion_fragile","stable"))))</f>
        <v>vente_bloquee</v>
      </c>
    </row>
    <row r="355" spans="1:22" ht="27.6" hidden="1" x14ac:dyDescent="0.3">
      <c r="A355" s="6" t="s">
        <v>270</v>
      </c>
      <c r="B355" s="1" t="s">
        <v>4519</v>
      </c>
      <c r="C355" s="6" t="s">
        <v>1953</v>
      </c>
      <c r="D355" s="6" t="s">
        <v>1958</v>
      </c>
      <c r="E355" s="6" t="s">
        <v>1955</v>
      </c>
      <c r="F355" s="6" t="s">
        <v>1959</v>
      </c>
      <c r="G355" s="18">
        <v>7</v>
      </c>
      <c r="H355">
        <v>79</v>
      </c>
      <c r="I355">
        <v>73</v>
      </c>
      <c r="J355" s="7" t="s">
        <v>1960</v>
      </c>
      <c r="K355" s="7" t="s">
        <v>1961</v>
      </c>
      <c r="L355" s="7" t="s">
        <v>1962</v>
      </c>
      <c r="M355" s="7"/>
      <c r="N355" s="7"/>
      <c r="O355" s="7" t="s">
        <v>90</v>
      </c>
      <c r="P355" s="7"/>
      <c r="Q355" s="7" t="s">
        <v>93</v>
      </c>
      <c r="R355" s="7"/>
      <c r="S355" s="8"/>
      <c r="T355" s="8"/>
      <c r="U355" s="9" t="str">
        <f>IF(COUNTIFS(Contacts_Activation!D:D,D355,Contacts_Activation!N:N,"oui")&gt;0,"oui","non")</f>
        <v>oui</v>
      </c>
      <c r="V355" s="9" t="str">
        <f>IF(COUNTIFS(Travaux!C:C,D355,Travaux!X:X,"en_cours")&gt;0,"travaux_en_cours",IF(COUNTIFS(Ventes!C:C,D355,Ventes!L:L,"signature")&gt;0,"vente_signature",IF(COUNTIFS(Ventes!C:C,D355,Ventes!AD:AD,"oui")&gt;0,"vente_bloquee",IF(COUNTIFS(Gestion_Locative!C:C,D355,Gestion_Locative!O:O,"incomplet")&gt;0,"gestion_fragile","stable"))))</f>
        <v>vente_bloquee</v>
      </c>
    </row>
    <row r="356" spans="1:22" ht="14.4" hidden="1" x14ac:dyDescent="0.3">
      <c r="A356" s="6" t="s">
        <v>270</v>
      </c>
      <c r="B356" s="1" t="s">
        <v>4519</v>
      </c>
      <c r="C356" s="6" t="s">
        <v>1953</v>
      </c>
      <c r="D356" s="6" t="s">
        <v>1963</v>
      </c>
      <c r="E356" s="6" t="s">
        <v>1955</v>
      </c>
      <c r="F356" s="6" t="s">
        <v>1964</v>
      </c>
      <c r="G356" s="18">
        <v>7</v>
      </c>
      <c r="H356">
        <v>79</v>
      </c>
      <c r="I356">
        <v>73</v>
      </c>
      <c r="J356" s="7" t="s">
        <v>687</v>
      </c>
      <c r="K356" s="7" t="s">
        <v>1965</v>
      </c>
      <c r="L356" s="7" t="s">
        <v>1966</v>
      </c>
      <c r="M356" s="7"/>
      <c r="N356" s="7"/>
      <c r="O356" s="7" t="s">
        <v>90</v>
      </c>
      <c r="P356" s="7"/>
      <c r="Q356" s="7" t="s">
        <v>93</v>
      </c>
      <c r="R356" s="7"/>
      <c r="S356" s="8"/>
      <c r="T356" s="8"/>
      <c r="U356" s="9" t="str">
        <f>IF(COUNTIFS(Contacts_Activation!D:D,D356,Contacts_Activation!N:N,"oui")&gt;0,"oui","non")</f>
        <v>oui</v>
      </c>
      <c r="V356" s="9" t="str">
        <f>IF(COUNTIFS(Travaux!C:C,D356,Travaux!X:X,"en_cours")&gt;0,"travaux_en_cours",IF(COUNTIFS(Ventes!C:C,D356,Ventes!L:L,"signature")&gt;0,"vente_signature",IF(COUNTIFS(Ventes!C:C,D356,Ventes!AD:AD,"oui")&gt;0,"vente_bloquee",IF(COUNTIFS(Gestion_Locative!C:C,D356,Gestion_Locative!O:O,"incomplet")&gt;0,"gestion_fragile","stable"))))</f>
        <v>vente_bloquee</v>
      </c>
    </row>
    <row r="357" spans="1:22" ht="14.4" hidden="1" x14ac:dyDescent="0.3">
      <c r="A357" s="6" t="s">
        <v>270</v>
      </c>
      <c r="B357" s="1" t="s">
        <v>4519</v>
      </c>
      <c r="C357" s="6" t="s">
        <v>1953</v>
      </c>
      <c r="D357" s="6" t="s">
        <v>1967</v>
      </c>
      <c r="E357" s="6" t="s">
        <v>1955</v>
      </c>
      <c r="F357" s="6" t="s">
        <v>1968</v>
      </c>
      <c r="G357" s="18">
        <v>7</v>
      </c>
      <c r="H357">
        <v>79</v>
      </c>
      <c r="I357">
        <v>73</v>
      </c>
      <c r="J357" s="7" t="s">
        <v>1969</v>
      </c>
      <c r="K357" s="7" t="s">
        <v>772</v>
      </c>
      <c r="L357" s="7" t="s">
        <v>1970</v>
      </c>
      <c r="M357" s="7"/>
      <c r="N357" s="7"/>
      <c r="O357" s="7" t="s">
        <v>90</v>
      </c>
      <c r="P357" s="7"/>
      <c r="Q357" s="7" t="s">
        <v>93</v>
      </c>
      <c r="R357" s="7"/>
      <c r="S357" s="8"/>
      <c r="T357" s="8"/>
      <c r="U357" s="9" t="str">
        <f>IF(COUNTIFS(Contacts_Activation!D:D,D357,Contacts_Activation!N:N,"oui")&gt;0,"oui","non")</f>
        <v>oui</v>
      </c>
      <c r="V357" s="9" t="str">
        <f>IF(COUNTIFS(Travaux!C:C,D357,Travaux!X:X,"en_cours")&gt;0,"travaux_en_cours",IF(COUNTIFS(Ventes!C:C,D357,Ventes!L:L,"signature")&gt;0,"vente_signature",IF(COUNTIFS(Ventes!C:C,D357,Ventes!AD:AD,"oui")&gt;0,"vente_bloquee",IF(COUNTIFS(Gestion_Locative!C:C,D357,Gestion_Locative!O:O,"incomplet")&gt;0,"gestion_fragile","stable"))))</f>
        <v>vente_bloquee</v>
      </c>
    </row>
    <row r="358" spans="1:22" ht="14.4" hidden="1" x14ac:dyDescent="0.3">
      <c r="A358" s="6" t="s">
        <v>270</v>
      </c>
      <c r="B358" s="1" t="s">
        <v>4519</v>
      </c>
      <c r="C358" s="6" t="s">
        <v>1953</v>
      </c>
      <c r="D358" s="6" t="s">
        <v>1971</v>
      </c>
      <c r="E358" s="6" t="s">
        <v>1955</v>
      </c>
      <c r="F358" s="6" t="s">
        <v>1972</v>
      </c>
      <c r="G358" s="18">
        <v>7</v>
      </c>
      <c r="H358">
        <v>79</v>
      </c>
      <c r="I358">
        <v>73</v>
      </c>
      <c r="J358" s="7" t="s">
        <v>587</v>
      </c>
      <c r="K358" s="7" t="s">
        <v>1973</v>
      </c>
      <c r="L358" s="7" t="s">
        <v>1974</v>
      </c>
      <c r="M358" s="7" t="s">
        <v>1975</v>
      </c>
      <c r="N358" s="7" t="s">
        <v>268</v>
      </c>
      <c r="O358" s="7" t="s">
        <v>90</v>
      </c>
      <c r="P358" s="7"/>
      <c r="Q358" s="7" t="s">
        <v>93</v>
      </c>
      <c r="R358" s="7"/>
      <c r="S358" s="8"/>
      <c r="T358" s="8"/>
      <c r="U358" s="9" t="str">
        <f>IF(COUNTIFS(Contacts_Activation!D:D,D358,Contacts_Activation!N:N,"oui")&gt;0,"oui","non")</f>
        <v>oui</v>
      </c>
      <c r="V358" s="9" t="str">
        <f>IF(COUNTIFS(Travaux!C:C,D358,Travaux!X:X,"en_cours")&gt;0,"travaux_en_cours",IF(COUNTIFS(Ventes!C:C,D358,Ventes!L:L,"signature")&gt;0,"vente_signature",IF(COUNTIFS(Ventes!C:C,D358,Ventes!AD:AD,"oui")&gt;0,"vente_bloquee",IF(COUNTIFS(Gestion_Locative!C:C,D358,Gestion_Locative!O:O,"incomplet")&gt;0,"gestion_fragile","stable"))))</f>
        <v>vente_bloquee</v>
      </c>
    </row>
    <row r="359" spans="1:22" ht="14.4" hidden="1" x14ac:dyDescent="0.3">
      <c r="A359" s="6" t="s">
        <v>270</v>
      </c>
      <c r="B359" s="1" t="s">
        <v>4519</v>
      </c>
      <c r="C359" s="6" t="s">
        <v>1953</v>
      </c>
      <c r="D359" s="6" t="s">
        <v>1976</v>
      </c>
      <c r="E359" s="6" t="s">
        <v>1955</v>
      </c>
      <c r="F359" s="6" t="s">
        <v>1977</v>
      </c>
      <c r="G359" s="18">
        <v>7</v>
      </c>
      <c r="H359">
        <v>79</v>
      </c>
      <c r="I359">
        <v>73</v>
      </c>
      <c r="J359" s="7" t="s">
        <v>658</v>
      </c>
      <c r="K359" s="7" t="s">
        <v>335</v>
      </c>
      <c r="L359" s="7" t="s">
        <v>1978</v>
      </c>
      <c r="M359" s="7"/>
      <c r="N359" s="7"/>
      <c r="O359" s="7" t="s">
        <v>90</v>
      </c>
      <c r="P359" s="7"/>
      <c r="Q359" s="7" t="s">
        <v>93</v>
      </c>
      <c r="R359" s="7"/>
      <c r="S359" s="8"/>
      <c r="T359" s="8"/>
      <c r="U359" s="9" t="str">
        <f>IF(COUNTIFS(Contacts_Activation!D:D,D359,Contacts_Activation!N:N,"oui")&gt;0,"oui","non")</f>
        <v>oui</v>
      </c>
      <c r="V359" s="9" t="str">
        <f>IF(COUNTIFS(Travaux!C:C,D359,Travaux!X:X,"en_cours")&gt;0,"travaux_en_cours",IF(COUNTIFS(Ventes!C:C,D359,Ventes!L:L,"signature")&gt;0,"vente_signature",IF(COUNTIFS(Ventes!C:C,D359,Ventes!AD:AD,"oui")&gt;0,"vente_bloquee",IF(COUNTIFS(Gestion_Locative!C:C,D359,Gestion_Locative!O:O,"incomplet")&gt;0,"gestion_fragile","stable"))))</f>
        <v>vente_bloquee</v>
      </c>
    </row>
    <row r="360" spans="1:22" ht="14.4" hidden="1" x14ac:dyDescent="0.3">
      <c r="A360" s="6" t="s">
        <v>270</v>
      </c>
      <c r="B360" s="1" t="s">
        <v>4519</v>
      </c>
      <c r="C360" s="6" t="s">
        <v>1953</v>
      </c>
      <c r="D360" s="6" t="s">
        <v>1979</v>
      </c>
      <c r="E360" s="6" t="s">
        <v>1955</v>
      </c>
      <c r="F360" s="6" t="s">
        <v>1980</v>
      </c>
      <c r="G360" s="18">
        <v>7</v>
      </c>
      <c r="H360">
        <v>79</v>
      </c>
      <c r="I360">
        <v>73</v>
      </c>
      <c r="J360" s="7" t="s">
        <v>1981</v>
      </c>
      <c r="K360" s="7" t="s">
        <v>892</v>
      </c>
      <c r="L360" s="7" t="s">
        <v>1982</v>
      </c>
      <c r="M360" s="7"/>
      <c r="N360" s="7"/>
      <c r="O360" s="7" t="s">
        <v>90</v>
      </c>
      <c r="P360" s="7"/>
      <c r="Q360" s="7" t="s">
        <v>93</v>
      </c>
      <c r="R360" s="7"/>
      <c r="S360" s="8"/>
      <c r="T360" s="8"/>
      <c r="U360" s="9" t="str">
        <f>IF(COUNTIFS(Contacts_Activation!D:D,D360,Contacts_Activation!N:N,"oui")&gt;0,"oui","non")</f>
        <v>oui</v>
      </c>
      <c r="V360" s="9" t="str">
        <f>IF(COUNTIFS(Travaux!C:C,D360,Travaux!X:X,"en_cours")&gt;0,"travaux_en_cours",IF(COUNTIFS(Ventes!C:C,D360,Ventes!L:L,"signature")&gt;0,"vente_signature",IF(COUNTIFS(Ventes!C:C,D360,Ventes!AD:AD,"oui")&gt;0,"vente_bloquee",IF(COUNTIFS(Gestion_Locative!C:C,D360,Gestion_Locative!O:O,"incomplet")&gt;0,"gestion_fragile","stable"))))</f>
        <v>vente_bloquee</v>
      </c>
    </row>
    <row r="361" spans="1:22" ht="14.4" hidden="1" x14ac:dyDescent="0.3">
      <c r="A361" s="6" t="s">
        <v>202</v>
      </c>
      <c r="B361" s="1" t="s">
        <v>4511</v>
      </c>
      <c r="C361" s="6" t="s">
        <v>1983</v>
      </c>
      <c r="D361" s="6" t="s">
        <v>1984</v>
      </c>
      <c r="E361" s="6" t="s">
        <v>1985</v>
      </c>
      <c r="F361" s="6" t="s">
        <v>1986</v>
      </c>
      <c r="G361" s="18">
        <v>13</v>
      </c>
      <c r="H361">
        <v>76</v>
      </c>
      <c r="I361">
        <v>36</v>
      </c>
      <c r="J361" s="7" t="s">
        <v>1987</v>
      </c>
      <c r="K361" s="7" t="s">
        <v>534</v>
      </c>
      <c r="L361" s="7" t="s">
        <v>1988</v>
      </c>
      <c r="M361" s="7"/>
      <c r="N361" s="7"/>
      <c r="O361" s="7" t="s">
        <v>90</v>
      </c>
      <c r="P361" s="7"/>
      <c r="Q361" s="7" t="s">
        <v>93</v>
      </c>
      <c r="R361" s="7"/>
      <c r="S361" s="8"/>
      <c r="T361" s="8"/>
      <c r="U361" s="9" t="str">
        <f>IF(COUNTIFS(Contacts_Activation!D:D,D361,Contacts_Activation!N:N,"oui")&gt;0,"oui","non")</f>
        <v>oui</v>
      </c>
      <c r="V361" s="9" t="str">
        <f>IF(COUNTIFS(Travaux!C:C,D361,Travaux!X:X,"en_cours")&gt;0,"travaux_en_cours",IF(COUNTIFS(Ventes!C:C,D361,Ventes!L:L,"signature")&gt;0,"vente_signature",IF(COUNTIFS(Ventes!C:C,D361,Ventes!AD:AD,"oui")&gt;0,"vente_bloquee",IF(COUNTIFS(Gestion_Locative!C:C,D361,Gestion_Locative!O:O,"incomplet")&gt;0,"gestion_fragile","stable"))))</f>
        <v>vente_bloquee</v>
      </c>
    </row>
    <row r="362" spans="1:22" ht="27.6" hidden="1" x14ac:dyDescent="0.3">
      <c r="A362" s="6" t="s">
        <v>202</v>
      </c>
      <c r="B362" s="1" t="s">
        <v>4511</v>
      </c>
      <c r="C362" s="6" t="s">
        <v>1983</v>
      </c>
      <c r="D362" s="6" t="s">
        <v>1989</v>
      </c>
      <c r="E362" s="6" t="s">
        <v>1985</v>
      </c>
      <c r="F362" s="6" t="s">
        <v>1990</v>
      </c>
      <c r="G362" s="18">
        <v>13</v>
      </c>
      <c r="H362">
        <v>76</v>
      </c>
      <c r="I362">
        <v>36</v>
      </c>
      <c r="J362" s="7" t="s">
        <v>1991</v>
      </c>
      <c r="K362" s="7" t="s">
        <v>1992</v>
      </c>
      <c r="L362" s="7" t="s">
        <v>1993</v>
      </c>
      <c r="M362" s="7" t="s">
        <v>1994</v>
      </c>
      <c r="N362" s="7" t="s">
        <v>672</v>
      </c>
      <c r="O362" s="7" t="s">
        <v>90</v>
      </c>
      <c r="P362" s="7"/>
      <c r="Q362" s="7" t="s">
        <v>93</v>
      </c>
      <c r="R362" s="7"/>
      <c r="S362" s="8"/>
      <c r="T362" s="8"/>
      <c r="U362" s="9" t="str">
        <f>IF(COUNTIFS(Contacts_Activation!D:D,D362,Contacts_Activation!N:N,"oui")&gt;0,"oui","non")</f>
        <v>oui</v>
      </c>
      <c r="V362" s="9" t="str">
        <f>IF(COUNTIFS(Travaux!C:C,D362,Travaux!X:X,"en_cours")&gt;0,"travaux_en_cours",IF(COUNTIFS(Ventes!C:C,D362,Ventes!L:L,"signature")&gt;0,"vente_signature",IF(COUNTIFS(Ventes!C:C,D362,Ventes!AD:AD,"oui")&gt;0,"vente_bloquee",IF(COUNTIFS(Gestion_Locative!C:C,D362,Gestion_Locative!O:O,"incomplet")&gt;0,"gestion_fragile","stable"))))</f>
        <v>vente_bloquee</v>
      </c>
    </row>
    <row r="363" spans="1:22" ht="14.4" hidden="1" x14ac:dyDescent="0.3">
      <c r="A363" s="6" t="s">
        <v>202</v>
      </c>
      <c r="B363" s="1" t="s">
        <v>4511</v>
      </c>
      <c r="C363" s="6" t="s">
        <v>1983</v>
      </c>
      <c r="D363" s="6" t="s">
        <v>1995</v>
      </c>
      <c r="E363" s="6" t="s">
        <v>1985</v>
      </c>
      <c r="F363" s="6" t="s">
        <v>1996</v>
      </c>
      <c r="G363" s="18">
        <v>13</v>
      </c>
      <c r="H363">
        <v>76</v>
      </c>
      <c r="I363">
        <v>36</v>
      </c>
      <c r="J363" s="7" t="s">
        <v>379</v>
      </c>
      <c r="K363" s="7" t="s">
        <v>1997</v>
      </c>
      <c r="L363" s="7" t="s">
        <v>1998</v>
      </c>
      <c r="M363" s="7"/>
      <c r="N363" s="7"/>
      <c r="O363" s="7" t="s">
        <v>90</v>
      </c>
      <c r="P363" s="7"/>
      <c r="Q363" s="7" t="s">
        <v>93</v>
      </c>
      <c r="R363" s="7"/>
      <c r="S363" s="8"/>
      <c r="T363" s="8"/>
      <c r="U363" s="9" t="str">
        <f>IF(COUNTIFS(Contacts_Activation!D:D,D363,Contacts_Activation!N:N,"oui")&gt;0,"oui","non")</f>
        <v>oui</v>
      </c>
      <c r="V363" s="9" t="str">
        <f>IF(COUNTIFS(Travaux!C:C,D363,Travaux!X:X,"en_cours")&gt;0,"travaux_en_cours",IF(COUNTIFS(Ventes!C:C,D363,Ventes!L:L,"signature")&gt;0,"vente_signature",IF(COUNTIFS(Ventes!C:C,D363,Ventes!AD:AD,"oui")&gt;0,"vente_bloquee",IF(COUNTIFS(Gestion_Locative!C:C,D363,Gestion_Locative!O:O,"incomplet")&gt;0,"gestion_fragile","stable"))))</f>
        <v>vente_bloquee</v>
      </c>
    </row>
    <row r="364" spans="1:22" ht="14.4" hidden="1" x14ac:dyDescent="0.3">
      <c r="A364" s="6" t="s">
        <v>202</v>
      </c>
      <c r="B364" s="1" t="s">
        <v>4511</v>
      </c>
      <c r="C364" s="6" t="s">
        <v>1983</v>
      </c>
      <c r="D364" s="6" t="s">
        <v>1999</v>
      </c>
      <c r="E364" s="6" t="s">
        <v>1985</v>
      </c>
      <c r="F364" s="6" t="s">
        <v>2000</v>
      </c>
      <c r="G364" s="18">
        <v>13</v>
      </c>
      <c r="H364">
        <v>76</v>
      </c>
      <c r="I364">
        <v>36</v>
      </c>
      <c r="J364" s="7" t="s">
        <v>2001</v>
      </c>
      <c r="K364" s="7" t="s">
        <v>546</v>
      </c>
      <c r="L364" s="7" t="s">
        <v>2002</v>
      </c>
      <c r="M364" s="7"/>
      <c r="N364" s="7"/>
      <c r="O364" s="7" t="s">
        <v>90</v>
      </c>
      <c r="P364" s="7"/>
      <c r="Q364" s="7" t="s">
        <v>93</v>
      </c>
      <c r="R364" s="7"/>
      <c r="S364" s="8"/>
      <c r="T364" s="8"/>
      <c r="U364" s="9" t="str">
        <f>IF(COUNTIFS(Contacts_Activation!D:D,D364,Contacts_Activation!N:N,"oui")&gt;0,"oui","non")</f>
        <v>oui</v>
      </c>
      <c r="V364" s="9" t="str">
        <f>IF(COUNTIFS(Travaux!C:C,D364,Travaux!X:X,"en_cours")&gt;0,"travaux_en_cours",IF(COUNTIFS(Ventes!C:C,D364,Ventes!L:L,"signature")&gt;0,"vente_signature",IF(COUNTIFS(Ventes!C:C,D364,Ventes!AD:AD,"oui")&gt;0,"vente_bloquee",IF(COUNTIFS(Gestion_Locative!C:C,D364,Gestion_Locative!O:O,"incomplet")&gt;0,"gestion_fragile","stable"))))</f>
        <v>vente_bloquee</v>
      </c>
    </row>
    <row r="365" spans="1:22" ht="14.4" hidden="1" x14ac:dyDescent="0.3">
      <c r="A365" s="6" t="s">
        <v>202</v>
      </c>
      <c r="B365" s="1" t="s">
        <v>4511</v>
      </c>
      <c r="C365" s="6" t="s">
        <v>1983</v>
      </c>
      <c r="D365" s="6" t="s">
        <v>2003</v>
      </c>
      <c r="E365" s="6" t="s">
        <v>1985</v>
      </c>
      <c r="F365" s="6" t="s">
        <v>2004</v>
      </c>
      <c r="G365" s="18">
        <v>13</v>
      </c>
      <c r="H365">
        <v>76</v>
      </c>
      <c r="I365">
        <v>36</v>
      </c>
      <c r="J365" s="7" t="s">
        <v>2005</v>
      </c>
      <c r="K365" s="7" t="s">
        <v>1934</v>
      </c>
      <c r="L365" s="7" t="s">
        <v>2006</v>
      </c>
      <c r="M365" s="7"/>
      <c r="N365" s="7"/>
      <c r="O365" s="7" t="s">
        <v>90</v>
      </c>
      <c r="P365" s="7"/>
      <c r="Q365" s="7" t="s">
        <v>93</v>
      </c>
      <c r="R365" s="7"/>
      <c r="S365" s="8"/>
      <c r="T365" s="8"/>
      <c r="U365" s="9" t="str">
        <f>IF(COUNTIFS(Contacts_Activation!D:D,D365,Contacts_Activation!N:N,"oui")&gt;0,"oui","non")</f>
        <v>oui</v>
      </c>
      <c r="V365" s="9" t="str">
        <f>IF(COUNTIFS(Travaux!C:C,D365,Travaux!X:X,"en_cours")&gt;0,"travaux_en_cours",IF(COUNTIFS(Ventes!C:C,D365,Ventes!L:L,"signature")&gt;0,"vente_signature",IF(COUNTIFS(Ventes!C:C,D365,Ventes!AD:AD,"oui")&gt;0,"vente_bloquee",IF(COUNTIFS(Gestion_Locative!C:C,D365,Gestion_Locative!O:O,"incomplet")&gt;0,"gestion_fragile","stable"))))</f>
        <v>vente_bloquee</v>
      </c>
    </row>
    <row r="366" spans="1:22" ht="14.4" hidden="1" x14ac:dyDescent="0.3">
      <c r="A366" s="6" t="s">
        <v>202</v>
      </c>
      <c r="B366" s="1" t="s">
        <v>4511</v>
      </c>
      <c r="C366" s="6" t="s">
        <v>1983</v>
      </c>
      <c r="D366" s="6" t="s">
        <v>2007</v>
      </c>
      <c r="E366" s="6" t="s">
        <v>1985</v>
      </c>
      <c r="F366" s="6" t="s">
        <v>2008</v>
      </c>
      <c r="G366" s="18">
        <v>13</v>
      </c>
      <c r="H366">
        <v>76</v>
      </c>
      <c r="I366">
        <v>36</v>
      </c>
      <c r="J366" s="7" t="s">
        <v>2009</v>
      </c>
      <c r="K366" s="7" t="s">
        <v>1384</v>
      </c>
      <c r="L366" s="7" t="s">
        <v>2010</v>
      </c>
      <c r="M366" s="7"/>
      <c r="N366" s="7"/>
      <c r="O366" s="7" t="s">
        <v>90</v>
      </c>
      <c r="P366" s="7"/>
      <c r="Q366" s="7" t="s">
        <v>93</v>
      </c>
      <c r="R366" s="7"/>
      <c r="S366" s="8"/>
      <c r="T366" s="8"/>
      <c r="U366" s="9" t="str">
        <f>IF(COUNTIFS(Contacts_Activation!D:D,D366,Contacts_Activation!N:N,"oui")&gt;0,"oui","non")</f>
        <v>oui</v>
      </c>
      <c r="V366" s="9" t="str">
        <f>IF(COUNTIFS(Travaux!C:C,D366,Travaux!X:X,"en_cours")&gt;0,"travaux_en_cours",IF(COUNTIFS(Ventes!C:C,D366,Ventes!L:L,"signature")&gt;0,"vente_signature",IF(COUNTIFS(Ventes!C:C,D366,Ventes!AD:AD,"oui")&gt;0,"vente_bloquee",IF(COUNTIFS(Gestion_Locative!C:C,D366,Gestion_Locative!O:O,"incomplet")&gt;0,"gestion_fragile","stable"))))</f>
        <v>vente_bloquee</v>
      </c>
    </row>
    <row r="367" spans="1:22" ht="14.4" hidden="1" x14ac:dyDescent="0.3">
      <c r="A367" s="6" t="s">
        <v>202</v>
      </c>
      <c r="B367" s="1" t="s">
        <v>4511</v>
      </c>
      <c r="C367" s="6" t="s">
        <v>1983</v>
      </c>
      <c r="D367" s="6" t="s">
        <v>2011</v>
      </c>
      <c r="E367" s="6" t="s">
        <v>1985</v>
      </c>
      <c r="F367" s="6" t="s">
        <v>2012</v>
      </c>
      <c r="G367" s="18">
        <v>13</v>
      </c>
      <c r="H367">
        <v>76</v>
      </c>
      <c r="I367">
        <v>36</v>
      </c>
      <c r="J367" s="7" t="s">
        <v>2013</v>
      </c>
      <c r="K367" s="7" t="s">
        <v>2014</v>
      </c>
      <c r="L367" s="7" t="s">
        <v>2015</v>
      </c>
      <c r="M367" s="7"/>
      <c r="N367" s="7"/>
      <c r="O367" s="7" t="s">
        <v>90</v>
      </c>
      <c r="P367" s="7"/>
      <c r="Q367" s="7" t="s">
        <v>93</v>
      </c>
      <c r="R367" s="7"/>
      <c r="S367" s="8"/>
      <c r="T367" s="8"/>
      <c r="U367" s="9" t="str">
        <f>IF(COUNTIFS(Contacts_Activation!D:D,D367,Contacts_Activation!N:N,"oui")&gt;0,"oui","non")</f>
        <v>oui</v>
      </c>
      <c r="V367" s="9" t="str">
        <f>IF(COUNTIFS(Travaux!C:C,D367,Travaux!X:X,"en_cours")&gt;0,"travaux_en_cours",IF(COUNTIFS(Ventes!C:C,D367,Ventes!L:L,"signature")&gt;0,"vente_signature",IF(COUNTIFS(Ventes!C:C,D367,Ventes!AD:AD,"oui")&gt;0,"vente_bloquee",IF(COUNTIFS(Gestion_Locative!C:C,D367,Gestion_Locative!O:O,"incomplet")&gt;0,"gestion_fragile","stable"))))</f>
        <v>vente_bloquee</v>
      </c>
    </row>
    <row r="368" spans="1:22" ht="14.4" hidden="1" x14ac:dyDescent="0.3">
      <c r="A368" s="6" t="s">
        <v>202</v>
      </c>
      <c r="B368" s="1" t="s">
        <v>4511</v>
      </c>
      <c r="C368" s="6" t="s">
        <v>1983</v>
      </c>
      <c r="D368" s="6" t="s">
        <v>2016</v>
      </c>
      <c r="E368" s="6" t="s">
        <v>1985</v>
      </c>
      <c r="F368" s="6" t="s">
        <v>2017</v>
      </c>
      <c r="G368" s="18">
        <v>13</v>
      </c>
      <c r="H368">
        <v>76</v>
      </c>
      <c r="I368">
        <v>36</v>
      </c>
      <c r="J368" s="7" t="s">
        <v>2018</v>
      </c>
      <c r="K368" s="7" t="s">
        <v>2019</v>
      </c>
      <c r="L368" s="7" t="s">
        <v>2020</v>
      </c>
      <c r="M368" s="7"/>
      <c r="N368" s="7"/>
      <c r="O368" s="7" t="s">
        <v>90</v>
      </c>
      <c r="P368" s="7"/>
      <c r="Q368" s="7" t="s">
        <v>93</v>
      </c>
      <c r="R368" s="7"/>
      <c r="S368" s="8"/>
      <c r="T368" s="8"/>
      <c r="U368" s="9" t="str">
        <f>IF(COUNTIFS(Contacts_Activation!D:D,D368,Contacts_Activation!N:N,"oui")&gt;0,"oui","non")</f>
        <v>oui</v>
      </c>
      <c r="V368" s="9" t="str">
        <f>IF(COUNTIFS(Travaux!C:C,D368,Travaux!X:X,"en_cours")&gt;0,"travaux_en_cours",IF(COUNTIFS(Ventes!C:C,D368,Ventes!L:L,"signature")&gt;0,"vente_signature",IF(COUNTIFS(Ventes!C:C,D368,Ventes!AD:AD,"oui")&gt;0,"vente_bloquee",IF(COUNTIFS(Gestion_Locative!C:C,D368,Gestion_Locative!O:O,"incomplet")&gt;0,"gestion_fragile","stable"))))</f>
        <v>vente_bloquee</v>
      </c>
    </row>
    <row r="369" spans="1:22" ht="14.4" hidden="1" x14ac:dyDescent="0.3">
      <c r="A369" s="6" t="s">
        <v>202</v>
      </c>
      <c r="B369" s="1" t="s">
        <v>4511</v>
      </c>
      <c r="C369" s="6" t="s">
        <v>1983</v>
      </c>
      <c r="D369" s="6" t="s">
        <v>2021</v>
      </c>
      <c r="E369" s="6" t="s">
        <v>1985</v>
      </c>
      <c r="F369" s="6" t="s">
        <v>2022</v>
      </c>
      <c r="G369" s="18">
        <v>13</v>
      </c>
      <c r="H369">
        <v>76</v>
      </c>
      <c r="I369">
        <v>36</v>
      </c>
      <c r="J369" s="7" t="s">
        <v>2023</v>
      </c>
      <c r="K369" s="7" t="s">
        <v>2024</v>
      </c>
      <c r="L369" s="7" t="s">
        <v>2025</v>
      </c>
      <c r="M369" s="7"/>
      <c r="N369" s="7"/>
      <c r="O369" s="7" t="s">
        <v>90</v>
      </c>
      <c r="P369" s="7"/>
      <c r="Q369" s="7" t="s">
        <v>93</v>
      </c>
      <c r="R369" s="7"/>
      <c r="S369" s="8"/>
      <c r="T369" s="8"/>
      <c r="U369" s="9" t="str">
        <f>IF(COUNTIFS(Contacts_Activation!D:D,D369,Contacts_Activation!N:N,"oui")&gt;0,"oui","non")</f>
        <v>oui</v>
      </c>
      <c r="V369" s="9" t="str">
        <f>IF(COUNTIFS(Travaux!C:C,D369,Travaux!X:X,"en_cours")&gt;0,"travaux_en_cours",IF(COUNTIFS(Ventes!C:C,D369,Ventes!L:L,"signature")&gt;0,"vente_signature",IF(COUNTIFS(Ventes!C:C,D369,Ventes!AD:AD,"oui")&gt;0,"vente_bloquee",IF(COUNTIFS(Gestion_Locative!C:C,D369,Gestion_Locative!O:O,"incomplet")&gt;0,"gestion_fragile","stable"))))</f>
        <v>vente_bloquee</v>
      </c>
    </row>
    <row r="370" spans="1:22" ht="14.4" hidden="1" x14ac:dyDescent="0.3">
      <c r="A370" s="6" t="s">
        <v>202</v>
      </c>
      <c r="B370" s="1" t="s">
        <v>4511</v>
      </c>
      <c r="C370" s="6" t="s">
        <v>1983</v>
      </c>
      <c r="D370" s="6" t="s">
        <v>2026</v>
      </c>
      <c r="E370" s="6" t="s">
        <v>1985</v>
      </c>
      <c r="F370" s="6" t="s">
        <v>2027</v>
      </c>
      <c r="G370" s="18">
        <v>13</v>
      </c>
      <c r="H370">
        <v>76</v>
      </c>
      <c r="I370">
        <v>36</v>
      </c>
      <c r="J370" s="7" t="s">
        <v>2023</v>
      </c>
      <c r="K370" s="7" t="s">
        <v>2028</v>
      </c>
      <c r="L370" s="7" t="s">
        <v>2029</v>
      </c>
      <c r="M370" s="7"/>
      <c r="N370" s="7"/>
      <c r="O370" s="7" t="s">
        <v>90</v>
      </c>
      <c r="P370" s="7"/>
      <c r="Q370" s="7" t="s">
        <v>93</v>
      </c>
      <c r="R370" s="7"/>
      <c r="S370" s="8"/>
      <c r="T370" s="8"/>
      <c r="U370" s="9" t="str">
        <f>IF(COUNTIFS(Contacts_Activation!D:D,D370,Contacts_Activation!N:N,"oui")&gt;0,"oui","non")</f>
        <v>oui</v>
      </c>
      <c r="V370" s="9" t="str">
        <f>IF(COUNTIFS(Travaux!C:C,D370,Travaux!X:X,"en_cours")&gt;0,"travaux_en_cours",IF(COUNTIFS(Ventes!C:C,D370,Ventes!L:L,"signature")&gt;0,"vente_signature",IF(COUNTIFS(Ventes!C:C,D370,Ventes!AD:AD,"oui")&gt;0,"vente_bloquee",IF(COUNTIFS(Gestion_Locative!C:C,D370,Gestion_Locative!O:O,"incomplet")&gt;0,"gestion_fragile","stable"))))</f>
        <v>vente_bloquee</v>
      </c>
    </row>
    <row r="371" spans="1:22" ht="14.4" hidden="1" x14ac:dyDescent="0.3">
      <c r="A371" s="6" t="s">
        <v>202</v>
      </c>
      <c r="B371" s="1" t="s">
        <v>4511</v>
      </c>
      <c r="C371" s="6" t="s">
        <v>1983</v>
      </c>
      <c r="D371" s="6" t="s">
        <v>2030</v>
      </c>
      <c r="E371" s="6" t="s">
        <v>1985</v>
      </c>
      <c r="F371" s="6" t="s">
        <v>2031</v>
      </c>
      <c r="G371" s="18">
        <v>13</v>
      </c>
      <c r="H371">
        <v>76</v>
      </c>
      <c r="I371">
        <v>36</v>
      </c>
      <c r="J371" s="7" t="s">
        <v>2032</v>
      </c>
      <c r="K371" s="7" t="s">
        <v>373</v>
      </c>
      <c r="L371" s="7" t="s">
        <v>2033</v>
      </c>
      <c r="M371" s="7"/>
      <c r="N371" s="7"/>
      <c r="O371" s="7" t="s">
        <v>90</v>
      </c>
      <c r="P371" s="7"/>
      <c r="Q371" s="7" t="s">
        <v>93</v>
      </c>
      <c r="R371" s="7"/>
      <c r="S371" s="8"/>
      <c r="T371" s="8"/>
      <c r="U371" s="9" t="str">
        <f>IF(COUNTIFS(Contacts_Activation!D:D,D371,Contacts_Activation!N:N,"oui")&gt;0,"oui","non")</f>
        <v>oui</v>
      </c>
      <c r="V371" s="9" t="str">
        <f>IF(COUNTIFS(Travaux!C:C,D371,Travaux!X:X,"en_cours")&gt;0,"travaux_en_cours",IF(COUNTIFS(Ventes!C:C,D371,Ventes!L:L,"signature")&gt;0,"vente_signature",IF(COUNTIFS(Ventes!C:C,D371,Ventes!AD:AD,"oui")&gt;0,"vente_bloquee",IF(COUNTIFS(Gestion_Locative!C:C,D371,Gestion_Locative!O:O,"incomplet")&gt;0,"gestion_fragile","stable"))))</f>
        <v>vente_bloquee</v>
      </c>
    </row>
    <row r="372" spans="1:22" ht="14.4" hidden="1" x14ac:dyDescent="0.3">
      <c r="A372" s="6" t="s">
        <v>202</v>
      </c>
      <c r="B372" s="1" t="s">
        <v>4511</v>
      </c>
      <c r="C372" s="6" t="s">
        <v>1983</v>
      </c>
      <c r="D372" s="6" t="s">
        <v>2034</v>
      </c>
      <c r="E372" s="6" t="s">
        <v>1985</v>
      </c>
      <c r="F372" s="6" t="s">
        <v>2035</v>
      </c>
      <c r="G372" s="18">
        <v>13</v>
      </c>
      <c r="H372">
        <v>76</v>
      </c>
      <c r="I372">
        <v>36</v>
      </c>
      <c r="J372" s="7" t="s">
        <v>2036</v>
      </c>
      <c r="K372" s="7" t="s">
        <v>2037</v>
      </c>
      <c r="L372" s="7" t="s">
        <v>2038</v>
      </c>
      <c r="M372" s="7" t="s">
        <v>2039</v>
      </c>
      <c r="N372" s="7" t="s">
        <v>2037</v>
      </c>
      <c r="O372" s="7" t="s">
        <v>90</v>
      </c>
      <c r="P372" s="7"/>
      <c r="Q372" s="7" t="s">
        <v>93</v>
      </c>
      <c r="R372" s="7"/>
      <c r="S372" s="8"/>
      <c r="T372" s="8"/>
      <c r="U372" s="9" t="str">
        <f>IF(COUNTIFS(Contacts_Activation!D:D,D372,Contacts_Activation!N:N,"oui")&gt;0,"oui","non")</f>
        <v>oui</v>
      </c>
      <c r="V372" s="9" t="str">
        <f>IF(COUNTIFS(Travaux!C:C,D372,Travaux!X:X,"en_cours")&gt;0,"travaux_en_cours",IF(COUNTIFS(Ventes!C:C,D372,Ventes!L:L,"signature")&gt;0,"vente_signature",IF(COUNTIFS(Ventes!C:C,D372,Ventes!AD:AD,"oui")&gt;0,"vente_bloquee",IF(COUNTIFS(Gestion_Locative!C:C,D372,Gestion_Locative!O:O,"incomplet")&gt;0,"gestion_fragile","stable"))))</f>
        <v>vente_bloquee</v>
      </c>
    </row>
    <row r="373" spans="1:22" ht="14.4" hidden="1" x14ac:dyDescent="0.3">
      <c r="A373" s="6" t="s">
        <v>202</v>
      </c>
      <c r="B373" s="1" t="s">
        <v>4511</v>
      </c>
      <c r="C373" s="6" t="s">
        <v>1983</v>
      </c>
      <c r="D373" s="6" t="s">
        <v>2040</v>
      </c>
      <c r="E373" s="6" t="s">
        <v>1985</v>
      </c>
      <c r="F373" s="6" t="s">
        <v>2041</v>
      </c>
      <c r="G373" s="18">
        <v>13</v>
      </c>
      <c r="H373">
        <v>76</v>
      </c>
      <c r="I373">
        <v>36</v>
      </c>
      <c r="J373" s="7" t="s">
        <v>2042</v>
      </c>
      <c r="K373" s="7" t="s">
        <v>2043</v>
      </c>
      <c r="L373" s="7" t="s">
        <v>2044</v>
      </c>
      <c r="M373" s="7" t="s">
        <v>2045</v>
      </c>
      <c r="N373" s="7"/>
      <c r="O373" s="7" t="s">
        <v>90</v>
      </c>
      <c r="P373" s="7"/>
      <c r="Q373" s="7" t="s">
        <v>93</v>
      </c>
      <c r="R373" s="7"/>
      <c r="S373" s="8"/>
      <c r="T373" s="8"/>
      <c r="U373" s="9" t="str">
        <f>IF(COUNTIFS(Contacts_Activation!D:D,D373,Contacts_Activation!N:N,"oui")&gt;0,"oui","non")</f>
        <v>oui</v>
      </c>
      <c r="V373" s="9" t="str">
        <f>IF(COUNTIFS(Travaux!C:C,D373,Travaux!X:X,"en_cours")&gt;0,"travaux_en_cours",IF(COUNTIFS(Ventes!C:C,D373,Ventes!L:L,"signature")&gt;0,"vente_signature",IF(COUNTIFS(Ventes!C:C,D373,Ventes!AD:AD,"oui")&gt;0,"vente_bloquee",IF(COUNTIFS(Gestion_Locative!C:C,D373,Gestion_Locative!O:O,"incomplet")&gt;0,"gestion_fragile","stable"))))</f>
        <v>vente_bloquee</v>
      </c>
    </row>
    <row r="374" spans="1:22" ht="14.4" hidden="1" x14ac:dyDescent="0.3">
      <c r="A374" s="6" t="s">
        <v>262</v>
      </c>
      <c r="B374" s="1" t="s">
        <v>4517</v>
      </c>
      <c r="C374" s="6" t="s">
        <v>2046</v>
      </c>
      <c r="D374" s="6" t="s">
        <v>2047</v>
      </c>
      <c r="E374" s="6" t="s">
        <v>2048</v>
      </c>
      <c r="F374" s="6" t="s">
        <v>2049</v>
      </c>
      <c r="G374" s="18">
        <v>14</v>
      </c>
      <c r="H374">
        <v>23</v>
      </c>
      <c r="I374">
        <v>25</v>
      </c>
      <c r="J374" s="7" t="s">
        <v>567</v>
      </c>
      <c r="K374" s="7" t="s">
        <v>2050</v>
      </c>
      <c r="L374" s="7" t="s">
        <v>2051</v>
      </c>
      <c r="M374" s="7"/>
      <c r="N374" s="7" t="s">
        <v>672</v>
      </c>
      <c r="O374" s="7" t="s">
        <v>90</v>
      </c>
      <c r="P374" s="7"/>
      <c r="Q374" s="7" t="s">
        <v>93</v>
      </c>
      <c r="R374" s="7"/>
      <c r="S374" s="8"/>
      <c r="T374" s="8"/>
      <c r="U374" s="9" t="str">
        <f>IF(COUNTIFS(Contacts_Activation!D:D,D374,Contacts_Activation!N:N,"oui")&gt;0,"oui","non")</f>
        <v>oui</v>
      </c>
      <c r="V374" s="9" t="str">
        <f>IF(COUNTIFS(Travaux!C:C,D374,Travaux!X:X,"en_cours")&gt;0,"travaux_en_cours",IF(COUNTIFS(Ventes!C:C,D374,Ventes!L:L,"signature")&gt;0,"vente_signature",IF(COUNTIFS(Ventes!C:C,D374,Ventes!AD:AD,"oui")&gt;0,"vente_bloquee",IF(COUNTIFS(Gestion_Locative!C:C,D374,Gestion_Locative!O:O,"incomplet")&gt;0,"gestion_fragile","stable"))))</f>
        <v>vente_bloquee</v>
      </c>
    </row>
    <row r="375" spans="1:22" ht="14.4" hidden="1" x14ac:dyDescent="0.3">
      <c r="A375" s="6" t="s">
        <v>262</v>
      </c>
      <c r="B375" s="1" t="s">
        <v>4517</v>
      </c>
      <c r="C375" s="6" t="s">
        <v>2046</v>
      </c>
      <c r="D375" s="6" t="s">
        <v>2052</v>
      </c>
      <c r="E375" s="6" t="s">
        <v>2048</v>
      </c>
      <c r="F375" s="6" t="s">
        <v>2053</v>
      </c>
      <c r="G375" s="18">
        <v>14</v>
      </c>
      <c r="H375">
        <v>23</v>
      </c>
      <c r="I375">
        <v>25</v>
      </c>
      <c r="J375" s="7" t="s">
        <v>2054</v>
      </c>
      <c r="K375" s="7" t="s">
        <v>312</v>
      </c>
      <c r="L375" s="7" t="s">
        <v>2055</v>
      </c>
      <c r="M375" s="7"/>
      <c r="N375" s="7"/>
      <c r="O375" s="7" t="s">
        <v>90</v>
      </c>
      <c r="P375" s="7"/>
      <c r="Q375" s="7" t="s">
        <v>93</v>
      </c>
      <c r="R375" s="7"/>
      <c r="S375" s="8"/>
      <c r="T375" s="8"/>
      <c r="U375" s="9" t="str">
        <f>IF(COUNTIFS(Contacts_Activation!D:D,D375,Contacts_Activation!N:N,"oui")&gt;0,"oui","non")</f>
        <v>oui</v>
      </c>
      <c r="V375" s="9" t="str">
        <f>IF(COUNTIFS(Travaux!C:C,D375,Travaux!X:X,"en_cours")&gt;0,"travaux_en_cours",IF(COUNTIFS(Ventes!C:C,D375,Ventes!L:L,"signature")&gt;0,"vente_signature",IF(COUNTIFS(Ventes!C:C,D375,Ventes!AD:AD,"oui")&gt;0,"vente_bloquee",IF(COUNTIFS(Gestion_Locative!C:C,D375,Gestion_Locative!O:O,"incomplet")&gt;0,"gestion_fragile","stable"))))</f>
        <v>vente_bloquee</v>
      </c>
    </row>
    <row r="376" spans="1:22" ht="14.4" hidden="1" x14ac:dyDescent="0.3">
      <c r="A376" s="6" t="s">
        <v>262</v>
      </c>
      <c r="B376" s="1" t="s">
        <v>4517</v>
      </c>
      <c r="C376" s="6" t="s">
        <v>2046</v>
      </c>
      <c r="D376" s="6" t="s">
        <v>2056</v>
      </c>
      <c r="E376" s="6" t="s">
        <v>2048</v>
      </c>
      <c r="F376" s="6" t="s">
        <v>2057</v>
      </c>
      <c r="G376" s="18">
        <v>14</v>
      </c>
      <c r="H376">
        <v>23</v>
      </c>
      <c r="I376">
        <v>25</v>
      </c>
      <c r="J376" s="7" t="s">
        <v>2058</v>
      </c>
      <c r="K376" s="7" t="s">
        <v>2059</v>
      </c>
      <c r="L376" s="7" t="s">
        <v>2060</v>
      </c>
      <c r="M376" s="7"/>
      <c r="N376" s="7"/>
      <c r="O376" s="7" t="s">
        <v>90</v>
      </c>
      <c r="P376" s="7"/>
      <c r="Q376" s="7" t="s">
        <v>93</v>
      </c>
      <c r="R376" s="7"/>
      <c r="S376" s="8"/>
      <c r="T376" s="8"/>
      <c r="U376" s="9" t="str">
        <f>IF(COUNTIFS(Contacts_Activation!D:D,D376,Contacts_Activation!N:N,"oui")&gt;0,"oui","non")</f>
        <v>oui</v>
      </c>
      <c r="V376" s="9" t="str">
        <f>IF(COUNTIFS(Travaux!C:C,D376,Travaux!X:X,"en_cours")&gt;0,"travaux_en_cours",IF(COUNTIFS(Ventes!C:C,D376,Ventes!L:L,"signature")&gt;0,"vente_signature",IF(COUNTIFS(Ventes!C:C,D376,Ventes!AD:AD,"oui")&gt;0,"vente_bloquee",IF(COUNTIFS(Gestion_Locative!C:C,D376,Gestion_Locative!O:O,"incomplet")&gt;0,"gestion_fragile","stable"))))</f>
        <v>vente_bloquee</v>
      </c>
    </row>
    <row r="377" spans="1:22" ht="14.4" hidden="1" x14ac:dyDescent="0.3">
      <c r="A377" s="6" t="s">
        <v>262</v>
      </c>
      <c r="B377" s="1" t="s">
        <v>4517</v>
      </c>
      <c r="C377" s="6" t="s">
        <v>2046</v>
      </c>
      <c r="D377" s="6" t="s">
        <v>2061</v>
      </c>
      <c r="E377" s="6" t="s">
        <v>2048</v>
      </c>
      <c r="F377" s="6" t="s">
        <v>2062</v>
      </c>
      <c r="G377" s="18">
        <v>14</v>
      </c>
      <c r="H377">
        <v>23</v>
      </c>
      <c r="I377">
        <v>25</v>
      </c>
      <c r="J377" s="7" t="s">
        <v>2063</v>
      </c>
      <c r="K377" s="7" t="s">
        <v>2064</v>
      </c>
      <c r="L377" s="7" t="s">
        <v>2065</v>
      </c>
      <c r="M377" s="7"/>
      <c r="N377" s="7"/>
      <c r="O377" s="7" t="s">
        <v>90</v>
      </c>
      <c r="P377" s="7"/>
      <c r="Q377" s="7" t="s">
        <v>93</v>
      </c>
      <c r="R377" s="7"/>
      <c r="S377" s="8"/>
      <c r="T377" s="8"/>
      <c r="U377" s="9" t="str">
        <f>IF(COUNTIFS(Contacts_Activation!D:D,D377,Contacts_Activation!N:N,"oui")&gt;0,"oui","non")</f>
        <v>oui</v>
      </c>
      <c r="V377" s="9" t="str">
        <f>IF(COUNTIFS(Travaux!C:C,D377,Travaux!X:X,"en_cours")&gt;0,"travaux_en_cours",IF(COUNTIFS(Ventes!C:C,D377,Ventes!L:L,"signature")&gt;0,"vente_signature",IF(COUNTIFS(Ventes!C:C,D377,Ventes!AD:AD,"oui")&gt;0,"vente_bloquee",IF(COUNTIFS(Gestion_Locative!C:C,D377,Gestion_Locative!O:O,"incomplet")&gt;0,"gestion_fragile","stable"))))</f>
        <v>vente_bloquee</v>
      </c>
    </row>
    <row r="378" spans="1:22" ht="14.4" hidden="1" x14ac:dyDescent="0.3">
      <c r="A378" s="6" t="s">
        <v>262</v>
      </c>
      <c r="B378" s="1" t="s">
        <v>4517</v>
      </c>
      <c r="C378" s="6" t="s">
        <v>2046</v>
      </c>
      <c r="D378" s="6" t="s">
        <v>2066</v>
      </c>
      <c r="E378" s="6" t="s">
        <v>2048</v>
      </c>
      <c r="F378" s="6" t="s">
        <v>2067</v>
      </c>
      <c r="G378" s="18">
        <v>14</v>
      </c>
      <c r="H378">
        <v>23</v>
      </c>
      <c r="I378">
        <v>25</v>
      </c>
      <c r="J378" s="7" t="s">
        <v>620</v>
      </c>
      <c r="K378" s="7" t="s">
        <v>2068</v>
      </c>
      <c r="L378" s="7" t="s">
        <v>2069</v>
      </c>
      <c r="M378" s="7"/>
      <c r="N378" s="7"/>
      <c r="O378" s="7" t="s">
        <v>90</v>
      </c>
      <c r="P378" s="7"/>
      <c r="Q378" s="7" t="s">
        <v>93</v>
      </c>
      <c r="R378" s="7"/>
      <c r="S378" s="8"/>
      <c r="T378" s="8"/>
      <c r="U378" s="9" t="str">
        <f>IF(COUNTIFS(Contacts_Activation!D:D,D378,Contacts_Activation!N:N,"oui")&gt;0,"oui","non")</f>
        <v>oui</v>
      </c>
      <c r="V378" s="9" t="str">
        <f>IF(COUNTIFS(Travaux!C:C,D378,Travaux!X:X,"en_cours")&gt;0,"travaux_en_cours",IF(COUNTIFS(Ventes!C:C,D378,Ventes!L:L,"signature")&gt;0,"vente_signature",IF(COUNTIFS(Ventes!C:C,D378,Ventes!AD:AD,"oui")&gt;0,"vente_bloquee",IF(COUNTIFS(Gestion_Locative!C:C,D378,Gestion_Locative!O:O,"incomplet")&gt;0,"gestion_fragile","stable"))))</f>
        <v>vente_bloquee</v>
      </c>
    </row>
    <row r="379" spans="1:22" ht="27.6" hidden="1" x14ac:dyDescent="0.3">
      <c r="A379" s="6" t="s">
        <v>262</v>
      </c>
      <c r="B379" s="1" t="s">
        <v>4517</v>
      </c>
      <c r="C379" s="6" t="s">
        <v>2046</v>
      </c>
      <c r="D379" s="6" t="s">
        <v>2070</v>
      </c>
      <c r="E379" s="6" t="s">
        <v>2048</v>
      </c>
      <c r="F379" s="6" t="s">
        <v>2071</v>
      </c>
      <c r="G379" s="18">
        <v>14</v>
      </c>
      <c r="H379">
        <v>23</v>
      </c>
      <c r="I379">
        <v>25</v>
      </c>
      <c r="J379" s="7" t="s">
        <v>2072</v>
      </c>
      <c r="K379" s="7" t="s">
        <v>2073</v>
      </c>
      <c r="L379" s="7" t="s">
        <v>2069</v>
      </c>
      <c r="M379" s="7" t="s">
        <v>2074</v>
      </c>
      <c r="N379" s="7"/>
      <c r="O379" s="7" t="s">
        <v>90</v>
      </c>
      <c r="P379" s="7"/>
      <c r="Q379" s="7" t="s">
        <v>93</v>
      </c>
      <c r="R379" s="7"/>
      <c r="S379" s="8"/>
      <c r="T379" s="8"/>
      <c r="U379" s="9" t="str">
        <f>IF(COUNTIFS(Contacts_Activation!D:D,D379,Contacts_Activation!N:N,"oui")&gt;0,"oui","non")</f>
        <v>oui</v>
      </c>
      <c r="V379" s="9" t="str">
        <f>IF(COUNTIFS(Travaux!C:C,D379,Travaux!X:X,"en_cours")&gt;0,"travaux_en_cours",IF(COUNTIFS(Ventes!C:C,D379,Ventes!L:L,"signature")&gt;0,"vente_signature",IF(COUNTIFS(Ventes!C:C,D379,Ventes!AD:AD,"oui")&gt;0,"vente_bloquee",IF(COUNTIFS(Gestion_Locative!C:C,D379,Gestion_Locative!O:O,"incomplet")&gt;0,"gestion_fragile","stable"))))</f>
        <v>vente_bloquee</v>
      </c>
    </row>
    <row r="380" spans="1:22" ht="14.4" hidden="1" x14ac:dyDescent="0.3">
      <c r="A380" s="6" t="s">
        <v>262</v>
      </c>
      <c r="B380" s="1" t="s">
        <v>4517</v>
      </c>
      <c r="C380" s="6" t="s">
        <v>2046</v>
      </c>
      <c r="D380" s="6" t="s">
        <v>2075</v>
      </c>
      <c r="E380" s="6" t="s">
        <v>2048</v>
      </c>
      <c r="F380" s="6" t="s">
        <v>2076</v>
      </c>
      <c r="G380" s="18">
        <v>14</v>
      </c>
      <c r="H380">
        <v>23</v>
      </c>
      <c r="I380">
        <v>25</v>
      </c>
      <c r="J380" s="7" t="s">
        <v>284</v>
      </c>
      <c r="K380" s="7" t="s">
        <v>524</v>
      </c>
      <c r="L380" s="7" t="s">
        <v>2077</v>
      </c>
      <c r="M380" s="7"/>
      <c r="N380" s="7"/>
      <c r="O380" s="7" t="s">
        <v>90</v>
      </c>
      <c r="P380" s="7"/>
      <c r="Q380" s="7" t="s">
        <v>93</v>
      </c>
      <c r="R380" s="7"/>
      <c r="S380" s="8"/>
      <c r="T380" s="8"/>
      <c r="U380" s="9" t="str">
        <f>IF(COUNTIFS(Contacts_Activation!D:D,D380,Contacts_Activation!N:N,"oui")&gt;0,"oui","non")</f>
        <v>oui</v>
      </c>
      <c r="V380" s="9" t="str">
        <f>IF(COUNTIFS(Travaux!C:C,D380,Travaux!X:X,"en_cours")&gt;0,"travaux_en_cours",IF(COUNTIFS(Ventes!C:C,D380,Ventes!L:L,"signature")&gt;0,"vente_signature",IF(COUNTIFS(Ventes!C:C,D380,Ventes!AD:AD,"oui")&gt;0,"vente_bloquee",IF(COUNTIFS(Gestion_Locative!C:C,D380,Gestion_Locative!O:O,"incomplet")&gt;0,"gestion_fragile","stable"))))</f>
        <v>vente_bloquee</v>
      </c>
    </row>
    <row r="381" spans="1:22" ht="14.4" hidden="1" x14ac:dyDescent="0.3">
      <c r="A381" s="6" t="s">
        <v>262</v>
      </c>
      <c r="B381" s="1" t="s">
        <v>4517</v>
      </c>
      <c r="C381" s="6" t="s">
        <v>2046</v>
      </c>
      <c r="D381" s="6" t="s">
        <v>2078</v>
      </c>
      <c r="E381" s="6" t="s">
        <v>2048</v>
      </c>
      <c r="F381" s="6" t="s">
        <v>2079</v>
      </c>
      <c r="G381" s="18">
        <v>14</v>
      </c>
      <c r="H381">
        <v>23</v>
      </c>
      <c r="I381">
        <v>25</v>
      </c>
      <c r="J381" s="7" t="s">
        <v>2080</v>
      </c>
      <c r="K381" s="7" t="s">
        <v>2081</v>
      </c>
      <c r="L381" s="7"/>
      <c r="M381" s="7"/>
      <c r="N381" s="7"/>
      <c r="O381" s="7" t="s">
        <v>90</v>
      </c>
      <c r="P381" s="7"/>
      <c r="Q381" s="7" t="s">
        <v>93</v>
      </c>
      <c r="R381" s="7"/>
      <c r="S381" s="8"/>
      <c r="T381" s="8"/>
      <c r="U381" s="9" t="str">
        <f>IF(COUNTIFS(Contacts_Activation!D:D,D381,Contacts_Activation!N:N,"oui")&gt;0,"oui","non")</f>
        <v>oui</v>
      </c>
      <c r="V381" s="9" t="str">
        <f>IF(COUNTIFS(Travaux!C:C,D381,Travaux!X:X,"en_cours")&gt;0,"travaux_en_cours",IF(COUNTIFS(Ventes!C:C,D381,Ventes!L:L,"signature")&gt;0,"vente_signature",IF(COUNTIFS(Ventes!C:C,D381,Ventes!AD:AD,"oui")&gt;0,"vente_bloquee",IF(COUNTIFS(Gestion_Locative!C:C,D381,Gestion_Locative!O:O,"incomplet")&gt;0,"gestion_fragile","stable"))))</f>
        <v>vente_bloquee</v>
      </c>
    </row>
    <row r="382" spans="1:22" ht="14.4" hidden="1" x14ac:dyDescent="0.3">
      <c r="A382" s="6" t="s">
        <v>262</v>
      </c>
      <c r="B382" s="1" t="s">
        <v>4517</v>
      </c>
      <c r="C382" s="6" t="s">
        <v>2046</v>
      </c>
      <c r="D382" s="6" t="s">
        <v>2082</v>
      </c>
      <c r="E382" s="6" t="s">
        <v>2048</v>
      </c>
      <c r="F382" s="6" t="s">
        <v>2083</v>
      </c>
      <c r="G382" s="18">
        <v>14</v>
      </c>
      <c r="H382">
        <v>23</v>
      </c>
      <c r="I382">
        <v>25</v>
      </c>
      <c r="J382" s="7" t="s">
        <v>2080</v>
      </c>
      <c r="K382" s="7" t="s">
        <v>2084</v>
      </c>
      <c r="L382" s="7" t="s">
        <v>2085</v>
      </c>
      <c r="M382" s="7"/>
      <c r="N382" s="7"/>
      <c r="O382" s="7" t="s">
        <v>90</v>
      </c>
      <c r="P382" s="7"/>
      <c r="Q382" s="7" t="s">
        <v>93</v>
      </c>
      <c r="R382" s="7"/>
      <c r="S382" s="8"/>
      <c r="T382" s="8"/>
      <c r="U382" s="9" t="str">
        <f>IF(COUNTIFS(Contacts_Activation!D:D,D382,Contacts_Activation!N:N,"oui")&gt;0,"oui","non")</f>
        <v>oui</v>
      </c>
      <c r="V382" s="9" t="str">
        <f>IF(COUNTIFS(Travaux!C:C,D382,Travaux!X:X,"en_cours")&gt;0,"travaux_en_cours",IF(COUNTIFS(Ventes!C:C,D382,Ventes!L:L,"signature")&gt;0,"vente_signature",IF(COUNTIFS(Ventes!C:C,D382,Ventes!AD:AD,"oui")&gt;0,"vente_bloquee",IF(COUNTIFS(Gestion_Locative!C:C,D382,Gestion_Locative!O:O,"incomplet")&gt;0,"gestion_fragile","stable"))))</f>
        <v>vente_bloquee</v>
      </c>
    </row>
    <row r="383" spans="1:22" ht="14.4" hidden="1" x14ac:dyDescent="0.3">
      <c r="A383" s="6" t="s">
        <v>262</v>
      </c>
      <c r="B383" s="1" t="s">
        <v>4517</v>
      </c>
      <c r="C383" s="6" t="s">
        <v>2046</v>
      </c>
      <c r="D383" s="6" t="s">
        <v>2086</v>
      </c>
      <c r="E383" s="6" t="s">
        <v>2048</v>
      </c>
      <c r="F383" s="6" t="s">
        <v>2087</v>
      </c>
      <c r="G383" s="18">
        <v>14</v>
      </c>
      <c r="H383">
        <v>23</v>
      </c>
      <c r="I383">
        <v>25</v>
      </c>
      <c r="J383" s="7" t="s">
        <v>2088</v>
      </c>
      <c r="K383" s="7" t="s">
        <v>2089</v>
      </c>
      <c r="L383" s="7" t="s">
        <v>2090</v>
      </c>
      <c r="M383" s="7"/>
      <c r="N383" s="7"/>
      <c r="O383" s="7" t="s">
        <v>90</v>
      </c>
      <c r="P383" s="7"/>
      <c r="Q383" s="7" t="s">
        <v>93</v>
      </c>
      <c r="R383" s="7"/>
      <c r="S383" s="8"/>
      <c r="T383" s="8"/>
      <c r="U383" s="9" t="str">
        <f>IF(COUNTIFS(Contacts_Activation!D:D,D383,Contacts_Activation!N:N,"oui")&gt;0,"oui","non")</f>
        <v>oui</v>
      </c>
      <c r="V383" s="9" t="str">
        <f>IF(COUNTIFS(Travaux!C:C,D383,Travaux!X:X,"en_cours")&gt;0,"travaux_en_cours",IF(COUNTIFS(Ventes!C:C,D383,Ventes!L:L,"signature")&gt;0,"vente_signature",IF(COUNTIFS(Ventes!C:C,D383,Ventes!AD:AD,"oui")&gt;0,"vente_bloquee",IF(COUNTIFS(Gestion_Locative!C:C,D383,Gestion_Locative!O:O,"incomplet")&gt;0,"gestion_fragile","stable"))))</f>
        <v>vente_bloquee</v>
      </c>
    </row>
    <row r="384" spans="1:22" ht="27.6" hidden="1" x14ac:dyDescent="0.3">
      <c r="A384" s="6" t="s">
        <v>262</v>
      </c>
      <c r="B384" s="1" t="s">
        <v>4517</v>
      </c>
      <c r="C384" s="6" t="s">
        <v>2046</v>
      </c>
      <c r="D384" s="6" t="s">
        <v>2091</v>
      </c>
      <c r="E384" s="6" t="s">
        <v>2048</v>
      </c>
      <c r="F384" s="6" t="s">
        <v>2092</v>
      </c>
      <c r="G384" s="18">
        <v>14</v>
      </c>
      <c r="H384">
        <v>23</v>
      </c>
      <c r="I384">
        <v>25</v>
      </c>
      <c r="J384" s="7" t="s">
        <v>311</v>
      </c>
      <c r="K384" s="7" t="s">
        <v>2093</v>
      </c>
      <c r="L384" s="7" t="s">
        <v>2094</v>
      </c>
      <c r="M384" s="7"/>
      <c r="N384" s="7"/>
      <c r="O384" s="7" t="s">
        <v>90</v>
      </c>
      <c r="P384" s="7"/>
      <c r="Q384" s="7" t="s">
        <v>93</v>
      </c>
      <c r="R384" s="7"/>
      <c r="S384" s="8"/>
      <c r="T384" s="8"/>
      <c r="U384" s="9" t="str">
        <f>IF(COUNTIFS(Contacts_Activation!D:D,D384,Contacts_Activation!N:N,"oui")&gt;0,"oui","non")</f>
        <v>oui</v>
      </c>
      <c r="V384" s="9" t="str">
        <f>IF(COUNTIFS(Travaux!C:C,D384,Travaux!X:X,"en_cours")&gt;0,"travaux_en_cours",IF(COUNTIFS(Ventes!C:C,D384,Ventes!L:L,"signature")&gt;0,"vente_signature",IF(COUNTIFS(Ventes!C:C,D384,Ventes!AD:AD,"oui")&gt;0,"vente_bloquee",IF(COUNTIFS(Gestion_Locative!C:C,D384,Gestion_Locative!O:O,"incomplet")&gt;0,"gestion_fragile","stable"))))</f>
        <v>vente_bloquee</v>
      </c>
    </row>
    <row r="385" spans="1:22" ht="14.4" hidden="1" x14ac:dyDescent="0.3">
      <c r="A385" s="6" t="s">
        <v>262</v>
      </c>
      <c r="B385" s="1" t="s">
        <v>4517</v>
      </c>
      <c r="C385" s="6" t="s">
        <v>2046</v>
      </c>
      <c r="D385" s="6" t="s">
        <v>2095</v>
      </c>
      <c r="E385" s="6" t="s">
        <v>2048</v>
      </c>
      <c r="F385" s="6" t="s">
        <v>2096</v>
      </c>
      <c r="G385" s="18">
        <v>14</v>
      </c>
      <c r="H385">
        <v>23</v>
      </c>
      <c r="I385">
        <v>25</v>
      </c>
      <c r="J385" s="7" t="s">
        <v>311</v>
      </c>
      <c r="K385" s="7" t="s">
        <v>2097</v>
      </c>
      <c r="L385" s="7" t="s">
        <v>2098</v>
      </c>
      <c r="M385" s="7"/>
      <c r="N385" s="7"/>
      <c r="O385" s="7" t="s">
        <v>90</v>
      </c>
      <c r="P385" s="7"/>
      <c r="Q385" s="7" t="s">
        <v>93</v>
      </c>
      <c r="R385" s="7"/>
      <c r="S385" s="8"/>
      <c r="T385" s="8"/>
      <c r="U385" s="9" t="str">
        <f>IF(COUNTIFS(Contacts_Activation!D:D,D385,Contacts_Activation!N:N,"oui")&gt;0,"oui","non")</f>
        <v>oui</v>
      </c>
      <c r="V385" s="9" t="str">
        <f>IF(COUNTIFS(Travaux!C:C,D385,Travaux!X:X,"en_cours")&gt;0,"travaux_en_cours",IF(COUNTIFS(Ventes!C:C,D385,Ventes!L:L,"signature")&gt;0,"vente_signature",IF(COUNTIFS(Ventes!C:C,D385,Ventes!AD:AD,"oui")&gt;0,"vente_bloquee",IF(COUNTIFS(Gestion_Locative!C:C,D385,Gestion_Locative!O:O,"incomplet")&gt;0,"gestion_fragile","stable"))))</f>
        <v>vente_bloquee</v>
      </c>
    </row>
    <row r="386" spans="1:22" ht="14.4" hidden="1" x14ac:dyDescent="0.3">
      <c r="A386" s="6" t="s">
        <v>262</v>
      </c>
      <c r="B386" s="1" t="s">
        <v>4517</v>
      </c>
      <c r="C386" s="6" t="s">
        <v>2046</v>
      </c>
      <c r="D386" s="6" t="s">
        <v>2099</v>
      </c>
      <c r="E386" s="6" t="s">
        <v>2048</v>
      </c>
      <c r="F386" s="6" t="s">
        <v>2100</v>
      </c>
      <c r="G386" s="18">
        <v>14</v>
      </c>
      <c r="H386">
        <v>23</v>
      </c>
      <c r="I386">
        <v>25</v>
      </c>
      <c r="J386" s="7" t="s">
        <v>2101</v>
      </c>
      <c r="K386" s="7" t="s">
        <v>1973</v>
      </c>
      <c r="L386" s="7" t="s">
        <v>2102</v>
      </c>
      <c r="M386" s="7"/>
      <c r="N386" s="7"/>
      <c r="O386" s="7" t="s">
        <v>90</v>
      </c>
      <c r="P386" s="7"/>
      <c r="Q386" s="7" t="s">
        <v>93</v>
      </c>
      <c r="R386" s="7"/>
      <c r="S386" s="8"/>
      <c r="T386" s="8"/>
      <c r="U386" s="9" t="str">
        <f>IF(COUNTIFS(Contacts_Activation!D:D,D386,Contacts_Activation!N:N,"oui")&gt;0,"oui","non")</f>
        <v>oui</v>
      </c>
      <c r="V386" s="9" t="str">
        <f>IF(COUNTIFS(Travaux!C:C,D386,Travaux!X:X,"en_cours")&gt;0,"travaux_en_cours",IF(COUNTIFS(Ventes!C:C,D386,Ventes!L:L,"signature")&gt;0,"vente_signature",IF(COUNTIFS(Ventes!C:C,D386,Ventes!AD:AD,"oui")&gt;0,"vente_bloquee",IF(COUNTIFS(Gestion_Locative!C:C,D386,Gestion_Locative!O:O,"incomplet")&gt;0,"gestion_fragile","stable"))))</f>
        <v>vente_bloquee</v>
      </c>
    </row>
    <row r="387" spans="1:22" ht="14.4" hidden="1" x14ac:dyDescent="0.3">
      <c r="A387" s="6" t="s">
        <v>262</v>
      </c>
      <c r="B387" s="1" t="s">
        <v>4517</v>
      </c>
      <c r="C387" s="6" t="s">
        <v>2046</v>
      </c>
      <c r="D387" s="6" t="s">
        <v>2103</v>
      </c>
      <c r="E387" s="6" t="s">
        <v>2048</v>
      </c>
      <c r="F387" s="6" t="s">
        <v>2104</v>
      </c>
      <c r="G387" s="18">
        <v>14</v>
      </c>
      <c r="H387">
        <v>23</v>
      </c>
      <c r="I387">
        <v>25</v>
      </c>
      <c r="J387" s="7" t="s">
        <v>2105</v>
      </c>
      <c r="K387" s="7" t="s">
        <v>2106</v>
      </c>
      <c r="L387" s="7" t="s">
        <v>2107</v>
      </c>
      <c r="M387" s="7" t="s">
        <v>2108</v>
      </c>
      <c r="N387" s="7" t="s">
        <v>2109</v>
      </c>
      <c r="O387" s="7" t="s">
        <v>90</v>
      </c>
      <c r="P387" s="7"/>
      <c r="Q387" s="7" t="s">
        <v>93</v>
      </c>
      <c r="R387" s="7"/>
      <c r="S387" s="8"/>
      <c r="T387" s="8"/>
      <c r="U387" s="9" t="str">
        <f>IF(COUNTIFS(Contacts_Activation!D:D,D387,Contacts_Activation!N:N,"oui")&gt;0,"oui","non")</f>
        <v>oui</v>
      </c>
      <c r="V387" s="9" t="str">
        <f>IF(COUNTIFS(Travaux!C:C,D387,Travaux!X:X,"en_cours")&gt;0,"travaux_en_cours",IF(COUNTIFS(Ventes!C:C,D387,Ventes!L:L,"signature")&gt;0,"vente_signature",IF(COUNTIFS(Ventes!C:C,D387,Ventes!AD:AD,"oui")&gt;0,"vente_bloquee",IF(COUNTIFS(Gestion_Locative!C:C,D387,Gestion_Locative!O:O,"incomplet")&gt;0,"gestion_fragile","stable"))))</f>
        <v>vente_bloquee</v>
      </c>
    </row>
    <row r="388" spans="1:22" ht="14.4" hidden="1" x14ac:dyDescent="0.3">
      <c r="A388" s="6" t="s">
        <v>262</v>
      </c>
      <c r="B388" s="1" t="s">
        <v>4517</v>
      </c>
      <c r="C388" s="6" t="s">
        <v>2046</v>
      </c>
      <c r="D388" s="6" t="s">
        <v>2110</v>
      </c>
      <c r="E388" s="6" t="s">
        <v>2048</v>
      </c>
      <c r="F388" s="6" t="s">
        <v>2111</v>
      </c>
      <c r="G388" s="18">
        <v>14</v>
      </c>
      <c r="H388">
        <v>23</v>
      </c>
      <c r="I388">
        <v>25</v>
      </c>
      <c r="J388" s="7" t="s">
        <v>2112</v>
      </c>
      <c r="K388" s="7" t="s">
        <v>1850</v>
      </c>
      <c r="L388" s="7" t="s">
        <v>2113</v>
      </c>
      <c r="M388" s="7"/>
      <c r="N388" s="7"/>
      <c r="O388" s="7" t="s">
        <v>90</v>
      </c>
      <c r="P388" s="7"/>
      <c r="Q388" s="7" t="s">
        <v>93</v>
      </c>
      <c r="R388" s="7"/>
      <c r="S388" s="8"/>
      <c r="T388" s="8"/>
      <c r="U388" s="9" t="str">
        <f>IF(COUNTIFS(Contacts_Activation!D:D,D388,Contacts_Activation!N:N,"oui")&gt;0,"oui","non")</f>
        <v>oui</v>
      </c>
      <c r="V388" s="9" t="str">
        <f>IF(COUNTIFS(Travaux!C:C,D388,Travaux!X:X,"en_cours")&gt;0,"travaux_en_cours",IF(COUNTIFS(Ventes!C:C,D388,Ventes!L:L,"signature")&gt;0,"vente_signature",IF(COUNTIFS(Ventes!C:C,D388,Ventes!AD:AD,"oui")&gt;0,"vente_bloquee",IF(COUNTIFS(Gestion_Locative!C:C,D388,Gestion_Locative!O:O,"incomplet")&gt;0,"gestion_fragile","stable"))))</f>
        <v>vente_bloquee</v>
      </c>
    </row>
    <row r="389" spans="1:22" ht="14.4" hidden="1" x14ac:dyDescent="0.3">
      <c r="A389" s="6" t="s">
        <v>270</v>
      </c>
      <c r="B389" s="1" t="s">
        <v>4513</v>
      </c>
      <c r="C389" s="6" t="s">
        <v>2114</v>
      </c>
      <c r="D389" s="6" t="s">
        <v>2115</v>
      </c>
      <c r="E389" s="6" t="s">
        <v>2116</v>
      </c>
      <c r="F389" s="6" t="s">
        <v>2117</v>
      </c>
      <c r="G389" s="18">
        <v>37</v>
      </c>
      <c r="H389">
        <v>68</v>
      </c>
      <c r="I389">
        <v>35</v>
      </c>
      <c r="J389" s="7" t="s">
        <v>2118</v>
      </c>
      <c r="K389" s="7" t="s">
        <v>2119</v>
      </c>
      <c r="L389" s="7" t="s">
        <v>2120</v>
      </c>
      <c r="M389" s="7"/>
      <c r="N389" s="7"/>
      <c r="O389" s="7" t="s">
        <v>90</v>
      </c>
      <c r="P389" s="7"/>
      <c r="Q389" s="7" t="s">
        <v>93</v>
      </c>
      <c r="R389" s="7"/>
      <c r="S389" s="8"/>
      <c r="T389" s="8"/>
      <c r="U389" s="9" t="str">
        <f>IF(COUNTIFS(Contacts_Activation!D:D,D389,Contacts_Activation!N:N,"oui")&gt;0,"oui","non")</f>
        <v>oui</v>
      </c>
      <c r="V389" s="9" t="str">
        <f>IF(COUNTIFS(Travaux!C:C,D389,Travaux!X:X,"en_cours")&gt;0,"travaux_en_cours",IF(COUNTIFS(Ventes!C:C,D389,Ventes!L:L,"signature")&gt;0,"vente_signature",IF(COUNTIFS(Ventes!C:C,D389,Ventes!AD:AD,"oui")&gt;0,"vente_bloquee",IF(COUNTIFS(Gestion_Locative!C:C,D389,Gestion_Locative!O:O,"incomplet")&gt;0,"gestion_fragile","stable"))))</f>
        <v>vente_bloquee</v>
      </c>
    </row>
    <row r="390" spans="1:22" ht="14.4" hidden="1" x14ac:dyDescent="0.3">
      <c r="A390" s="6" t="s">
        <v>270</v>
      </c>
      <c r="B390" s="1" t="s">
        <v>4513</v>
      </c>
      <c r="C390" s="6" t="s">
        <v>2114</v>
      </c>
      <c r="D390" s="6" t="s">
        <v>2121</v>
      </c>
      <c r="E390" s="6" t="s">
        <v>2116</v>
      </c>
      <c r="F390" s="6" t="s">
        <v>2122</v>
      </c>
      <c r="G390" s="18">
        <v>37</v>
      </c>
      <c r="H390">
        <v>68</v>
      </c>
      <c r="I390">
        <v>35</v>
      </c>
      <c r="J390" s="7" t="s">
        <v>2123</v>
      </c>
      <c r="K390" s="7" t="s">
        <v>1751</v>
      </c>
      <c r="L390" s="7" t="s">
        <v>2124</v>
      </c>
      <c r="M390" s="7"/>
      <c r="N390" s="7"/>
      <c r="O390" s="7" t="s">
        <v>90</v>
      </c>
      <c r="P390" s="7"/>
      <c r="Q390" s="7" t="s">
        <v>93</v>
      </c>
      <c r="R390" s="7"/>
      <c r="S390" s="8"/>
      <c r="T390" s="8"/>
      <c r="U390" s="9" t="str">
        <f>IF(COUNTIFS(Contacts_Activation!D:D,D390,Contacts_Activation!N:N,"oui")&gt;0,"oui","non")</f>
        <v>oui</v>
      </c>
      <c r="V390" s="9" t="str">
        <f>IF(COUNTIFS(Travaux!C:C,D390,Travaux!X:X,"en_cours")&gt;0,"travaux_en_cours",IF(COUNTIFS(Ventes!C:C,D390,Ventes!L:L,"signature")&gt;0,"vente_signature",IF(COUNTIFS(Ventes!C:C,D390,Ventes!AD:AD,"oui")&gt;0,"vente_bloquee",IF(COUNTIFS(Gestion_Locative!C:C,D390,Gestion_Locative!O:O,"incomplet")&gt;0,"gestion_fragile","stable"))))</f>
        <v>vente_bloquee</v>
      </c>
    </row>
    <row r="391" spans="1:22" ht="27.6" hidden="1" x14ac:dyDescent="0.3">
      <c r="A391" s="6" t="s">
        <v>270</v>
      </c>
      <c r="B391" s="1" t="s">
        <v>4513</v>
      </c>
      <c r="C391" s="6" t="s">
        <v>2114</v>
      </c>
      <c r="D391" s="6" t="s">
        <v>2125</v>
      </c>
      <c r="E391" s="6" t="s">
        <v>2116</v>
      </c>
      <c r="F391" s="6" t="s">
        <v>2126</v>
      </c>
      <c r="G391" s="18">
        <v>37</v>
      </c>
      <c r="H391">
        <v>68</v>
      </c>
      <c r="I391">
        <v>35</v>
      </c>
      <c r="J391" s="7" t="s">
        <v>2127</v>
      </c>
      <c r="K391" s="7" t="s">
        <v>2128</v>
      </c>
      <c r="L391" s="7" t="s">
        <v>2129</v>
      </c>
      <c r="M391" s="7"/>
      <c r="N391" s="7"/>
      <c r="O391" s="7" t="s">
        <v>90</v>
      </c>
      <c r="P391" s="7"/>
      <c r="Q391" s="7" t="s">
        <v>93</v>
      </c>
      <c r="R391" s="7"/>
      <c r="S391" s="8"/>
      <c r="T391" s="8"/>
      <c r="U391" s="9" t="str">
        <f>IF(COUNTIFS(Contacts_Activation!D:D,D391,Contacts_Activation!N:N,"oui")&gt;0,"oui","non")</f>
        <v>oui</v>
      </c>
      <c r="V391" s="9" t="str">
        <f>IF(COUNTIFS(Travaux!C:C,D391,Travaux!X:X,"en_cours")&gt;0,"travaux_en_cours",IF(COUNTIFS(Ventes!C:C,D391,Ventes!L:L,"signature")&gt;0,"vente_signature",IF(COUNTIFS(Ventes!C:C,D391,Ventes!AD:AD,"oui")&gt;0,"vente_bloquee",IF(COUNTIFS(Gestion_Locative!C:C,D391,Gestion_Locative!O:O,"incomplet")&gt;0,"gestion_fragile","stable"))))</f>
        <v>vente_bloquee</v>
      </c>
    </row>
    <row r="392" spans="1:22" ht="27.6" hidden="1" x14ac:dyDescent="0.3">
      <c r="A392" s="6" t="s">
        <v>270</v>
      </c>
      <c r="B392" s="1" t="s">
        <v>4513</v>
      </c>
      <c r="C392" s="6" t="s">
        <v>2114</v>
      </c>
      <c r="D392" s="6" t="s">
        <v>2130</v>
      </c>
      <c r="E392" s="6" t="s">
        <v>2116</v>
      </c>
      <c r="F392" s="6" t="s">
        <v>2131</v>
      </c>
      <c r="G392" s="18">
        <v>37</v>
      </c>
      <c r="H392">
        <v>68</v>
      </c>
      <c r="I392">
        <v>35</v>
      </c>
      <c r="J392" s="7" t="s">
        <v>567</v>
      </c>
      <c r="K392" s="7" t="s">
        <v>2132</v>
      </c>
      <c r="L392" s="7" t="s">
        <v>2133</v>
      </c>
      <c r="M392" s="7" t="s">
        <v>2134</v>
      </c>
      <c r="N392" s="7" t="s">
        <v>2135</v>
      </c>
      <c r="O392" s="7" t="s">
        <v>90</v>
      </c>
      <c r="P392" s="7"/>
      <c r="Q392" s="7" t="s">
        <v>93</v>
      </c>
      <c r="R392" s="7"/>
      <c r="S392" s="8"/>
      <c r="T392" s="8"/>
      <c r="U392" s="9" t="str">
        <f>IF(COUNTIFS(Contacts_Activation!D:D,D392,Contacts_Activation!N:N,"oui")&gt;0,"oui","non")</f>
        <v>oui</v>
      </c>
      <c r="V392" s="9" t="str">
        <f>IF(COUNTIFS(Travaux!C:C,D392,Travaux!X:X,"en_cours")&gt;0,"travaux_en_cours",IF(COUNTIFS(Ventes!C:C,D392,Ventes!L:L,"signature")&gt;0,"vente_signature",IF(COUNTIFS(Ventes!C:C,D392,Ventes!AD:AD,"oui")&gt;0,"vente_bloquee",IF(COUNTIFS(Gestion_Locative!C:C,D392,Gestion_Locative!O:O,"incomplet")&gt;0,"gestion_fragile","stable"))))</f>
        <v>vente_bloquee</v>
      </c>
    </row>
    <row r="393" spans="1:22" ht="14.4" hidden="1" x14ac:dyDescent="0.3">
      <c r="A393" s="6" t="s">
        <v>270</v>
      </c>
      <c r="B393" s="1" t="s">
        <v>4513</v>
      </c>
      <c r="C393" s="6" t="s">
        <v>2114</v>
      </c>
      <c r="D393" s="6" t="s">
        <v>2136</v>
      </c>
      <c r="E393" s="6" t="s">
        <v>2116</v>
      </c>
      <c r="F393" s="6" t="s">
        <v>2137</v>
      </c>
      <c r="G393" s="18">
        <v>37</v>
      </c>
      <c r="H393">
        <v>68</v>
      </c>
      <c r="I393">
        <v>35</v>
      </c>
      <c r="J393" s="7" t="s">
        <v>439</v>
      </c>
      <c r="K393" s="7" t="s">
        <v>892</v>
      </c>
      <c r="L393" s="7" t="s">
        <v>2138</v>
      </c>
      <c r="M393" s="7"/>
      <c r="N393" s="7" t="s">
        <v>2139</v>
      </c>
      <c r="O393" s="7" t="s">
        <v>90</v>
      </c>
      <c r="P393" s="7"/>
      <c r="Q393" s="7" t="s">
        <v>93</v>
      </c>
      <c r="R393" s="7"/>
      <c r="S393" s="8"/>
      <c r="T393" s="8"/>
      <c r="U393" s="9" t="str">
        <f>IF(COUNTIFS(Contacts_Activation!D:D,D393,Contacts_Activation!N:N,"oui")&gt;0,"oui","non")</f>
        <v>oui</v>
      </c>
      <c r="V393" s="9" t="str">
        <f>IF(COUNTIFS(Travaux!C:C,D393,Travaux!X:X,"en_cours")&gt;0,"travaux_en_cours",IF(COUNTIFS(Ventes!C:C,D393,Ventes!L:L,"signature")&gt;0,"vente_signature",IF(COUNTIFS(Ventes!C:C,D393,Ventes!AD:AD,"oui")&gt;0,"vente_bloquee",IF(COUNTIFS(Gestion_Locative!C:C,D393,Gestion_Locative!O:O,"incomplet")&gt;0,"gestion_fragile","stable"))))</f>
        <v>vente_bloquee</v>
      </c>
    </row>
    <row r="394" spans="1:22" ht="14.4" hidden="1" x14ac:dyDescent="0.3">
      <c r="A394" s="6" t="s">
        <v>270</v>
      </c>
      <c r="B394" s="1" t="s">
        <v>4513</v>
      </c>
      <c r="C394" s="6" t="s">
        <v>2114</v>
      </c>
      <c r="D394" s="6" t="s">
        <v>2140</v>
      </c>
      <c r="E394" s="6" t="s">
        <v>2116</v>
      </c>
      <c r="F394" s="6" t="s">
        <v>2141</v>
      </c>
      <c r="G394" s="18">
        <v>37</v>
      </c>
      <c r="H394">
        <v>68</v>
      </c>
      <c r="I394">
        <v>35</v>
      </c>
      <c r="J394" s="7" t="s">
        <v>2142</v>
      </c>
      <c r="K394" s="7" t="s">
        <v>2143</v>
      </c>
      <c r="L394" s="7" t="s">
        <v>2144</v>
      </c>
      <c r="M394" s="7"/>
      <c r="N394" s="7"/>
      <c r="O394" s="7" t="s">
        <v>90</v>
      </c>
      <c r="P394" s="7"/>
      <c r="Q394" s="7" t="s">
        <v>93</v>
      </c>
      <c r="R394" s="7"/>
      <c r="S394" s="8"/>
      <c r="T394" s="8"/>
      <c r="U394" s="9" t="str">
        <f>IF(COUNTIFS(Contacts_Activation!D:D,D394,Contacts_Activation!N:N,"oui")&gt;0,"oui","non")</f>
        <v>oui</v>
      </c>
      <c r="V394" s="9" t="str">
        <f>IF(COUNTIFS(Travaux!C:C,D394,Travaux!X:X,"en_cours")&gt;0,"travaux_en_cours",IF(COUNTIFS(Ventes!C:C,D394,Ventes!L:L,"signature")&gt;0,"vente_signature",IF(COUNTIFS(Ventes!C:C,D394,Ventes!AD:AD,"oui")&gt;0,"vente_bloquee",IF(COUNTIFS(Gestion_Locative!C:C,D394,Gestion_Locative!O:O,"incomplet")&gt;0,"gestion_fragile","stable"))))</f>
        <v>vente_bloquee</v>
      </c>
    </row>
    <row r="395" spans="1:22" ht="14.4" hidden="1" x14ac:dyDescent="0.3">
      <c r="A395" s="6" t="s">
        <v>270</v>
      </c>
      <c r="B395" s="1" t="s">
        <v>4513</v>
      </c>
      <c r="C395" s="6" t="s">
        <v>2114</v>
      </c>
      <c r="D395" s="6" t="s">
        <v>2145</v>
      </c>
      <c r="E395" s="6" t="s">
        <v>2116</v>
      </c>
      <c r="F395" s="6" t="s">
        <v>2146</v>
      </c>
      <c r="G395" s="18">
        <v>37</v>
      </c>
      <c r="H395">
        <v>68</v>
      </c>
      <c r="I395">
        <v>35</v>
      </c>
      <c r="J395" s="7" t="s">
        <v>2147</v>
      </c>
      <c r="K395" s="7" t="s">
        <v>2148</v>
      </c>
      <c r="L395" s="7" t="s">
        <v>2149</v>
      </c>
      <c r="M395" s="7" t="s">
        <v>2150</v>
      </c>
      <c r="N395" s="7"/>
      <c r="O395" s="7" t="s">
        <v>90</v>
      </c>
      <c r="P395" s="7"/>
      <c r="Q395" s="7" t="s">
        <v>93</v>
      </c>
      <c r="R395" s="7"/>
      <c r="S395" s="8"/>
      <c r="T395" s="8"/>
      <c r="U395" s="9" t="str">
        <f>IF(COUNTIFS(Contacts_Activation!D:D,D395,Contacts_Activation!N:N,"oui")&gt;0,"oui","non")</f>
        <v>oui</v>
      </c>
      <c r="V395" s="9" t="str">
        <f>IF(COUNTIFS(Travaux!C:C,D395,Travaux!X:X,"en_cours")&gt;0,"travaux_en_cours",IF(COUNTIFS(Ventes!C:C,D395,Ventes!L:L,"signature")&gt;0,"vente_signature",IF(COUNTIFS(Ventes!C:C,D395,Ventes!AD:AD,"oui")&gt;0,"vente_bloquee",IF(COUNTIFS(Gestion_Locative!C:C,D395,Gestion_Locative!O:O,"incomplet")&gt;0,"gestion_fragile","stable"))))</f>
        <v>vente_bloquee</v>
      </c>
    </row>
    <row r="396" spans="1:22" ht="27.6" hidden="1" x14ac:dyDescent="0.3">
      <c r="A396" s="6" t="s">
        <v>270</v>
      </c>
      <c r="B396" s="1" t="s">
        <v>4513</v>
      </c>
      <c r="C396" s="6" t="s">
        <v>2114</v>
      </c>
      <c r="D396" s="6" t="s">
        <v>2151</v>
      </c>
      <c r="E396" s="6" t="s">
        <v>2116</v>
      </c>
      <c r="F396" s="6" t="s">
        <v>2152</v>
      </c>
      <c r="G396" s="18">
        <v>37</v>
      </c>
      <c r="H396">
        <v>68</v>
      </c>
      <c r="I396">
        <v>35</v>
      </c>
      <c r="J396" s="7" t="s">
        <v>932</v>
      </c>
      <c r="K396" s="7" t="s">
        <v>2153</v>
      </c>
      <c r="L396" s="7" t="s">
        <v>2154</v>
      </c>
      <c r="M396" s="7"/>
      <c r="N396" s="7"/>
      <c r="O396" s="7" t="s">
        <v>90</v>
      </c>
      <c r="P396" s="7"/>
      <c r="Q396" s="7" t="s">
        <v>93</v>
      </c>
      <c r="R396" s="7"/>
      <c r="S396" s="8"/>
      <c r="T396" s="8"/>
      <c r="U396" s="9" t="str">
        <f>IF(COUNTIFS(Contacts_Activation!D:D,D396,Contacts_Activation!N:N,"oui")&gt;0,"oui","non")</f>
        <v>oui</v>
      </c>
      <c r="V396" s="9" t="str">
        <f>IF(COUNTIFS(Travaux!C:C,D396,Travaux!X:X,"en_cours")&gt;0,"travaux_en_cours",IF(COUNTIFS(Ventes!C:C,D396,Ventes!L:L,"signature")&gt;0,"vente_signature",IF(COUNTIFS(Ventes!C:C,D396,Ventes!AD:AD,"oui")&gt;0,"vente_bloquee",IF(COUNTIFS(Gestion_Locative!C:C,D396,Gestion_Locative!O:O,"incomplet")&gt;0,"gestion_fragile","stable"))))</f>
        <v>vente_bloquee</v>
      </c>
    </row>
    <row r="397" spans="1:22" ht="14.4" hidden="1" x14ac:dyDescent="0.3">
      <c r="A397" s="6" t="s">
        <v>270</v>
      </c>
      <c r="B397" s="1" t="s">
        <v>4513</v>
      </c>
      <c r="C397" s="6" t="s">
        <v>2114</v>
      </c>
      <c r="D397" s="6" t="s">
        <v>2155</v>
      </c>
      <c r="E397" s="6" t="s">
        <v>2116</v>
      </c>
      <c r="F397" s="6" t="s">
        <v>2156</v>
      </c>
      <c r="G397" s="18">
        <v>37</v>
      </c>
      <c r="H397">
        <v>68</v>
      </c>
      <c r="I397">
        <v>35</v>
      </c>
      <c r="J397" s="7" t="s">
        <v>687</v>
      </c>
      <c r="K397" s="7" t="s">
        <v>2157</v>
      </c>
      <c r="L397" s="7" t="s">
        <v>2158</v>
      </c>
      <c r="M397" s="7" t="s">
        <v>2159</v>
      </c>
      <c r="N397" s="7"/>
      <c r="O397" s="7" t="s">
        <v>90</v>
      </c>
      <c r="P397" s="7"/>
      <c r="Q397" s="7" t="s">
        <v>93</v>
      </c>
      <c r="R397" s="7"/>
      <c r="S397" s="8"/>
      <c r="T397" s="8"/>
      <c r="U397" s="9" t="str">
        <f>IF(COUNTIFS(Contacts_Activation!D:D,D397,Contacts_Activation!N:N,"oui")&gt;0,"oui","non")</f>
        <v>oui</v>
      </c>
      <c r="V397" s="9" t="str">
        <f>IF(COUNTIFS(Travaux!C:C,D397,Travaux!X:X,"en_cours")&gt;0,"travaux_en_cours",IF(COUNTIFS(Ventes!C:C,D397,Ventes!L:L,"signature")&gt;0,"vente_signature",IF(COUNTIFS(Ventes!C:C,D397,Ventes!AD:AD,"oui")&gt;0,"vente_bloquee",IF(COUNTIFS(Gestion_Locative!C:C,D397,Gestion_Locative!O:O,"incomplet")&gt;0,"gestion_fragile","stable"))))</f>
        <v>vente_bloquee</v>
      </c>
    </row>
    <row r="398" spans="1:22" ht="27.6" hidden="1" x14ac:dyDescent="0.3">
      <c r="A398" s="6" t="s">
        <v>270</v>
      </c>
      <c r="B398" s="1" t="s">
        <v>4513</v>
      </c>
      <c r="C398" s="6" t="s">
        <v>2114</v>
      </c>
      <c r="D398" s="6" t="s">
        <v>2160</v>
      </c>
      <c r="E398" s="6" t="s">
        <v>2116</v>
      </c>
      <c r="F398" s="6" t="s">
        <v>2161</v>
      </c>
      <c r="G398" s="18">
        <v>37</v>
      </c>
      <c r="H398">
        <v>68</v>
      </c>
      <c r="I398">
        <v>35</v>
      </c>
      <c r="J398" s="7" t="s">
        <v>1924</v>
      </c>
      <c r="K398" s="7" t="s">
        <v>2162</v>
      </c>
      <c r="L398" s="7" t="s">
        <v>2163</v>
      </c>
      <c r="M398" s="7" t="s">
        <v>2164</v>
      </c>
      <c r="N398" s="7"/>
      <c r="O398" s="7" t="s">
        <v>90</v>
      </c>
      <c r="P398" s="7"/>
      <c r="Q398" s="7" t="s">
        <v>93</v>
      </c>
      <c r="R398" s="7"/>
      <c r="S398" s="8"/>
      <c r="T398" s="8"/>
      <c r="U398" s="9" t="str">
        <f>IF(COUNTIFS(Contacts_Activation!D:D,D398,Contacts_Activation!N:N,"oui")&gt;0,"oui","non")</f>
        <v>oui</v>
      </c>
      <c r="V398" s="9" t="str">
        <f>IF(COUNTIFS(Travaux!C:C,D398,Travaux!X:X,"en_cours")&gt;0,"travaux_en_cours",IF(COUNTIFS(Ventes!C:C,D398,Ventes!L:L,"signature")&gt;0,"vente_signature",IF(COUNTIFS(Ventes!C:C,D398,Ventes!AD:AD,"oui")&gt;0,"vente_bloquee",IF(COUNTIFS(Gestion_Locative!C:C,D398,Gestion_Locative!O:O,"incomplet")&gt;0,"gestion_fragile","stable"))))</f>
        <v>vente_bloquee</v>
      </c>
    </row>
    <row r="399" spans="1:22" ht="14.4" hidden="1" x14ac:dyDescent="0.3">
      <c r="A399" s="6" t="s">
        <v>270</v>
      </c>
      <c r="B399" s="1" t="s">
        <v>4513</v>
      </c>
      <c r="C399" s="6" t="s">
        <v>2114</v>
      </c>
      <c r="D399" s="6" t="s">
        <v>2165</v>
      </c>
      <c r="E399" s="6" t="s">
        <v>2116</v>
      </c>
      <c r="F399" s="6" t="s">
        <v>2166</v>
      </c>
      <c r="G399" s="18">
        <v>37</v>
      </c>
      <c r="H399">
        <v>68</v>
      </c>
      <c r="I399">
        <v>35</v>
      </c>
      <c r="J399" s="7" t="s">
        <v>458</v>
      </c>
      <c r="K399" s="7" t="s">
        <v>367</v>
      </c>
      <c r="L399" s="7" t="s">
        <v>593</v>
      </c>
      <c r="M399" s="7"/>
      <c r="N399" s="7" t="s">
        <v>2167</v>
      </c>
      <c r="O399" s="7" t="s">
        <v>90</v>
      </c>
      <c r="P399" s="7"/>
      <c r="Q399" s="7" t="s">
        <v>93</v>
      </c>
      <c r="R399" s="7"/>
      <c r="S399" s="8"/>
      <c r="T399" s="8"/>
      <c r="U399" s="9" t="str">
        <f>IF(COUNTIFS(Contacts_Activation!D:D,D399,Contacts_Activation!N:N,"oui")&gt;0,"oui","non")</f>
        <v>oui</v>
      </c>
      <c r="V399" s="9" t="str">
        <f>IF(COUNTIFS(Travaux!C:C,D399,Travaux!X:X,"en_cours")&gt;0,"travaux_en_cours",IF(COUNTIFS(Ventes!C:C,D399,Ventes!L:L,"signature")&gt;0,"vente_signature",IF(COUNTIFS(Ventes!C:C,D399,Ventes!AD:AD,"oui")&gt;0,"vente_bloquee",IF(COUNTIFS(Gestion_Locative!C:C,D399,Gestion_Locative!O:O,"incomplet")&gt;0,"gestion_fragile","stable"))))</f>
        <v>vente_bloquee</v>
      </c>
    </row>
    <row r="400" spans="1:22" ht="27.6" hidden="1" x14ac:dyDescent="0.3">
      <c r="A400" s="6" t="s">
        <v>270</v>
      </c>
      <c r="B400" s="1" t="s">
        <v>4513</v>
      </c>
      <c r="C400" s="6" t="s">
        <v>2114</v>
      </c>
      <c r="D400" s="6" t="s">
        <v>2168</v>
      </c>
      <c r="E400" s="6" t="s">
        <v>2116</v>
      </c>
      <c r="F400" s="6" t="s">
        <v>2169</v>
      </c>
      <c r="G400" s="18">
        <v>37</v>
      </c>
      <c r="H400">
        <v>68</v>
      </c>
      <c r="I400">
        <v>35</v>
      </c>
      <c r="J400" s="7" t="s">
        <v>458</v>
      </c>
      <c r="K400" s="7" t="s">
        <v>2170</v>
      </c>
      <c r="L400" s="7" t="s">
        <v>2171</v>
      </c>
      <c r="M400" s="7" t="s">
        <v>2172</v>
      </c>
      <c r="N400" s="7" t="s">
        <v>2173</v>
      </c>
      <c r="O400" s="7" t="s">
        <v>90</v>
      </c>
      <c r="P400" s="7"/>
      <c r="Q400" s="7" t="s">
        <v>93</v>
      </c>
      <c r="R400" s="7"/>
      <c r="S400" s="8"/>
      <c r="T400" s="8"/>
      <c r="U400" s="9" t="str">
        <f>IF(COUNTIFS(Contacts_Activation!D:D,D400,Contacts_Activation!N:N,"oui")&gt;0,"oui","non")</f>
        <v>oui</v>
      </c>
      <c r="V400" s="9" t="str">
        <f>IF(COUNTIFS(Travaux!C:C,D400,Travaux!X:X,"en_cours")&gt;0,"travaux_en_cours",IF(COUNTIFS(Ventes!C:C,D400,Ventes!L:L,"signature")&gt;0,"vente_signature",IF(COUNTIFS(Ventes!C:C,D400,Ventes!AD:AD,"oui")&gt;0,"vente_bloquee",IF(COUNTIFS(Gestion_Locative!C:C,D400,Gestion_Locative!O:O,"incomplet")&gt;0,"gestion_fragile","stable"))))</f>
        <v>vente_bloquee</v>
      </c>
    </row>
    <row r="401" spans="1:22" ht="14.4" hidden="1" x14ac:dyDescent="0.3">
      <c r="A401" s="6" t="s">
        <v>270</v>
      </c>
      <c r="B401" s="1" t="s">
        <v>4513</v>
      </c>
      <c r="C401" s="6" t="s">
        <v>2114</v>
      </c>
      <c r="D401" s="6" t="s">
        <v>2174</v>
      </c>
      <c r="E401" s="6" t="s">
        <v>2116</v>
      </c>
      <c r="F401" s="6" t="s">
        <v>2175</v>
      </c>
      <c r="G401" s="18">
        <v>37</v>
      </c>
      <c r="H401">
        <v>68</v>
      </c>
      <c r="I401">
        <v>35</v>
      </c>
      <c r="J401" s="7" t="s">
        <v>1168</v>
      </c>
      <c r="K401" s="7" t="s">
        <v>1684</v>
      </c>
      <c r="L401" s="7" t="s">
        <v>2176</v>
      </c>
      <c r="M401" s="7"/>
      <c r="N401" s="7"/>
      <c r="O401" s="7" t="s">
        <v>90</v>
      </c>
      <c r="P401" s="7"/>
      <c r="Q401" s="7" t="s">
        <v>93</v>
      </c>
      <c r="R401" s="7"/>
      <c r="S401" s="8"/>
      <c r="T401" s="8"/>
      <c r="U401" s="9" t="str">
        <f>IF(COUNTIFS(Contacts_Activation!D:D,D401,Contacts_Activation!N:N,"oui")&gt;0,"oui","non")</f>
        <v>oui</v>
      </c>
      <c r="V401" s="9" t="str">
        <f>IF(COUNTIFS(Travaux!C:C,D401,Travaux!X:X,"en_cours")&gt;0,"travaux_en_cours",IF(COUNTIFS(Ventes!C:C,D401,Ventes!L:L,"signature")&gt;0,"vente_signature",IF(COUNTIFS(Ventes!C:C,D401,Ventes!AD:AD,"oui")&gt;0,"vente_bloquee",IF(COUNTIFS(Gestion_Locative!C:C,D401,Gestion_Locative!O:O,"incomplet")&gt;0,"gestion_fragile","stable"))))</f>
        <v>vente_bloquee</v>
      </c>
    </row>
    <row r="402" spans="1:22" ht="14.4" hidden="1" x14ac:dyDescent="0.3">
      <c r="A402" s="6" t="s">
        <v>270</v>
      </c>
      <c r="B402" s="1" t="s">
        <v>4513</v>
      </c>
      <c r="C402" s="6" t="s">
        <v>2114</v>
      </c>
      <c r="D402" s="6" t="s">
        <v>2177</v>
      </c>
      <c r="E402" s="6" t="s">
        <v>2116</v>
      </c>
      <c r="F402" s="6" t="s">
        <v>2178</v>
      </c>
      <c r="G402" s="18">
        <v>37</v>
      </c>
      <c r="H402">
        <v>68</v>
      </c>
      <c r="I402">
        <v>35</v>
      </c>
      <c r="J402" s="7" t="s">
        <v>2179</v>
      </c>
      <c r="K402" s="7" t="s">
        <v>2180</v>
      </c>
      <c r="L402" s="7" t="s">
        <v>2181</v>
      </c>
      <c r="M402" s="7" t="s">
        <v>2182</v>
      </c>
      <c r="N402" s="7"/>
      <c r="O402" s="7" t="s">
        <v>90</v>
      </c>
      <c r="P402" s="7"/>
      <c r="Q402" s="7" t="s">
        <v>93</v>
      </c>
      <c r="R402" s="7"/>
      <c r="S402" s="8"/>
      <c r="T402" s="8"/>
      <c r="U402" s="9" t="str">
        <f>IF(COUNTIFS(Contacts_Activation!D:D,D402,Contacts_Activation!N:N,"oui")&gt;0,"oui","non")</f>
        <v>oui</v>
      </c>
      <c r="V402" s="9" t="str">
        <f>IF(COUNTIFS(Travaux!C:C,D402,Travaux!X:X,"en_cours")&gt;0,"travaux_en_cours",IF(COUNTIFS(Ventes!C:C,D402,Ventes!L:L,"signature")&gt;0,"vente_signature",IF(COUNTIFS(Ventes!C:C,D402,Ventes!AD:AD,"oui")&gt;0,"vente_bloquee",IF(COUNTIFS(Gestion_Locative!C:C,D402,Gestion_Locative!O:O,"incomplet")&gt;0,"gestion_fragile","stable"))))</f>
        <v>vente_bloquee</v>
      </c>
    </row>
    <row r="403" spans="1:22" ht="14.4" hidden="1" x14ac:dyDescent="0.3">
      <c r="A403" s="6" t="s">
        <v>270</v>
      </c>
      <c r="B403" s="1" t="s">
        <v>4513</v>
      </c>
      <c r="C403" s="6" t="s">
        <v>2114</v>
      </c>
      <c r="D403" s="6" t="s">
        <v>2183</v>
      </c>
      <c r="E403" s="6" t="s">
        <v>2116</v>
      </c>
      <c r="F403" s="6" t="s">
        <v>2184</v>
      </c>
      <c r="G403" s="18">
        <v>37</v>
      </c>
      <c r="H403">
        <v>68</v>
      </c>
      <c r="I403">
        <v>35</v>
      </c>
      <c r="J403" s="7" t="s">
        <v>2185</v>
      </c>
      <c r="K403" s="7" t="s">
        <v>2186</v>
      </c>
      <c r="L403" s="7" t="s">
        <v>2187</v>
      </c>
      <c r="M403" s="7" t="s">
        <v>2188</v>
      </c>
      <c r="N403" s="7"/>
      <c r="O403" s="7" t="s">
        <v>90</v>
      </c>
      <c r="P403" s="7"/>
      <c r="Q403" s="7" t="s">
        <v>93</v>
      </c>
      <c r="R403" s="7"/>
      <c r="S403" s="8"/>
      <c r="T403" s="8"/>
      <c r="U403" s="9" t="str">
        <f>IF(COUNTIFS(Contacts_Activation!D:D,D403,Contacts_Activation!N:N,"oui")&gt;0,"oui","non")</f>
        <v>oui</v>
      </c>
      <c r="V403" s="9" t="str">
        <f>IF(COUNTIFS(Travaux!C:C,D403,Travaux!X:X,"en_cours")&gt;0,"travaux_en_cours",IF(COUNTIFS(Ventes!C:C,D403,Ventes!L:L,"signature")&gt;0,"vente_signature",IF(COUNTIFS(Ventes!C:C,D403,Ventes!AD:AD,"oui")&gt;0,"vente_bloquee",IF(COUNTIFS(Gestion_Locative!C:C,D403,Gestion_Locative!O:O,"incomplet")&gt;0,"gestion_fragile","stable"))))</f>
        <v>vente_bloquee</v>
      </c>
    </row>
    <row r="404" spans="1:22" ht="14.4" hidden="1" x14ac:dyDescent="0.3">
      <c r="A404" s="6" t="s">
        <v>270</v>
      </c>
      <c r="B404" s="1" t="s">
        <v>4513</v>
      </c>
      <c r="C404" s="6" t="s">
        <v>2114</v>
      </c>
      <c r="D404" s="6" t="s">
        <v>2189</v>
      </c>
      <c r="E404" s="6" t="s">
        <v>2116</v>
      </c>
      <c r="F404" s="6" t="s">
        <v>2190</v>
      </c>
      <c r="G404" s="18">
        <v>37</v>
      </c>
      <c r="H404">
        <v>68</v>
      </c>
      <c r="I404">
        <v>35</v>
      </c>
      <c r="J404" s="7" t="s">
        <v>2191</v>
      </c>
      <c r="K404" s="7" t="s">
        <v>2192</v>
      </c>
      <c r="L404" s="7" t="s">
        <v>2193</v>
      </c>
      <c r="M404" s="7" t="s">
        <v>2194</v>
      </c>
      <c r="N404" s="7"/>
      <c r="O404" s="7" t="s">
        <v>90</v>
      </c>
      <c r="P404" s="7"/>
      <c r="Q404" s="7" t="s">
        <v>93</v>
      </c>
      <c r="R404" s="7"/>
      <c r="S404" s="8"/>
      <c r="T404" s="8"/>
      <c r="U404" s="9" t="str">
        <f>IF(COUNTIFS(Contacts_Activation!D:D,D404,Contacts_Activation!N:N,"oui")&gt;0,"oui","non")</f>
        <v>oui</v>
      </c>
      <c r="V404" s="9" t="str">
        <f>IF(COUNTIFS(Travaux!C:C,D404,Travaux!X:X,"en_cours")&gt;0,"travaux_en_cours",IF(COUNTIFS(Ventes!C:C,D404,Ventes!L:L,"signature")&gt;0,"vente_signature",IF(COUNTIFS(Ventes!C:C,D404,Ventes!AD:AD,"oui")&gt;0,"vente_bloquee",IF(COUNTIFS(Gestion_Locative!C:C,D404,Gestion_Locative!O:O,"incomplet")&gt;0,"gestion_fragile","stable"))))</f>
        <v>vente_bloquee</v>
      </c>
    </row>
    <row r="405" spans="1:22" ht="27.6" hidden="1" x14ac:dyDescent="0.3">
      <c r="A405" s="6" t="s">
        <v>270</v>
      </c>
      <c r="B405" s="1" t="s">
        <v>4513</v>
      </c>
      <c r="C405" s="6" t="s">
        <v>2114</v>
      </c>
      <c r="D405" s="6" t="s">
        <v>2195</v>
      </c>
      <c r="E405" s="6" t="s">
        <v>2116</v>
      </c>
      <c r="F405" s="6" t="s">
        <v>2196</v>
      </c>
      <c r="G405" s="18">
        <v>37</v>
      </c>
      <c r="H405">
        <v>68</v>
      </c>
      <c r="I405">
        <v>35</v>
      </c>
      <c r="J405" s="7" t="s">
        <v>2197</v>
      </c>
      <c r="K405" s="7" t="s">
        <v>2198</v>
      </c>
      <c r="L405" s="7" t="s">
        <v>2199</v>
      </c>
      <c r="M405" s="7"/>
      <c r="N405" s="7"/>
      <c r="O405" s="7" t="s">
        <v>90</v>
      </c>
      <c r="P405" s="7"/>
      <c r="Q405" s="7" t="s">
        <v>93</v>
      </c>
      <c r="R405" s="7"/>
      <c r="S405" s="8"/>
      <c r="T405" s="8"/>
      <c r="U405" s="9" t="str">
        <f>IF(COUNTIFS(Contacts_Activation!D:D,D405,Contacts_Activation!N:N,"oui")&gt;0,"oui","non")</f>
        <v>oui</v>
      </c>
      <c r="V405" s="9" t="str">
        <f>IF(COUNTIFS(Travaux!C:C,D405,Travaux!X:X,"en_cours")&gt;0,"travaux_en_cours",IF(COUNTIFS(Ventes!C:C,D405,Ventes!L:L,"signature")&gt;0,"vente_signature",IF(COUNTIFS(Ventes!C:C,D405,Ventes!AD:AD,"oui")&gt;0,"vente_bloquee",IF(COUNTIFS(Gestion_Locative!C:C,D405,Gestion_Locative!O:O,"incomplet")&gt;0,"gestion_fragile","stable"))))</f>
        <v>vente_bloquee</v>
      </c>
    </row>
    <row r="406" spans="1:22" ht="27.6" hidden="1" x14ac:dyDescent="0.3">
      <c r="A406" s="6" t="s">
        <v>270</v>
      </c>
      <c r="B406" s="1" t="s">
        <v>4513</v>
      </c>
      <c r="C406" s="6" t="s">
        <v>2114</v>
      </c>
      <c r="D406" s="6" t="s">
        <v>2200</v>
      </c>
      <c r="E406" s="6" t="s">
        <v>2116</v>
      </c>
      <c r="F406" s="6" t="s">
        <v>2201</v>
      </c>
      <c r="G406" s="18">
        <v>37</v>
      </c>
      <c r="H406">
        <v>68</v>
      </c>
      <c r="I406">
        <v>35</v>
      </c>
      <c r="J406" s="7" t="s">
        <v>2202</v>
      </c>
      <c r="K406" s="7" t="s">
        <v>2203</v>
      </c>
      <c r="L406" s="7" t="s">
        <v>2204</v>
      </c>
      <c r="M406" s="7"/>
      <c r="N406" s="7"/>
      <c r="O406" s="7" t="s">
        <v>90</v>
      </c>
      <c r="P406" s="7"/>
      <c r="Q406" s="7" t="s">
        <v>93</v>
      </c>
      <c r="R406" s="7"/>
      <c r="S406" s="8"/>
      <c r="T406" s="8"/>
      <c r="U406" s="9" t="str">
        <f>IF(COUNTIFS(Contacts_Activation!D:D,D406,Contacts_Activation!N:N,"oui")&gt;0,"oui","non")</f>
        <v>oui</v>
      </c>
      <c r="V406" s="9" t="str">
        <f>IF(COUNTIFS(Travaux!C:C,D406,Travaux!X:X,"en_cours")&gt;0,"travaux_en_cours",IF(COUNTIFS(Ventes!C:C,D406,Ventes!L:L,"signature")&gt;0,"vente_signature",IF(COUNTIFS(Ventes!C:C,D406,Ventes!AD:AD,"oui")&gt;0,"vente_bloquee",IF(COUNTIFS(Gestion_Locative!C:C,D406,Gestion_Locative!O:O,"incomplet")&gt;0,"gestion_fragile","stable"))))</f>
        <v>vente_bloquee</v>
      </c>
    </row>
    <row r="407" spans="1:22" ht="14.4" hidden="1" x14ac:dyDescent="0.3">
      <c r="A407" s="6" t="s">
        <v>270</v>
      </c>
      <c r="B407" s="1" t="s">
        <v>4513</v>
      </c>
      <c r="C407" s="6" t="s">
        <v>2114</v>
      </c>
      <c r="D407" s="6" t="s">
        <v>2205</v>
      </c>
      <c r="E407" s="6" t="s">
        <v>2116</v>
      </c>
      <c r="F407" s="6" t="s">
        <v>2206</v>
      </c>
      <c r="G407" s="18">
        <v>37</v>
      </c>
      <c r="H407">
        <v>68</v>
      </c>
      <c r="I407">
        <v>35</v>
      </c>
      <c r="J407" s="7" t="s">
        <v>2207</v>
      </c>
      <c r="K407" s="7" t="s">
        <v>2208</v>
      </c>
      <c r="L407" s="7" t="s">
        <v>2209</v>
      </c>
      <c r="M407" s="7"/>
      <c r="N407" s="7"/>
      <c r="O407" s="7" t="s">
        <v>90</v>
      </c>
      <c r="P407" s="7"/>
      <c r="Q407" s="7" t="s">
        <v>93</v>
      </c>
      <c r="R407" s="7"/>
      <c r="S407" s="8"/>
      <c r="T407" s="8"/>
      <c r="U407" s="9" t="str">
        <f>IF(COUNTIFS(Contacts_Activation!D:D,D407,Contacts_Activation!N:N,"oui")&gt;0,"oui","non")</f>
        <v>oui</v>
      </c>
      <c r="V407" s="9" t="str">
        <f>IF(COUNTIFS(Travaux!C:C,D407,Travaux!X:X,"en_cours")&gt;0,"travaux_en_cours",IF(COUNTIFS(Ventes!C:C,D407,Ventes!L:L,"signature")&gt;0,"vente_signature",IF(COUNTIFS(Ventes!C:C,D407,Ventes!AD:AD,"oui")&gt;0,"vente_bloquee",IF(COUNTIFS(Gestion_Locative!C:C,D407,Gestion_Locative!O:O,"incomplet")&gt;0,"gestion_fragile","stable"))))</f>
        <v>vente_bloquee</v>
      </c>
    </row>
    <row r="408" spans="1:22" ht="14.4" hidden="1" x14ac:dyDescent="0.3">
      <c r="A408" s="6" t="s">
        <v>270</v>
      </c>
      <c r="B408" s="1" t="s">
        <v>4513</v>
      </c>
      <c r="C408" s="6" t="s">
        <v>2114</v>
      </c>
      <c r="D408" s="6" t="s">
        <v>2210</v>
      </c>
      <c r="E408" s="6" t="s">
        <v>2116</v>
      </c>
      <c r="F408" s="6" t="s">
        <v>2211</v>
      </c>
      <c r="G408" s="18">
        <v>37</v>
      </c>
      <c r="H408">
        <v>68</v>
      </c>
      <c r="I408">
        <v>35</v>
      </c>
      <c r="J408" s="7" t="s">
        <v>2212</v>
      </c>
      <c r="K408" s="7" t="s">
        <v>380</v>
      </c>
      <c r="L408" s="7" t="s">
        <v>2213</v>
      </c>
      <c r="M408" s="7" t="s">
        <v>2214</v>
      </c>
      <c r="N408" s="7"/>
      <c r="O408" s="7" t="s">
        <v>90</v>
      </c>
      <c r="P408" s="7"/>
      <c r="Q408" s="7" t="s">
        <v>93</v>
      </c>
      <c r="R408" s="7"/>
      <c r="S408" s="8"/>
      <c r="T408" s="8"/>
      <c r="U408" s="9" t="str">
        <f>IF(COUNTIFS(Contacts_Activation!D:D,D408,Contacts_Activation!N:N,"oui")&gt;0,"oui","non")</f>
        <v>oui</v>
      </c>
      <c r="V408" s="9" t="str">
        <f>IF(COUNTIFS(Travaux!C:C,D408,Travaux!X:X,"en_cours")&gt;0,"travaux_en_cours",IF(COUNTIFS(Ventes!C:C,D408,Ventes!L:L,"signature")&gt;0,"vente_signature",IF(COUNTIFS(Ventes!C:C,D408,Ventes!AD:AD,"oui")&gt;0,"vente_bloquee",IF(COUNTIFS(Gestion_Locative!C:C,D408,Gestion_Locative!O:O,"incomplet")&gt;0,"gestion_fragile","stable"))))</f>
        <v>vente_bloquee</v>
      </c>
    </row>
    <row r="409" spans="1:22" ht="14.4" hidden="1" x14ac:dyDescent="0.3">
      <c r="A409" s="6" t="s">
        <v>270</v>
      </c>
      <c r="B409" s="1" t="s">
        <v>4513</v>
      </c>
      <c r="C409" s="6" t="s">
        <v>2114</v>
      </c>
      <c r="D409" s="6" t="s">
        <v>2215</v>
      </c>
      <c r="E409" s="6" t="s">
        <v>2116</v>
      </c>
      <c r="F409" s="6" t="s">
        <v>2216</v>
      </c>
      <c r="G409" s="18">
        <v>37</v>
      </c>
      <c r="H409">
        <v>68</v>
      </c>
      <c r="I409">
        <v>35</v>
      </c>
      <c r="J409" s="7" t="s">
        <v>428</v>
      </c>
      <c r="K409" s="7" t="s">
        <v>2217</v>
      </c>
      <c r="L409" s="7" t="s">
        <v>2218</v>
      </c>
      <c r="M409" s="7"/>
      <c r="N409" s="7"/>
      <c r="O409" s="7" t="s">
        <v>90</v>
      </c>
      <c r="P409" s="7"/>
      <c r="Q409" s="7" t="s">
        <v>93</v>
      </c>
      <c r="R409" s="7"/>
      <c r="S409" s="8"/>
      <c r="T409" s="8"/>
      <c r="U409" s="9" t="str">
        <f>IF(COUNTIFS(Contacts_Activation!D:D,D409,Contacts_Activation!N:N,"oui")&gt;0,"oui","non")</f>
        <v>oui</v>
      </c>
      <c r="V409" s="9" t="str">
        <f>IF(COUNTIFS(Travaux!C:C,D409,Travaux!X:X,"en_cours")&gt;0,"travaux_en_cours",IF(COUNTIFS(Ventes!C:C,D409,Ventes!L:L,"signature")&gt;0,"vente_signature",IF(COUNTIFS(Ventes!C:C,D409,Ventes!AD:AD,"oui")&gt;0,"vente_bloquee",IF(COUNTIFS(Gestion_Locative!C:C,D409,Gestion_Locative!O:O,"incomplet")&gt;0,"gestion_fragile","stable"))))</f>
        <v>vente_bloquee</v>
      </c>
    </row>
    <row r="410" spans="1:22" ht="14.4" hidden="1" x14ac:dyDescent="0.3">
      <c r="A410" s="6" t="s">
        <v>270</v>
      </c>
      <c r="B410" s="1" t="s">
        <v>4513</v>
      </c>
      <c r="C410" s="6" t="s">
        <v>2114</v>
      </c>
      <c r="D410" s="6" t="s">
        <v>2219</v>
      </c>
      <c r="E410" s="6" t="s">
        <v>2116</v>
      </c>
      <c r="F410" s="6" t="s">
        <v>2220</v>
      </c>
      <c r="G410" s="18">
        <v>37</v>
      </c>
      <c r="H410">
        <v>68</v>
      </c>
      <c r="I410">
        <v>35</v>
      </c>
      <c r="J410" s="7" t="s">
        <v>2221</v>
      </c>
      <c r="K410" s="7" t="s">
        <v>669</v>
      </c>
      <c r="L410" s="7" t="s">
        <v>2222</v>
      </c>
      <c r="M410" s="7"/>
      <c r="N410" s="7"/>
      <c r="O410" s="7" t="s">
        <v>90</v>
      </c>
      <c r="P410" s="7"/>
      <c r="Q410" s="7" t="s">
        <v>93</v>
      </c>
      <c r="R410" s="7"/>
      <c r="S410" s="8"/>
      <c r="T410" s="8"/>
      <c r="U410" s="9" t="str">
        <f>IF(COUNTIFS(Contacts_Activation!D:D,D410,Contacts_Activation!N:N,"oui")&gt;0,"oui","non")</f>
        <v>oui</v>
      </c>
      <c r="V410" s="9" t="str">
        <f>IF(COUNTIFS(Travaux!C:C,D410,Travaux!X:X,"en_cours")&gt;0,"travaux_en_cours",IF(COUNTIFS(Ventes!C:C,D410,Ventes!L:L,"signature")&gt;0,"vente_signature",IF(COUNTIFS(Ventes!C:C,D410,Ventes!AD:AD,"oui")&gt;0,"vente_bloquee",IF(COUNTIFS(Gestion_Locative!C:C,D410,Gestion_Locative!O:O,"incomplet")&gt;0,"gestion_fragile","stable"))))</f>
        <v>vente_bloquee</v>
      </c>
    </row>
    <row r="411" spans="1:22" ht="14.4" hidden="1" x14ac:dyDescent="0.3">
      <c r="A411" s="6" t="s">
        <v>270</v>
      </c>
      <c r="B411" s="1" t="s">
        <v>4513</v>
      </c>
      <c r="C411" s="6" t="s">
        <v>2114</v>
      </c>
      <c r="D411" s="6" t="s">
        <v>2223</v>
      </c>
      <c r="E411" s="6" t="s">
        <v>2116</v>
      </c>
      <c r="F411" s="6" t="s">
        <v>2224</v>
      </c>
      <c r="G411" s="18">
        <v>37</v>
      </c>
      <c r="H411">
        <v>68</v>
      </c>
      <c r="I411">
        <v>35</v>
      </c>
      <c r="J411" s="7" t="s">
        <v>2225</v>
      </c>
      <c r="K411" s="7" t="s">
        <v>2226</v>
      </c>
      <c r="L411" s="7" t="s">
        <v>2227</v>
      </c>
      <c r="M411" s="7" t="s">
        <v>2228</v>
      </c>
      <c r="N411" s="7"/>
      <c r="O411" s="7" t="s">
        <v>90</v>
      </c>
      <c r="P411" s="7"/>
      <c r="Q411" s="7" t="s">
        <v>93</v>
      </c>
      <c r="R411" s="7"/>
      <c r="S411" s="8"/>
      <c r="T411" s="8"/>
      <c r="U411" s="9" t="str">
        <f>IF(COUNTIFS(Contacts_Activation!D:D,D411,Contacts_Activation!N:N,"oui")&gt;0,"oui","non")</f>
        <v>oui</v>
      </c>
      <c r="V411" s="9" t="str">
        <f>IF(COUNTIFS(Travaux!C:C,D411,Travaux!X:X,"en_cours")&gt;0,"travaux_en_cours",IF(COUNTIFS(Ventes!C:C,D411,Ventes!L:L,"signature")&gt;0,"vente_signature",IF(COUNTIFS(Ventes!C:C,D411,Ventes!AD:AD,"oui")&gt;0,"vente_bloquee",IF(COUNTIFS(Gestion_Locative!C:C,D411,Gestion_Locative!O:O,"incomplet")&gt;0,"gestion_fragile","stable"))))</f>
        <v>vente_bloquee</v>
      </c>
    </row>
    <row r="412" spans="1:22" ht="14.4" hidden="1" x14ac:dyDescent="0.3">
      <c r="A412" s="6" t="s">
        <v>270</v>
      </c>
      <c r="B412" s="1" t="s">
        <v>4513</v>
      </c>
      <c r="C412" s="6" t="s">
        <v>2114</v>
      </c>
      <c r="D412" s="6" t="s">
        <v>2229</v>
      </c>
      <c r="E412" s="6" t="s">
        <v>2116</v>
      </c>
      <c r="F412" s="6" t="s">
        <v>2230</v>
      </c>
      <c r="G412" s="18">
        <v>37</v>
      </c>
      <c r="H412">
        <v>68</v>
      </c>
      <c r="I412">
        <v>35</v>
      </c>
      <c r="J412" s="7" t="s">
        <v>932</v>
      </c>
      <c r="K412" s="7" t="s">
        <v>2231</v>
      </c>
      <c r="L412" s="7" t="s">
        <v>2232</v>
      </c>
      <c r="M412" s="7"/>
      <c r="N412" s="7" t="s">
        <v>2233</v>
      </c>
      <c r="O412" s="7" t="s">
        <v>90</v>
      </c>
      <c r="P412" s="7"/>
      <c r="Q412" s="7" t="s">
        <v>93</v>
      </c>
      <c r="R412" s="7"/>
      <c r="S412" s="8"/>
      <c r="T412" s="8"/>
      <c r="U412" s="9" t="str">
        <f>IF(COUNTIFS(Contacts_Activation!D:D,D412,Contacts_Activation!N:N,"oui")&gt;0,"oui","non")</f>
        <v>oui</v>
      </c>
      <c r="V412" s="9" t="str">
        <f>IF(COUNTIFS(Travaux!C:C,D412,Travaux!X:X,"en_cours")&gt;0,"travaux_en_cours",IF(COUNTIFS(Ventes!C:C,D412,Ventes!L:L,"signature")&gt;0,"vente_signature",IF(COUNTIFS(Ventes!C:C,D412,Ventes!AD:AD,"oui")&gt;0,"vente_bloquee",IF(COUNTIFS(Gestion_Locative!C:C,D412,Gestion_Locative!O:O,"incomplet")&gt;0,"gestion_fragile","stable"))))</f>
        <v>vente_bloquee</v>
      </c>
    </row>
    <row r="413" spans="1:22" ht="14.4" hidden="1" x14ac:dyDescent="0.3">
      <c r="A413" s="6" t="s">
        <v>270</v>
      </c>
      <c r="B413" s="1" t="s">
        <v>4513</v>
      </c>
      <c r="C413" s="6" t="s">
        <v>2114</v>
      </c>
      <c r="D413" s="6" t="s">
        <v>2234</v>
      </c>
      <c r="E413" s="6" t="s">
        <v>2116</v>
      </c>
      <c r="F413" s="6" t="s">
        <v>2235</v>
      </c>
      <c r="G413" s="18">
        <v>37</v>
      </c>
      <c r="H413">
        <v>68</v>
      </c>
      <c r="I413">
        <v>35</v>
      </c>
      <c r="J413" s="7" t="s">
        <v>2236</v>
      </c>
      <c r="K413" s="7" t="s">
        <v>2237</v>
      </c>
      <c r="L413" s="7" t="s">
        <v>2238</v>
      </c>
      <c r="M413" s="7"/>
      <c r="N413" s="7"/>
      <c r="O413" s="7" t="s">
        <v>90</v>
      </c>
      <c r="P413" s="7"/>
      <c r="Q413" s="7" t="s">
        <v>93</v>
      </c>
      <c r="R413" s="7"/>
      <c r="S413" s="8"/>
      <c r="T413" s="8"/>
      <c r="U413" s="9" t="str">
        <f>IF(COUNTIFS(Contacts_Activation!D:D,D413,Contacts_Activation!N:N,"oui")&gt;0,"oui","non")</f>
        <v>oui</v>
      </c>
      <c r="V413" s="9" t="str">
        <f>IF(COUNTIFS(Travaux!C:C,D413,Travaux!X:X,"en_cours")&gt;0,"travaux_en_cours",IF(COUNTIFS(Ventes!C:C,D413,Ventes!L:L,"signature")&gt;0,"vente_signature",IF(COUNTIFS(Ventes!C:C,D413,Ventes!AD:AD,"oui")&gt;0,"vente_bloquee",IF(COUNTIFS(Gestion_Locative!C:C,D413,Gestion_Locative!O:O,"incomplet")&gt;0,"gestion_fragile","stable"))))</f>
        <v>vente_bloquee</v>
      </c>
    </row>
    <row r="414" spans="1:22" ht="14.4" hidden="1" x14ac:dyDescent="0.3">
      <c r="A414" s="6" t="s">
        <v>270</v>
      </c>
      <c r="B414" s="1" t="s">
        <v>4513</v>
      </c>
      <c r="C414" s="6" t="s">
        <v>2114</v>
      </c>
      <c r="D414" s="6" t="s">
        <v>2239</v>
      </c>
      <c r="E414" s="6" t="s">
        <v>2116</v>
      </c>
      <c r="F414" s="6" t="s">
        <v>2240</v>
      </c>
      <c r="G414" s="18">
        <v>37</v>
      </c>
      <c r="H414">
        <v>68</v>
      </c>
      <c r="I414">
        <v>35</v>
      </c>
      <c r="J414" s="7" t="s">
        <v>2241</v>
      </c>
      <c r="K414" s="7" t="s">
        <v>2242</v>
      </c>
      <c r="L414" s="7" t="s">
        <v>2243</v>
      </c>
      <c r="M414" s="7" t="s">
        <v>2244</v>
      </c>
      <c r="N414" s="7" t="s">
        <v>2245</v>
      </c>
      <c r="O414" s="7" t="s">
        <v>90</v>
      </c>
      <c r="P414" s="7"/>
      <c r="Q414" s="7" t="s">
        <v>93</v>
      </c>
      <c r="R414" s="7"/>
      <c r="S414" s="8"/>
      <c r="T414" s="8"/>
      <c r="U414" s="9" t="str">
        <f>IF(COUNTIFS(Contacts_Activation!D:D,D414,Contacts_Activation!N:N,"oui")&gt;0,"oui","non")</f>
        <v>oui</v>
      </c>
      <c r="V414" s="9" t="str">
        <f>IF(COUNTIFS(Travaux!C:C,D414,Travaux!X:X,"en_cours")&gt;0,"travaux_en_cours",IF(COUNTIFS(Ventes!C:C,D414,Ventes!L:L,"signature")&gt;0,"vente_signature",IF(COUNTIFS(Ventes!C:C,D414,Ventes!AD:AD,"oui")&gt;0,"vente_bloquee",IF(COUNTIFS(Gestion_Locative!C:C,D414,Gestion_Locative!O:O,"incomplet")&gt;0,"gestion_fragile","stable"))))</f>
        <v>vente_bloquee</v>
      </c>
    </row>
    <row r="415" spans="1:22" ht="14.4" hidden="1" x14ac:dyDescent="0.3">
      <c r="A415" s="6" t="s">
        <v>270</v>
      </c>
      <c r="B415" s="1" t="s">
        <v>4513</v>
      </c>
      <c r="C415" s="6" t="s">
        <v>2114</v>
      </c>
      <c r="D415" s="6" t="s">
        <v>2246</v>
      </c>
      <c r="E415" s="6" t="s">
        <v>2116</v>
      </c>
      <c r="F415" s="6" t="s">
        <v>2247</v>
      </c>
      <c r="G415" s="18">
        <v>37</v>
      </c>
      <c r="H415">
        <v>68</v>
      </c>
      <c r="I415">
        <v>35</v>
      </c>
      <c r="J415" s="7" t="s">
        <v>2248</v>
      </c>
      <c r="K415" s="7" t="s">
        <v>2249</v>
      </c>
      <c r="L415" s="7" t="s">
        <v>2250</v>
      </c>
      <c r="M415" s="7"/>
      <c r="N415" s="7" t="s">
        <v>990</v>
      </c>
      <c r="O415" s="7" t="s">
        <v>90</v>
      </c>
      <c r="P415" s="7"/>
      <c r="Q415" s="7" t="s">
        <v>93</v>
      </c>
      <c r="R415" s="7"/>
      <c r="S415" s="8"/>
      <c r="T415" s="8"/>
      <c r="U415" s="9" t="str">
        <f>IF(COUNTIFS(Contacts_Activation!D:D,D415,Contacts_Activation!N:N,"oui")&gt;0,"oui","non")</f>
        <v>oui</v>
      </c>
      <c r="V415" s="9" t="str">
        <f>IF(COUNTIFS(Travaux!C:C,D415,Travaux!X:X,"en_cours")&gt;0,"travaux_en_cours",IF(COUNTIFS(Ventes!C:C,D415,Ventes!L:L,"signature")&gt;0,"vente_signature",IF(COUNTIFS(Ventes!C:C,D415,Ventes!AD:AD,"oui")&gt;0,"vente_bloquee",IF(COUNTIFS(Gestion_Locative!C:C,D415,Gestion_Locative!O:O,"incomplet")&gt;0,"gestion_fragile","stable"))))</f>
        <v>vente_bloquee</v>
      </c>
    </row>
    <row r="416" spans="1:22" ht="14.4" hidden="1" x14ac:dyDescent="0.3">
      <c r="A416" s="6" t="s">
        <v>270</v>
      </c>
      <c r="B416" s="1" t="s">
        <v>4513</v>
      </c>
      <c r="C416" s="6" t="s">
        <v>2114</v>
      </c>
      <c r="D416" s="6" t="s">
        <v>2251</v>
      </c>
      <c r="E416" s="6" t="s">
        <v>2116</v>
      </c>
      <c r="F416" s="6" t="s">
        <v>2252</v>
      </c>
      <c r="G416" s="18">
        <v>37</v>
      </c>
      <c r="H416">
        <v>68</v>
      </c>
      <c r="I416">
        <v>35</v>
      </c>
      <c r="J416" s="7" t="s">
        <v>2253</v>
      </c>
      <c r="K416" s="7" t="s">
        <v>2254</v>
      </c>
      <c r="L416" s="7"/>
      <c r="M416" s="7"/>
      <c r="N416" s="7"/>
      <c r="O416" s="7" t="s">
        <v>90</v>
      </c>
      <c r="P416" s="7"/>
      <c r="Q416" s="7" t="s">
        <v>93</v>
      </c>
      <c r="R416" s="7"/>
      <c r="S416" s="8"/>
      <c r="T416" s="8"/>
      <c r="U416" s="9" t="str">
        <f>IF(COUNTIFS(Contacts_Activation!D:D,D416,Contacts_Activation!N:N,"oui")&gt;0,"oui","non")</f>
        <v>oui</v>
      </c>
      <c r="V416" s="9" t="str">
        <f>IF(COUNTIFS(Travaux!C:C,D416,Travaux!X:X,"en_cours")&gt;0,"travaux_en_cours",IF(COUNTIFS(Ventes!C:C,D416,Ventes!L:L,"signature")&gt;0,"vente_signature",IF(COUNTIFS(Ventes!C:C,D416,Ventes!AD:AD,"oui")&gt;0,"vente_bloquee",IF(COUNTIFS(Gestion_Locative!C:C,D416,Gestion_Locative!O:O,"incomplet")&gt;0,"gestion_fragile","stable"))))</f>
        <v>vente_bloquee</v>
      </c>
    </row>
    <row r="417" spans="1:22" ht="27.6" hidden="1" x14ac:dyDescent="0.3">
      <c r="A417" s="6" t="s">
        <v>270</v>
      </c>
      <c r="B417" s="1" t="s">
        <v>4513</v>
      </c>
      <c r="C417" s="6" t="s">
        <v>2114</v>
      </c>
      <c r="D417" s="6" t="s">
        <v>2255</v>
      </c>
      <c r="E417" s="6" t="s">
        <v>2116</v>
      </c>
      <c r="F417" s="6" t="s">
        <v>2256</v>
      </c>
      <c r="G417" s="18">
        <v>37</v>
      </c>
      <c r="H417">
        <v>68</v>
      </c>
      <c r="I417">
        <v>35</v>
      </c>
      <c r="J417" s="7" t="s">
        <v>2257</v>
      </c>
      <c r="K417" s="7" t="s">
        <v>2258</v>
      </c>
      <c r="L417" s="7" t="s">
        <v>2259</v>
      </c>
      <c r="M417" s="7" t="s">
        <v>2260</v>
      </c>
      <c r="N417" s="7"/>
      <c r="O417" s="7" t="s">
        <v>90</v>
      </c>
      <c r="P417" s="7"/>
      <c r="Q417" s="7" t="s">
        <v>93</v>
      </c>
      <c r="R417" s="7"/>
      <c r="S417" s="8"/>
      <c r="T417" s="8"/>
      <c r="U417" s="9" t="str">
        <f>IF(COUNTIFS(Contacts_Activation!D:D,D417,Contacts_Activation!N:N,"oui")&gt;0,"oui","non")</f>
        <v>oui</v>
      </c>
      <c r="V417" s="9" t="str">
        <f>IF(COUNTIFS(Travaux!C:C,D417,Travaux!X:X,"en_cours")&gt;0,"travaux_en_cours",IF(COUNTIFS(Ventes!C:C,D417,Ventes!L:L,"signature")&gt;0,"vente_signature",IF(COUNTIFS(Ventes!C:C,D417,Ventes!AD:AD,"oui")&gt;0,"vente_bloquee",IF(COUNTIFS(Gestion_Locative!C:C,D417,Gestion_Locative!O:O,"incomplet")&gt;0,"gestion_fragile","stable"))))</f>
        <v>vente_bloquee</v>
      </c>
    </row>
    <row r="418" spans="1:22" ht="14.4" hidden="1" x14ac:dyDescent="0.3">
      <c r="A418" s="6" t="s">
        <v>270</v>
      </c>
      <c r="B418" s="1" t="s">
        <v>4513</v>
      </c>
      <c r="C418" s="6" t="s">
        <v>2114</v>
      </c>
      <c r="D418" s="6" t="s">
        <v>2261</v>
      </c>
      <c r="E418" s="6" t="s">
        <v>2116</v>
      </c>
      <c r="F418" s="6" t="s">
        <v>2262</v>
      </c>
      <c r="G418" s="18">
        <v>37</v>
      </c>
      <c r="H418">
        <v>68</v>
      </c>
      <c r="I418">
        <v>35</v>
      </c>
      <c r="J418" s="7" t="s">
        <v>311</v>
      </c>
      <c r="K418" s="7" t="s">
        <v>312</v>
      </c>
      <c r="L418" s="7" t="s">
        <v>296</v>
      </c>
      <c r="M418" s="7"/>
      <c r="N418" s="7"/>
      <c r="O418" s="7" t="s">
        <v>90</v>
      </c>
      <c r="P418" s="7"/>
      <c r="Q418" s="7" t="s">
        <v>93</v>
      </c>
      <c r="R418" s="7"/>
      <c r="S418" s="8"/>
      <c r="T418" s="8"/>
      <c r="U418" s="9" t="str">
        <f>IF(COUNTIFS(Contacts_Activation!D:D,D418,Contacts_Activation!N:N,"oui")&gt;0,"oui","non")</f>
        <v>oui</v>
      </c>
      <c r="V418" s="9" t="str">
        <f>IF(COUNTIFS(Travaux!C:C,D418,Travaux!X:X,"en_cours")&gt;0,"travaux_en_cours",IF(COUNTIFS(Ventes!C:C,D418,Ventes!L:L,"signature")&gt;0,"vente_signature",IF(COUNTIFS(Ventes!C:C,D418,Ventes!AD:AD,"oui")&gt;0,"vente_bloquee",IF(COUNTIFS(Gestion_Locative!C:C,D418,Gestion_Locative!O:O,"incomplet")&gt;0,"gestion_fragile","stable"))))</f>
        <v>vente_bloquee</v>
      </c>
    </row>
    <row r="419" spans="1:22" ht="27.6" hidden="1" x14ac:dyDescent="0.3">
      <c r="A419" s="6" t="s">
        <v>270</v>
      </c>
      <c r="B419" s="1" t="s">
        <v>4513</v>
      </c>
      <c r="C419" s="6" t="s">
        <v>2114</v>
      </c>
      <c r="D419" s="6" t="s">
        <v>2263</v>
      </c>
      <c r="E419" s="6" t="s">
        <v>2116</v>
      </c>
      <c r="F419" s="6" t="s">
        <v>2264</v>
      </c>
      <c r="G419" s="18">
        <v>37</v>
      </c>
      <c r="H419">
        <v>68</v>
      </c>
      <c r="I419">
        <v>35</v>
      </c>
      <c r="J419" s="7" t="s">
        <v>2265</v>
      </c>
      <c r="K419" s="7" t="s">
        <v>1269</v>
      </c>
      <c r="L419" s="7" t="s">
        <v>2266</v>
      </c>
      <c r="M419" s="7" t="s">
        <v>2267</v>
      </c>
      <c r="N419" s="7"/>
      <c r="O419" s="7" t="s">
        <v>90</v>
      </c>
      <c r="P419" s="7"/>
      <c r="Q419" s="7" t="s">
        <v>93</v>
      </c>
      <c r="R419" s="7"/>
      <c r="S419" s="8"/>
      <c r="T419" s="8"/>
      <c r="U419" s="9" t="str">
        <f>IF(COUNTIFS(Contacts_Activation!D:D,D419,Contacts_Activation!N:N,"oui")&gt;0,"oui","non")</f>
        <v>oui</v>
      </c>
      <c r="V419" s="9" t="str">
        <f>IF(COUNTIFS(Travaux!C:C,D419,Travaux!X:X,"en_cours")&gt;0,"travaux_en_cours",IF(COUNTIFS(Ventes!C:C,D419,Ventes!L:L,"signature")&gt;0,"vente_signature",IF(COUNTIFS(Ventes!C:C,D419,Ventes!AD:AD,"oui")&gt;0,"vente_bloquee",IF(COUNTIFS(Gestion_Locative!C:C,D419,Gestion_Locative!O:O,"incomplet")&gt;0,"gestion_fragile","stable"))))</f>
        <v>vente_bloquee</v>
      </c>
    </row>
    <row r="420" spans="1:22" ht="14.4" hidden="1" x14ac:dyDescent="0.3">
      <c r="A420" s="6" t="s">
        <v>270</v>
      </c>
      <c r="B420" s="1" t="s">
        <v>4513</v>
      </c>
      <c r="C420" s="6" t="s">
        <v>2114</v>
      </c>
      <c r="D420" s="6" t="s">
        <v>2268</v>
      </c>
      <c r="E420" s="6" t="s">
        <v>2116</v>
      </c>
      <c r="F420" s="6" t="s">
        <v>2269</v>
      </c>
      <c r="G420" s="18">
        <v>37</v>
      </c>
      <c r="H420">
        <v>68</v>
      </c>
      <c r="I420">
        <v>35</v>
      </c>
      <c r="J420" s="7" t="s">
        <v>677</v>
      </c>
      <c r="K420" s="7" t="s">
        <v>2270</v>
      </c>
      <c r="L420" s="7" t="s">
        <v>2271</v>
      </c>
      <c r="M420" s="7" t="s">
        <v>2272</v>
      </c>
      <c r="N420" s="7" t="s">
        <v>2273</v>
      </c>
      <c r="O420" s="7" t="s">
        <v>90</v>
      </c>
      <c r="P420" s="7"/>
      <c r="Q420" s="7" t="s">
        <v>93</v>
      </c>
      <c r="R420" s="7"/>
      <c r="S420" s="8"/>
      <c r="T420" s="8"/>
      <c r="U420" s="9" t="str">
        <f>IF(COUNTIFS(Contacts_Activation!D:D,D420,Contacts_Activation!N:N,"oui")&gt;0,"oui","non")</f>
        <v>oui</v>
      </c>
      <c r="V420" s="9" t="str">
        <f>IF(COUNTIFS(Travaux!C:C,D420,Travaux!X:X,"en_cours")&gt;0,"travaux_en_cours",IF(COUNTIFS(Ventes!C:C,D420,Ventes!L:L,"signature")&gt;0,"vente_signature",IF(COUNTIFS(Ventes!C:C,D420,Ventes!AD:AD,"oui")&gt;0,"vente_bloquee",IF(COUNTIFS(Gestion_Locative!C:C,D420,Gestion_Locative!O:O,"incomplet")&gt;0,"gestion_fragile","stable"))))</f>
        <v>vente_bloquee</v>
      </c>
    </row>
    <row r="421" spans="1:22" ht="27.6" hidden="1" x14ac:dyDescent="0.3">
      <c r="A421" s="6" t="s">
        <v>270</v>
      </c>
      <c r="B421" s="1" t="s">
        <v>4513</v>
      </c>
      <c r="C421" s="6" t="s">
        <v>2114</v>
      </c>
      <c r="D421" s="6" t="s">
        <v>2274</v>
      </c>
      <c r="E421" s="6" t="s">
        <v>2116</v>
      </c>
      <c r="F421" s="6" t="s">
        <v>2275</v>
      </c>
      <c r="G421" s="18">
        <v>37</v>
      </c>
      <c r="H421">
        <v>68</v>
      </c>
      <c r="I421">
        <v>35</v>
      </c>
      <c r="J421" s="7" t="s">
        <v>2276</v>
      </c>
      <c r="K421" s="7" t="s">
        <v>2277</v>
      </c>
      <c r="L421" s="7" t="s">
        <v>2278</v>
      </c>
      <c r="M421" s="7"/>
      <c r="N421" s="7"/>
      <c r="O421" s="7" t="s">
        <v>90</v>
      </c>
      <c r="P421" s="7"/>
      <c r="Q421" s="7" t="s">
        <v>93</v>
      </c>
      <c r="R421" s="7"/>
      <c r="S421" s="8"/>
      <c r="T421" s="8"/>
      <c r="U421" s="9" t="str">
        <f>IF(COUNTIFS(Contacts_Activation!D:D,D421,Contacts_Activation!N:N,"oui")&gt;0,"oui","non")</f>
        <v>oui</v>
      </c>
      <c r="V421" s="9" t="str">
        <f>IF(COUNTIFS(Travaux!C:C,D421,Travaux!X:X,"en_cours")&gt;0,"travaux_en_cours",IF(COUNTIFS(Ventes!C:C,D421,Ventes!L:L,"signature")&gt;0,"vente_signature",IF(COUNTIFS(Ventes!C:C,D421,Ventes!AD:AD,"oui")&gt;0,"vente_bloquee",IF(COUNTIFS(Gestion_Locative!C:C,D421,Gestion_Locative!O:O,"incomplet")&gt;0,"gestion_fragile","stable"))))</f>
        <v>vente_bloquee</v>
      </c>
    </row>
    <row r="422" spans="1:22" ht="14.4" hidden="1" x14ac:dyDescent="0.3">
      <c r="A422" s="6" t="s">
        <v>270</v>
      </c>
      <c r="B422" s="1" t="s">
        <v>4513</v>
      </c>
      <c r="C422" s="6" t="s">
        <v>2114</v>
      </c>
      <c r="D422" s="6" t="s">
        <v>2279</v>
      </c>
      <c r="E422" s="6" t="s">
        <v>2116</v>
      </c>
      <c r="F422" s="6" t="s">
        <v>2280</v>
      </c>
      <c r="G422" s="18">
        <v>37</v>
      </c>
      <c r="H422">
        <v>68</v>
      </c>
      <c r="I422">
        <v>35</v>
      </c>
      <c r="J422" s="7" t="s">
        <v>334</v>
      </c>
      <c r="K422" s="7" t="s">
        <v>2281</v>
      </c>
      <c r="L422" s="7" t="s">
        <v>2282</v>
      </c>
      <c r="M422" s="7"/>
      <c r="N422" s="7"/>
      <c r="O422" s="7" t="s">
        <v>90</v>
      </c>
      <c r="P422" s="7"/>
      <c r="Q422" s="7" t="s">
        <v>93</v>
      </c>
      <c r="R422" s="7"/>
      <c r="S422" s="8"/>
      <c r="T422" s="8"/>
      <c r="U422" s="9" t="str">
        <f>IF(COUNTIFS(Contacts_Activation!D:D,D422,Contacts_Activation!N:N,"oui")&gt;0,"oui","non")</f>
        <v>oui</v>
      </c>
      <c r="V422" s="9" t="str">
        <f>IF(COUNTIFS(Travaux!C:C,D422,Travaux!X:X,"en_cours")&gt;0,"travaux_en_cours",IF(COUNTIFS(Ventes!C:C,D422,Ventes!L:L,"signature")&gt;0,"vente_signature",IF(COUNTIFS(Ventes!C:C,D422,Ventes!AD:AD,"oui")&gt;0,"vente_bloquee",IF(COUNTIFS(Gestion_Locative!C:C,D422,Gestion_Locative!O:O,"incomplet")&gt;0,"gestion_fragile","stable"))))</f>
        <v>vente_bloquee</v>
      </c>
    </row>
    <row r="423" spans="1:22" ht="14.4" hidden="1" x14ac:dyDescent="0.3">
      <c r="A423" s="6" t="s">
        <v>270</v>
      </c>
      <c r="B423" s="1" t="s">
        <v>4513</v>
      </c>
      <c r="C423" s="6" t="s">
        <v>2114</v>
      </c>
      <c r="D423" s="6" t="s">
        <v>2283</v>
      </c>
      <c r="E423" s="6" t="s">
        <v>2116</v>
      </c>
      <c r="F423" s="6" t="s">
        <v>2284</v>
      </c>
      <c r="G423" s="18">
        <v>37</v>
      </c>
      <c r="H423">
        <v>68</v>
      </c>
      <c r="I423">
        <v>35</v>
      </c>
      <c r="J423" s="7" t="s">
        <v>2285</v>
      </c>
      <c r="K423" s="7" t="s">
        <v>2286</v>
      </c>
      <c r="L423" s="7"/>
      <c r="M423" s="7"/>
      <c r="N423" s="7"/>
      <c r="O423" s="7" t="s">
        <v>90</v>
      </c>
      <c r="P423" s="7"/>
      <c r="Q423" s="7" t="s">
        <v>93</v>
      </c>
      <c r="R423" s="7"/>
      <c r="S423" s="8"/>
      <c r="T423" s="8"/>
      <c r="U423" s="9" t="str">
        <f>IF(COUNTIFS(Contacts_Activation!D:D,D423,Contacts_Activation!N:N,"oui")&gt;0,"oui","non")</f>
        <v>oui</v>
      </c>
      <c r="V423" s="9" t="str">
        <f>IF(COUNTIFS(Travaux!C:C,D423,Travaux!X:X,"en_cours")&gt;0,"travaux_en_cours",IF(COUNTIFS(Ventes!C:C,D423,Ventes!L:L,"signature")&gt;0,"vente_signature",IF(COUNTIFS(Ventes!C:C,D423,Ventes!AD:AD,"oui")&gt;0,"vente_bloquee",IF(COUNTIFS(Gestion_Locative!C:C,D423,Gestion_Locative!O:O,"incomplet")&gt;0,"gestion_fragile","stable"))))</f>
        <v>vente_bloquee</v>
      </c>
    </row>
    <row r="424" spans="1:22" ht="14.4" hidden="1" x14ac:dyDescent="0.3">
      <c r="A424" s="6" t="s">
        <v>270</v>
      </c>
      <c r="B424" s="1" t="s">
        <v>4513</v>
      </c>
      <c r="C424" s="6" t="s">
        <v>2114</v>
      </c>
      <c r="D424" s="6" t="s">
        <v>2287</v>
      </c>
      <c r="E424" s="6" t="s">
        <v>2116</v>
      </c>
      <c r="F424" s="6" t="s">
        <v>2288</v>
      </c>
      <c r="G424" s="18">
        <v>37</v>
      </c>
      <c r="H424">
        <v>68</v>
      </c>
      <c r="I424">
        <v>35</v>
      </c>
      <c r="J424" s="7" t="s">
        <v>658</v>
      </c>
      <c r="K424" s="7" t="s">
        <v>2289</v>
      </c>
      <c r="L424" s="7" t="s">
        <v>2290</v>
      </c>
      <c r="M424" s="7"/>
      <c r="N424" s="7"/>
      <c r="O424" s="7" t="s">
        <v>90</v>
      </c>
      <c r="P424" s="7"/>
      <c r="Q424" s="7" t="s">
        <v>93</v>
      </c>
      <c r="R424" s="7"/>
      <c r="S424" s="8"/>
      <c r="T424" s="8"/>
      <c r="U424" s="9" t="str">
        <f>IF(COUNTIFS(Contacts_Activation!D:D,D424,Contacts_Activation!N:N,"oui")&gt;0,"oui","non")</f>
        <v>oui</v>
      </c>
      <c r="V424" s="9" t="str">
        <f>IF(COUNTIFS(Travaux!C:C,D424,Travaux!X:X,"en_cours")&gt;0,"travaux_en_cours",IF(COUNTIFS(Ventes!C:C,D424,Ventes!L:L,"signature")&gt;0,"vente_signature",IF(COUNTIFS(Ventes!C:C,D424,Ventes!AD:AD,"oui")&gt;0,"vente_bloquee",IF(COUNTIFS(Gestion_Locative!C:C,D424,Gestion_Locative!O:O,"incomplet")&gt;0,"gestion_fragile","stable"))))</f>
        <v>vente_bloquee</v>
      </c>
    </row>
    <row r="425" spans="1:22" ht="14.4" hidden="1" x14ac:dyDescent="0.3">
      <c r="A425" s="6" t="s">
        <v>270</v>
      </c>
      <c r="B425" s="1" t="s">
        <v>4513</v>
      </c>
      <c r="C425" s="6" t="s">
        <v>2114</v>
      </c>
      <c r="D425" s="6" t="s">
        <v>2291</v>
      </c>
      <c r="E425" s="6" t="s">
        <v>2116</v>
      </c>
      <c r="F425" s="6" t="s">
        <v>2292</v>
      </c>
      <c r="G425" s="18">
        <v>37</v>
      </c>
      <c r="H425">
        <v>68</v>
      </c>
      <c r="I425">
        <v>35</v>
      </c>
      <c r="J425" s="7" t="s">
        <v>2293</v>
      </c>
      <c r="K425" s="7" t="s">
        <v>823</v>
      </c>
      <c r="L425" s="7" t="s">
        <v>2294</v>
      </c>
      <c r="M425" s="7"/>
      <c r="N425" s="7"/>
      <c r="O425" s="7" t="s">
        <v>90</v>
      </c>
      <c r="P425" s="7"/>
      <c r="Q425" s="7" t="s">
        <v>93</v>
      </c>
      <c r="R425" s="7"/>
      <c r="S425" s="8"/>
      <c r="T425" s="8"/>
      <c r="U425" s="9" t="str">
        <f>IF(COUNTIFS(Contacts_Activation!D:D,D425,Contacts_Activation!N:N,"oui")&gt;0,"oui","non")</f>
        <v>oui</v>
      </c>
      <c r="V425" s="9" t="str">
        <f>IF(COUNTIFS(Travaux!C:C,D425,Travaux!X:X,"en_cours")&gt;0,"travaux_en_cours",IF(COUNTIFS(Ventes!C:C,D425,Ventes!L:L,"signature")&gt;0,"vente_signature",IF(COUNTIFS(Ventes!C:C,D425,Ventes!AD:AD,"oui")&gt;0,"vente_bloquee",IF(COUNTIFS(Gestion_Locative!C:C,D425,Gestion_Locative!O:O,"incomplet")&gt;0,"gestion_fragile","stable"))))</f>
        <v>vente_bloquee</v>
      </c>
    </row>
    <row r="426" spans="1:22" ht="14.4" hidden="1" x14ac:dyDescent="0.3">
      <c r="A426" s="6" t="s">
        <v>292</v>
      </c>
      <c r="B426" s="1" t="s">
        <v>4521</v>
      </c>
      <c r="C426" s="6" t="s">
        <v>2295</v>
      </c>
      <c r="D426" s="6" t="s">
        <v>2296</v>
      </c>
      <c r="E426" s="6" t="s">
        <v>2297</v>
      </c>
      <c r="F426" s="6" t="s">
        <v>2298</v>
      </c>
      <c r="G426" s="18">
        <v>23</v>
      </c>
      <c r="H426">
        <v>55</v>
      </c>
      <c r="I426">
        <v>36</v>
      </c>
      <c r="J426" s="7" t="s">
        <v>2299</v>
      </c>
      <c r="K426" s="7" t="s">
        <v>2300</v>
      </c>
      <c r="L426" s="7" t="s">
        <v>2301</v>
      </c>
      <c r="M426" s="7"/>
      <c r="N426" s="7"/>
      <c r="O426" s="7" t="s">
        <v>90</v>
      </c>
      <c r="P426" s="7"/>
      <c r="Q426" s="7" t="s">
        <v>93</v>
      </c>
      <c r="R426" s="7"/>
      <c r="S426" s="8"/>
      <c r="T426" s="8"/>
      <c r="U426" s="9" t="str">
        <f>IF(COUNTIFS(Contacts_Activation!D:D,D426,Contacts_Activation!N:N,"oui")&gt;0,"oui","non")</f>
        <v>oui</v>
      </c>
      <c r="V426" s="9" t="str">
        <f>IF(COUNTIFS(Travaux!C:C,D426,Travaux!X:X,"en_cours")&gt;0,"travaux_en_cours",IF(COUNTIFS(Ventes!C:C,D426,Ventes!L:L,"signature")&gt;0,"vente_signature",IF(COUNTIFS(Ventes!C:C,D426,Ventes!AD:AD,"oui")&gt;0,"vente_bloquee",IF(COUNTIFS(Gestion_Locative!C:C,D426,Gestion_Locative!O:O,"incomplet")&gt;0,"gestion_fragile","stable"))))</f>
        <v>vente_bloquee</v>
      </c>
    </row>
    <row r="427" spans="1:22" ht="14.4" hidden="1" x14ac:dyDescent="0.3">
      <c r="A427" s="6" t="s">
        <v>292</v>
      </c>
      <c r="B427" s="1" t="s">
        <v>4521</v>
      </c>
      <c r="C427" s="6" t="s">
        <v>2295</v>
      </c>
      <c r="D427" s="6" t="s">
        <v>2302</v>
      </c>
      <c r="E427" s="6" t="s">
        <v>2297</v>
      </c>
      <c r="F427" s="6" t="s">
        <v>2303</v>
      </c>
      <c r="G427" s="18">
        <v>23</v>
      </c>
      <c r="H427">
        <v>55</v>
      </c>
      <c r="I427">
        <v>36</v>
      </c>
      <c r="J427" s="7" t="s">
        <v>687</v>
      </c>
      <c r="K427" s="7" t="s">
        <v>2304</v>
      </c>
      <c r="L427" s="7" t="s">
        <v>2305</v>
      </c>
      <c r="M427" s="7"/>
      <c r="N427" s="7"/>
      <c r="O427" s="7" t="s">
        <v>90</v>
      </c>
      <c r="P427" s="7"/>
      <c r="Q427" s="7" t="s">
        <v>93</v>
      </c>
      <c r="R427" s="7"/>
      <c r="S427" s="8"/>
      <c r="T427" s="8"/>
      <c r="U427" s="9" t="str">
        <f>IF(COUNTIFS(Contacts_Activation!D:D,D427,Contacts_Activation!N:N,"oui")&gt;0,"oui","non")</f>
        <v>oui</v>
      </c>
      <c r="V427" s="9" t="str">
        <f>IF(COUNTIFS(Travaux!C:C,D427,Travaux!X:X,"en_cours")&gt;0,"travaux_en_cours",IF(COUNTIFS(Ventes!C:C,D427,Ventes!L:L,"signature")&gt;0,"vente_signature",IF(COUNTIFS(Ventes!C:C,D427,Ventes!AD:AD,"oui")&gt;0,"vente_bloquee",IF(COUNTIFS(Gestion_Locative!C:C,D427,Gestion_Locative!O:O,"incomplet")&gt;0,"gestion_fragile","stable"))))</f>
        <v>vente_bloquee</v>
      </c>
    </row>
    <row r="428" spans="1:22" ht="14.4" hidden="1" x14ac:dyDescent="0.3">
      <c r="A428" s="6" t="s">
        <v>292</v>
      </c>
      <c r="B428" s="1" t="s">
        <v>4521</v>
      </c>
      <c r="C428" s="6" t="s">
        <v>2295</v>
      </c>
      <c r="D428" s="6" t="s">
        <v>2306</v>
      </c>
      <c r="E428" s="6" t="s">
        <v>2297</v>
      </c>
      <c r="F428" s="6" t="s">
        <v>2307</v>
      </c>
      <c r="G428" s="18">
        <v>23</v>
      </c>
      <c r="H428">
        <v>55</v>
      </c>
      <c r="I428">
        <v>36</v>
      </c>
      <c r="J428" s="7" t="s">
        <v>1016</v>
      </c>
      <c r="K428" s="7" t="s">
        <v>2186</v>
      </c>
      <c r="L428" s="7" t="s">
        <v>2308</v>
      </c>
      <c r="M428" s="7"/>
      <c r="N428" s="7"/>
      <c r="O428" s="7" t="s">
        <v>90</v>
      </c>
      <c r="P428" s="7"/>
      <c r="Q428" s="7" t="s">
        <v>93</v>
      </c>
      <c r="R428" s="7"/>
      <c r="S428" s="8"/>
      <c r="T428" s="8"/>
      <c r="U428" s="9" t="str">
        <f>IF(COUNTIFS(Contacts_Activation!D:D,D428,Contacts_Activation!N:N,"oui")&gt;0,"oui","non")</f>
        <v>oui</v>
      </c>
      <c r="V428" s="9" t="str">
        <f>IF(COUNTIFS(Travaux!C:C,D428,Travaux!X:X,"en_cours")&gt;0,"travaux_en_cours",IF(COUNTIFS(Ventes!C:C,D428,Ventes!L:L,"signature")&gt;0,"vente_signature",IF(COUNTIFS(Ventes!C:C,D428,Ventes!AD:AD,"oui")&gt;0,"vente_bloquee",IF(COUNTIFS(Gestion_Locative!C:C,D428,Gestion_Locative!O:O,"incomplet")&gt;0,"gestion_fragile","stable"))))</f>
        <v>vente_bloquee</v>
      </c>
    </row>
    <row r="429" spans="1:22" ht="14.4" hidden="1" x14ac:dyDescent="0.3">
      <c r="A429" s="6" t="s">
        <v>292</v>
      </c>
      <c r="B429" s="1" t="s">
        <v>4521</v>
      </c>
      <c r="C429" s="6" t="s">
        <v>2295</v>
      </c>
      <c r="D429" s="6" t="s">
        <v>2309</v>
      </c>
      <c r="E429" s="6" t="s">
        <v>2297</v>
      </c>
      <c r="F429" s="6" t="s">
        <v>2310</v>
      </c>
      <c r="G429" s="18">
        <v>23</v>
      </c>
      <c r="H429">
        <v>55</v>
      </c>
      <c r="I429">
        <v>36</v>
      </c>
      <c r="J429" s="7" t="s">
        <v>1016</v>
      </c>
      <c r="K429" s="7" t="s">
        <v>939</v>
      </c>
      <c r="L429" s="7" t="s">
        <v>2311</v>
      </c>
      <c r="M429" s="7" t="s">
        <v>2312</v>
      </c>
      <c r="N429" s="7" t="s">
        <v>2313</v>
      </c>
      <c r="O429" s="7" t="s">
        <v>90</v>
      </c>
      <c r="P429" s="7"/>
      <c r="Q429" s="7" t="s">
        <v>93</v>
      </c>
      <c r="R429" s="7"/>
      <c r="S429" s="8"/>
      <c r="T429" s="8"/>
      <c r="U429" s="9" t="str">
        <f>IF(COUNTIFS(Contacts_Activation!D:D,D429,Contacts_Activation!N:N,"oui")&gt;0,"oui","non")</f>
        <v>oui</v>
      </c>
      <c r="V429" s="9" t="str">
        <f>IF(COUNTIFS(Travaux!C:C,D429,Travaux!X:X,"en_cours")&gt;0,"travaux_en_cours",IF(COUNTIFS(Ventes!C:C,D429,Ventes!L:L,"signature")&gt;0,"vente_signature",IF(COUNTIFS(Ventes!C:C,D429,Ventes!AD:AD,"oui")&gt;0,"vente_bloquee",IF(COUNTIFS(Gestion_Locative!C:C,D429,Gestion_Locative!O:O,"incomplet")&gt;0,"gestion_fragile","stable"))))</f>
        <v>vente_bloquee</v>
      </c>
    </row>
    <row r="430" spans="1:22" ht="14.4" hidden="1" x14ac:dyDescent="0.3">
      <c r="A430" s="6" t="s">
        <v>292</v>
      </c>
      <c r="B430" s="1" t="s">
        <v>4521</v>
      </c>
      <c r="C430" s="6" t="s">
        <v>2295</v>
      </c>
      <c r="D430" s="6" t="s">
        <v>2314</v>
      </c>
      <c r="E430" s="6" t="s">
        <v>2297</v>
      </c>
      <c r="F430" s="6" t="s">
        <v>2315</v>
      </c>
      <c r="G430" s="18">
        <v>23</v>
      </c>
      <c r="H430">
        <v>55</v>
      </c>
      <c r="I430">
        <v>36</v>
      </c>
      <c r="J430" s="7" t="s">
        <v>1016</v>
      </c>
      <c r="K430" s="7" t="s">
        <v>2316</v>
      </c>
      <c r="L430" s="7" t="s">
        <v>2317</v>
      </c>
      <c r="M430" s="7"/>
      <c r="N430" s="7"/>
      <c r="O430" s="7" t="s">
        <v>90</v>
      </c>
      <c r="P430" s="7"/>
      <c r="Q430" s="7" t="s">
        <v>93</v>
      </c>
      <c r="R430" s="7"/>
      <c r="S430" s="8"/>
      <c r="T430" s="8"/>
      <c r="U430" s="9" t="str">
        <f>IF(COUNTIFS(Contacts_Activation!D:D,D430,Contacts_Activation!N:N,"oui")&gt;0,"oui","non")</f>
        <v>oui</v>
      </c>
      <c r="V430" s="9" t="str">
        <f>IF(COUNTIFS(Travaux!C:C,D430,Travaux!X:X,"en_cours")&gt;0,"travaux_en_cours",IF(COUNTIFS(Ventes!C:C,D430,Ventes!L:L,"signature")&gt;0,"vente_signature",IF(COUNTIFS(Ventes!C:C,D430,Ventes!AD:AD,"oui")&gt;0,"vente_bloquee",IF(COUNTIFS(Gestion_Locative!C:C,D430,Gestion_Locative!O:O,"incomplet")&gt;0,"gestion_fragile","stable"))))</f>
        <v>vente_bloquee</v>
      </c>
    </row>
    <row r="431" spans="1:22" ht="14.4" hidden="1" x14ac:dyDescent="0.3">
      <c r="A431" s="6" t="s">
        <v>292</v>
      </c>
      <c r="B431" s="1" t="s">
        <v>4521</v>
      </c>
      <c r="C431" s="6" t="s">
        <v>2295</v>
      </c>
      <c r="D431" s="6" t="s">
        <v>2318</v>
      </c>
      <c r="E431" s="6" t="s">
        <v>2297</v>
      </c>
      <c r="F431" s="6" t="s">
        <v>2319</v>
      </c>
      <c r="G431" s="18">
        <v>23</v>
      </c>
      <c r="H431">
        <v>55</v>
      </c>
      <c r="I431">
        <v>36</v>
      </c>
      <c r="J431" s="7" t="s">
        <v>458</v>
      </c>
      <c r="K431" s="7" t="s">
        <v>2320</v>
      </c>
      <c r="L431" s="7" t="s">
        <v>2321</v>
      </c>
      <c r="M431" s="7"/>
      <c r="N431" s="7"/>
      <c r="O431" s="7" t="s">
        <v>90</v>
      </c>
      <c r="P431" s="7"/>
      <c r="Q431" s="7" t="s">
        <v>93</v>
      </c>
      <c r="R431" s="7"/>
      <c r="S431" s="8"/>
      <c r="T431" s="8"/>
      <c r="U431" s="9" t="str">
        <f>IF(COUNTIFS(Contacts_Activation!D:D,D431,Contacts_Activation!N:N,"oui")&gt;0,"oui","non")</f>
        <v>oui</v>
      </c>
      <c r="V431" s="9" t="str">
        <f>IF(COUNTIFS(Travaux!C:C,D431,Travaux!X:X,"en_cours")&gt;0,"travaux_en_cours",IF(COUNTIFS(Ventes!C:C,D431,Ventes!L:L,"signature")&gt;0,"vente_signature",IF(COUNTIFS(Ventes!C:C,D431,Ventes!AD:AD,"oui")&gt;0,"vente_bloquee",IF(COUNTIFS(Gestion_Locative!C:C,D431,Gestion_Locative!O:O,"incomplet")&gt;0,"gestion_fragile","stable"))))</f>
        <v>vente_bloquee</v>
      </c>
    </row>
    <row r="432" spans="1:22" ht="27.6" hidden="1" x14ac:dyDescent="0.3">
      <c r="A432" s="6" t="s">
        <v>292</v>
      </c>
      <c r="B432" s="1" t="s">
        <v>4521</v>
      </c>
      <c r="C432" s="6" t="s">
        <v>2295</v>
      </c>
      <c r="D432" s="6" t="s">
        <v>2322</v>
      </c>
      <c r="E432" s="6" t="s">
        <v>2297</v>
      </c>
      <c r="F432" s="6" t="s">
        <v>2323</v>
      </c>
      <c r="G432" s="18">
        <v>23</v>
      </c>
      <c r="H432">
        <v>55</v>
      </c>
      <c r="I432">
        <v>36</v>
      </c>
      <c r="J432" s="7" t="s">
        <v>2324</v>
      </c>
      <c r="K432" s="7" t="s">
        <v>2325</v>
      </c>
      <c r="L432" s="7" t="s">
        <v>2326</v>
      </c>
      <c r="M432" s="7"/>
      <c r="N432" s="7" t="s">
        <v>2327</v>
      </c>
      <c r="O432" s="7" t="s">
        <v>90</v>
      </c>
      <c r="P432" s="7"/>
      <c r="Q432" s="7" t="s">
        <v>93</v>
      </c>
      <c r="R432" s="7"/>
      <c r="S432" s="8"/>
      <c r="T432" s="8"/>
      <c r="U432" s="9" t="str">
        <f>IF(COUNTIFS(Contacts_Activation!D:D,D432,Contacts_Activation!N:N,"oui")&gt;0,"oui","non")</f>
        <v>oui</v>
      </c>
      <c r="V432" s="9" t="str">
        <f>IF(COUNTIFS(Travaux!C:C,D432,Travaux!X:X,"en_cours")&gt;0,"travaux_en_cours",IF(COUNTIFS(Ventes!C:C,D432,Ventes!L:L,"signature")&gt;0,"vente_signature",IF(COUNTIFS(Ventes!C:C,D432,Ventes!AD:AD,"oui")&gt;0,"vente_bloquee",IF(COUNTIFS(Gestion_Locative!C:C,D432,Gestion_Locative!O:O,"incomplet")&gt;0,"gestion_fragile","stable"))))</f>
        <v>vente_bloquee</v>
      </c>
    </row>
    <row r="433" spans="1:22" ht="27.6" hidden="1" x14ac:dyDescent="0.3">
      <c r="A433" s="6" t="s">
        <v>292</v>
      </c>
      <c r="B433" s="1" t="s">
        <v>4521</v>
      </c>
      <c r="C433" s="6" t="s">
        <v>2295</v>
      </c>
      <c r="D433" s="6" t="s">
        <v>2328</v>
      </c>
      <c r="E433" s="6" t="s">
        <v>2297</v>
      </c>
      <c r="F433" s="6" t="s">
        <v>2329</v>
      </c>
      <c r="G433" s="18">
        <v>23</v>
      </c>
      <c r="H433">
        <v>55</v>
      </c>
      <c r="I433">
        <v>36</v>
      </c>
      <c r="J433" s="7" t="s">
        <v>2330</v>
      </c>
      <c r="K433" s="7" t="s">
        <v>2331</v>
      </c>
      <c r="L433" s="7" t="s">
        <v>2332</v>
      </c>
      <c r="M433" s="7"/>
      <c r="N433" s="7"/>
      <c r="O433" s="7" t="s">
        <v>90</v>
      </c>
      <c r="P433" s="7"/>
      <c r="Q433" s="7" t="s">
        <v>93</v>
      </c>
      <c r="R433" s="7"/>
      <c r="S433" s="8"/>
      <c r="T433" s="8"/>
      <c r="U433" s="9" t="str">
        <f>IF(COUNTIFS(Contacts_Activation!D:D,D433,Contacts_Activation!N:N,"oui")&gt;0,"oui","non")</f>
        <v>oui</v>
      </c>
      <c r="V433" s="9" t="str">
        <f>IF(COUNTIFS(Travaux!C:C,D433,Travaux!X:X,"en_cours")&gt;0,"travaux_en_cours",IF(COUNTIFS(Ventes!C:C,D433,Ventes!L:L,"signature")&gt;0,"vente_signature",IF(COUNTIFS(Ventes!C:C,D433,Ventes!AD:AD,"oui")&gt;0,"vente_bloquee",IF(COUNTIFS(Gestion_Locative!C:C,D433,Gestion_Locative!O:O,"incomplet")&gt;0,"gestion_fragile","stable"))))</f>
        <v>vente_bloquee</v>
      </c>
    </row>
    <row r="434" spans="1:22" ht="14.4" hidden="1" x14ac:dyDescent="0.3">
      <c r="A434" s="6" t="s">
        <v>292</v>
      </c>
      <c r="B434" s="1" t="s">
        <v>4521</v>
      </c>
      <c r="C434" s="6" t="s">
        <v>2295</v>
      </c>
      <c r="D434" s="6" t="s">
        <v>2333</v>
      </c>
      <c r="E434" s="6" t="s">
        <v>2297</v>
      </c>
      <c r="F434" s="6" t="s">
        <v>2334</v>
      </c>
      <c r="G434" s="18">
        <v>23</v>
      </c>
      <c r="H434">
        <v>55</v>
      </c>
      <c r="I434">
        <v>36</v>
      </c>
      <c r="J434" s="7" t="s">
        <v>2335</v>
      </c>
      <c r="K434" s="7" t="s">
        <v>1401</v>
      </c>
      <c r="L434" s="7" t="s">
        <v>2336</v>
      </c>
      <c r="M434" s="7"/>
      <c r="N434" s="7"/>
      <c r="O434" s="7" t="s">
        <v>90</v>
      </c>
      <c r="P434" s="7"/>
      <c r="Q434" s="7" t="s">
        <v>93</v>
      </c>
      <c r="R434" s="7"/>
      <c r="S434" s="8"/>
      <c r="T434" s="8"/>
      <c r="U434" s="9" t="str">
        <f>IF(COUNTIFS(Contacts_Activation!D:D,D434,Contacts_Activation!N:N,"oui")&gt;0,"oui","non")</f>
        <v>oui</v>
      </c>
      <c r="V434" s="9" t="str">
        <f>IF(COUNTIFS(Travaux!C:C,D434,Travaux!X:X,"en_cours")&gt;0,"travaux_en_cours",IF(COUNTIFS(Ventes!C:C,D434,Ventes!L:L,"signature")&gt;0,"vente_signature",IF(COUNTIFS(Ventes!C:C,D434,Ventes!AD:AD,"oui")&gt;0,"vente_bloquee",IF(COUNTIFS(Gestion_Locative!C:C,D434,Gestion_Locative!O:O,"incomplet")&gt;0,"gestion_fragile","stable"))))</f>
        <v>vente_bloquee</v>
      </c>
    </row>
    <row r="435" spans="1:22" ht="14.4" hidden="1" x14ac:dyDescent="0.3">
      <c r="A435" s="6" t="s">
        <v>292</v>
      </c>
      <c r="B435" s="1" t="s">
        <v>4521</v>
      </c>
      <c r="C435" s="6" t="s">
        <v>2295</v>
      </c>
      <c r="D435" s="6" t="s">
        <v>2337</v>
      </c>
      <c r="E435" s="6" t="s">
        <v>2297</v>
      </c>
      <c r="F435" s="6" t="s">
        <v>2338</v>
      </c>
      <c r="G435" s="18">
        <v>23</v>
      </c>
      <c r="H435">
        <v>55</v>
      </c>
      <c r="I435">
        <v>36</v>
      </c>
      <c r="J435" s="7" t="s">
        <v>2339</v>
      </c>
      <c r="K435" s="7" t="s">
        <v>2340</v>
      </c>
      <c r="L435" s="7" t="s">
        <v>2341</v>
      </c>
      <c r="M435" s="7"/>
      <c r="N435" s="7" t="s">
        <v>2342</v>
      </c>
      <c r="O435" s="7" t="s">
        <v>90</v>
      </c>
      <c r="P435" s="7"/>
      <c r="Q435" s="7" t="s">
        <v>93</v>
      </c>
      <c r="R435" s="7"/>
      <c r="S435" s="8"/>
      <c r="T435" s="8"/>
      <c r="U435" s="9" t="str">
        <f>IF(COUNTIFS(Contacts_Activation!D:D,D435,Contacts_Activation!N:N,"oui")&gt;0,"oui","non")</f>
        <v>oui</v>
      </c>
      <c r="V435" s="9" t="str">
        <f>IF(COUNTIFS(Travaux!C:C,D435,Travaux!X:X,"en_cours")&gt;0,"travaux_en_cours",IF(COUNTIFS(Ventes!C:C,D435,Ventes!L:L,"signature")&gt;0,"vente_signature",IF(COUNTIFS(Ventes!C:C,D435,Ventes!AD:AD,"oui")&gt;0,"vente_bloquee",IF(COUNTIFS(Gestion_Locative!C:C,D435,Gestion_Locative!O:O,"incomplet")&gt;0,"gestion_fragile","stable"))))</f>
        <v>vente_bloquee</v>
      </c>
    </row>
    <row r="436" spans="1:22" ht="14.4" hidden="1" x14ac:dyDescent="0.3">
      <c r="A436" s="6" t="s">
        <v>292</v>
      </c>
      <c r="B436" s="1" t="s">
        <v>4521</v>
      </c>
      <c r="C436" s="6" t="s">
        <v>2295</v>
      </c>
      <c r="D436" s="6" t="s">
        <v>2343</v>
      </c>
      <c r="E436" s="6" t="s">
        <v>2297</v>
      </c>
      <c r="F436" s="6" t="s">
        <v>2344</v>
      </c>
      <c r="G436" s="18">
        <v>23</v>
      </c>
      <c r="H436">
        <v>55</v>
      </c>
      <c r="I436">
        <v>36</v>
      </c>
      <c r="J436" s="7" t="s">
        <v>2345</v>
      </c>
      <c r="K436" s="7" t="s">
        <v>1725</v>
      </c>
      <c r="L436" s="7" t="s">
        <v>2346</v>
      </c>
      <c r="M436" s="7"/>
      <c r="N436" s="7"/>
      <c r="O436" s="7" t="s">
        <v>90</v>
      </c>
      <c r="P436" s="7"/>
      <c r="Q436" s="7" t="s">
        <v>93</v>
      </c>
      <c r="R436" s="7"/>
      <c r="S436" s="8"/>
      <c r="T436" s="8"/>
      <c r="U436" s="9" t="str">
        <f>IF(COUNTIFS(Contacts_Activation!D:D,D436,Contacts_Activation!N:N,"oui")&gt;0,"oui","non")</f>
        <v>oui</v>
      </c>
      <c r="V436" s="9" t="str">
        <f>IF(COUNTIFS(Travaux!C:C,D436,Travaux!X:X,"en_cours")&gt;0,"travaux_en_cours",IF(COUNTIFS(Ventes!C:C,D436,Ventes!L:L,"signature")&gt;0,"vente_signature",IF(COUNTIFS(Ventes!C:C,D436,Ventes!AD:AD,"oui")&gt;0,"vente_bloquee",IF(COUNTIFS(Gestion_Locative!C:C,D436,Gestion_Locative!O:O,"incomplet")&gt;0,"gestion_fragile","stable"))))</f>
        <v>vente_bloquee</v>
      </c>
    </row>
    <row r="437" spans="1:22" ht="27.6" hidden="1" x14ac:dyDescent="0.3">
      <c r="A437" s="6" t="s">
        <v>292</v>
      </c>
      <c r="B437" s="1" t="s">
        <v>4521</v>
      </c>
      <c r="C437" s="6" t="s">
        <v>2295</v>
      </c>
      <c r="D437" s="6" t="s">
        <v>2347</v>
      </c>
      <c r="E437" s="6" t="s">
        <v>2297</v>
      </c>
      <c r="F437" s="6" t="s">
        <v>2348</v>
      </c>
      <c r="G437" s="18">
        <v>23</v>
      </c>
      <c r="H437">
        <v>55</v>
      </c>
      <c r="I437">
        <v>36</v>
      </c>
      <c r="J437" s="7" t="s">
        <v>1532</v>
      </c>
      <c r="K437" s="7" t="s">
        <v>2349</v>
      </c>
      <c r="L437" s="7"/>
      <c r="M437" s="7"/>
      <c r="N437" s="7"/>
      <c r="O437" s="7" t="s">
        <v>90</v>
      </c>
      <c r="P437" s="7"/>
      <c r="Q437" s="7" t="s">
        <v>93</v>
      </c>
      <c r="R437" s="7"/>
      <c r="S437" s="8"/>
      <c r="T437" s="8"/>
      <c r="U437" s="9" t="str">
        <f>IF(COUNTIFS(Contacts_Activation!D:D,D437,Contacts_Activation!N:N,"oui")&gt;0,"oui","non")</f>
        <v>oui</v>
      </c>
      <c r="V437" s="9" t="str">
        <f>IF(COUNTIFS(Travaux!C:C,D437,Travaux!X:X,"en_cours")&gt;0,"travaux_en_cours",IF(COUNTIFS(Ventes!C:C,D437,Ventes!L:L,"signature")&gt;0,"vente_signature",IF(COUNTIFS(Ventes!C:C,D437,Ventes!AD:AD,"oui")&gt;0,"vente_bloquee",IF(COUNTIFS(Gestion_Locative!C:C,D437,Gestion_Locative!O:O,"incomplet")&gt;0,"gestion_fragile","stable"))))</f>
        <v>vente_bloquee</v>
      </c>
    </row>
    <row r="438" spans="1:22" ht="14.4" hidden="1" x14ac:dyDescent="0.3">
      <c r="A438" s="6" t="s">
        <v>292</v>
      </c>
      <c r="B438" s="1" t="s">
        <v>4521</v>
      </c>
      <c r="C438" s="6" t="s">
        <v>2295</v>
      </c>
      <c r="D438" s="6" t="s">
        <v>2350</v>
      </c>
      <c r="E438" s="6" t="s">
        <v>2297</v>
      </c>
      <c r="F438" s="6" t="s">
        <v>2351</v>
      </c>
      <c r="G438" s="18">
        <v>23</v>
      </c>
      <c r="H438">
        <v>55</v>
      </c>
      <c r="I438">
        <v>36</v>
      </c>
      <c r="J438" s="7" t="s">
        <v>2352</v>
      </c>
      <c r="K438" s="7" t="s">
        <v>2353</v>
      </c>
      <c r="L438" s="7" t="s">
        <v>2354</v>
      </c>
      <c r="M438" s="7"/>
      <c r="N438" s="7"/>
      <c r="O438" s="7" t="s">
        <v>90</v>
      </c>
      <c r="P438" s="7"/>
      <c r="Q438" s="7" t="s">
        <v>93</v>
      </c>
      <c r="R438" s="7"/>
      <c r="S438" s="8"/>
      <c r="T438" s="8"/>
      <c r="U438" s="9" t="str">
        <f>IF(COUNTIFS(Contacts_Activation!D:D,D438,Contacts_Activation!N:N,"oui")&gt;0,"oui","non")</f>
        <v>oui</v>
      </c>
      <c r="V438" s="9" t="str">
        <f>IF(COUNTIFS(Travaux!C:C,D438,Travaux!X:X,"en_cours")&gt;0,"travaux_en_cours",IF(COUNTIFS(Ventes!C:C,D438,Ventes!L:L,"signature")&gt;0,"vente_signature",IF(COUNTIFS(Ventes!C:C,D438,Ventes!AD:AD,"oui")&gt;0,"vente_bloquee",IF(COUNTIFS(Gestion_Locative!C:C,D438,Gestion_Locative!O:O,"incomplet")&gt;0,"gestion_fragile","stable"))))</f>
        <v>vente_bloquee</v>
      </c>
    </row>
    <row r="439" spans="1:22" ht="14.4" hidden="1" x14ac:dyDescent="0.3">
      <c r="A439" s="6" t="s">
        <v>292</v>
      </c>
      <c r="B439" s="1" t="s">
        <v>4521</v>
      </c>
      <c r="C439" s="6" t="s">
        <v>2295</v>
      </c>
      <c r="D439" s="6" t="s">
        <v>2355</v>
      </c>
      <c r="E439" s="6" t="s">
        <v>2297</v>
      </c>
      <c r="F439" s="6" t="s">
        <v>2356</v>
      </c>
      <c r="G439" s="18">
        <v>23</v>
      </c>
      <c r="H439">
        <v>55</v>
      </c>
      <c r="I439">
        <v>36</v>
      </c>
      <c r="J439" s="7" t="s">
        <v>2357</v>
      </c>
      <c r="K439" s="7" t="s">
        <v>2358</v>
      </c>
      <c r="L439" s="7" t="s">
        <v>2359</v>
      </c>
      <c r="M439" s="7"/>
      <c r="N439" s="7"/>
      <c r="O439" s="7" t="s">
        <v>90</v>
      </c>
      <c r="P439" s="7"/>
      <c r="Q439" s="7" t="s">
        <v>93</v>
      </c>
      <c r="R439" s="7"/>
      <c r="S439" s="8"/>
      <c r="T439" s="8"/>
      <c r="U439" s="9" t="str">
        <f>IF(COUNTIFS(Contacts_Activation!D:D,D439,Contacts_Activation!N:N,"oui")&gt;0,"oui","non")</f>
        <v>oui</v>
      </c>
      <c r="V439" s="9" t="str">
        <f>IF(COUNTIFS(Travaux!C:C,D439,Travaux!X:X,"en_cours")&gt;0,"travaux_en_cours",IF(COUNTIFS(Ventes!C:C,D439,Ventes!L:L,"signature")&gt;0,"vente_signature",IF(COUNTIFS(Ventes!C:C,D439,Ventes!AD:AD,"oui")&gt;0,"vente_bloquee",IF(COUNTIFS(Gestion_Locative!C:C,D439,Gestion_Locative!O:O,"incomplet")&gt;0,"gestion_fragile","stable"))))</f>
        <v>vente_bloquee</v>
      </c>
    </row>
    <row r="440" spans="1:22" ht="14.4" hidden="1" x14ac:dyDescent="0.3">
      <c r="A440" s="6" t="s">
        <v>292</v>
      </c>
      <c r="B440" s="1" t="s">
        <v>4521</v>
      </c>
      <c r="C440" s="6" t="s">
        <v>2295</v>
      </c>
      <c r="D440" s="6" t="s">
        <v>2360</v>
      </c>
      <c r="E440" s="6" t="s">
        <v>2297</v>
      </c>
      <c r="F440" s="6" t="s">
        <v>2361</v>
      </c>
      <c r="G440" s="18">
        <v>23</v>
      </c>
      <c r="H440">
        <v>55</v>
      </c>
      <c r="I440">
        <v>36</v>
      </c>
      <c r="J440" s="7" t="s">
        <v>305</v>
      </c>
      <c r="K440" s="7" t="s">
        <v>1595</v>
      </c>
      <c r="L440" s="7"/>
      <c r="M440" s="7"/>
      <c r="N440" s="7"/>
      <c r="O440" s="7" t="s">
        <v>90</v>
      </c>
      <c r="P440" s="7"/>
      <c r="Q440" s="7" t="s">
        <v>93</v>
      </c>
      <c r="R440" s="7"/>
      <c r="S440" s="8"/>
      <c r="T440" s="8"/>
      <c r="U440" s="9" t="str">
        <f>IF(COUNTIFS(Contacts_Activation!D:D,D440,Contacts_Activation!N:N,"oui")&gt;0,"oui","non")</f>
        <v>oui</v>
      </c>
      <c r="V440" s="9" t="str">
        <f>IF(COUNTIFS(Travaux!C:C,D440,Travaux!X:X,"en_cours")&gt;0,"travaux_en_cours",IF(COUNTIFS(Ventes!C:C,D440,Ventes!L:L,"signature")&gt;0,"vente_signature",IF(COUNTIFS(Ventes!C:C,D440,Ventes!AD:AD,"oui")&gt;0,"vente_bloquee",IF(COUNTIFS(Gestion_Locative!C:C,D440,Gestion_Locative!O:O,"incomplet")&gt;0,"gestion_fragile","stable"))))</f>
        <v>vente_bloquee</v>
      </c>
    </row>
    <row r="441" spans="1:22" ht="14.4" hidden="1" x14ac:dyDescent="0.3">
      <c r="A441" s="6" t="s">
        <v>292</v>
      </c>
      <c r="B441" s="1" t="s">
        <v>4521</v>
      </c>
      <c r="C441" s="6" t="s">
        <v>2295</v>
      </c>
      <c r="D441" s="6" t="s">
        <v>2362</v>
      </c>
      <c r="E441" s="6" t="s">
        <v>2297</v>
      </c>
      <c r="F441" s="6" t="s">
        <v>2363</v>
      </c>
      <c r="G441" s="18">
        <v>23</v>
      </c>
      <c r="H441">
        <v>55</v>
      </c>
      <c r="I441">
        <v>36</v>
      </c>
      <c r="J441" s="7" t="s">
        <v>2364</v>
      </c>
      <c r="K441" s="7" t="s">
        <v>546</v>
      </c>
      <c r="L441" s="7" t="s">
        <v>2365</v>
      </c>
      <c r="M441" s="7"/>
      <c r="N441" s="7"/>
      <c r="O441" s="7" t="s">
        <v>90</v>
      </c>
      <c r="P441" s="7"/>
      <c r="Q441" s="7" t="s">
        <v>93</v>
      </c>
      <c r="R441" s="7"/>
      <c r="S441" s="8"/>
      <c r="T441" s="8"/>
      <c r="U441" s="9" t="str">
        <f>IF(COUNTIFS(Contacts_Activation!D:D,D441,Contacts_Activation!N:N,"oui")&gt;0,"oui","non")</f>
        <v>oui</v>
      </c>
      <c r="V441" s="9" t="str">
        <f>IF(COUNTIFS(Travaux!C:C,D441,Travaux!X:X,"en_cours")&gt;0,"travaux_en_cours",IF(COUNTIFS(Ventes!C:C,D441,Ventes!L:L,"signature")&gt;0,"vente_signature",IF(COUNTIFS(Ventes!C:C,D441,Ventes!AD:AD,"oui")&gt;0,"vente_bloquee",IF(COUNTIFS(Gestion_Locative!C:C,D441,Gestion_Locative!O:O,"incomplet")&gt;0,"gestion_fragile","stable"))))</f>
        <v>vente_bloquee</v>
      </c>
    </row>
    <row r="442" spans="1:22" ht="14.4" hidden="1" x14ac:dyDescent="0.3">
      <c r="A442" s="6" t="s">
        <v>292</v>
      </c>
      <c r="B442" s="1" t="s">
        <v>4521</v>
      </c>
      <c r="C442" s="6" t="s">
        <v>2295</v>
      </c>
      <c r="D442" s="6" t="s">
        <v>2366</v>
      </c>
      <c r="E442" s="6" t="s">
        <v>2297</v>
      </c>
      <c r="F442" s="6" t="s">
        <v>2367</v>
      </c>
      <c r="G442" s="18">
        <v>23</v>
      </c>
      <c r="H442">
        <v>55</v>
      </c>
      <c r="I442">
        <v>36</v>
      </c>
      <c r="J442" s="7" t="s">
        <v>2368</v>
      </c>
      <c r="K442" s="7" t="s">
        <v>2369</v>
      </c>
      <c r="L442" s="7" t="s">
        <v>2370</v>
      </c>
      <c r="M442" s="7"/>
      <c r="N442" s="7"/>
      <c r="O442" s="7" t="s">
        <v>90</v>
      </c>
      <c r="P442" s="7"/>
      <c r="Q442" s="7" t="s">
        <v>93</v>
      </c>
      <c r="R442" s="7"/>
      <c r="S442" s="8"/>
      <c r="T442" s="8"/>
      <c r="U442" s="9" t="str">
        <f>IF(COUNTIFS(Contacts_Activation!D:D,D442,Contacts_Activation!N:N,"oui")&gt;0,"oui","non")</f>
        <v>oui</v>
      </c>
      <c r="V442" s="9" t="str">
        <f>IF(COUNTIFS(Travaux!C:C,D442,Travaux!X:X,"en_cours")&gt;0,"travaux_en_cours",IF(COUNTIFS(Ventes!C:C,D442,Ventes!L:L,"signature")&gt;0,"vente_signature",IF(COUNTIFS(Ventes!C:C,D442,Ventes!AD:AD,"oui")&gt;0,"vente_bloquee",IF(COUNTIFS(Gestion_Locative!C:C,D442,Gestion_Locative!O:O,"incomplet")&gt;0,"gestion_fragile","stable"))))</f>
        <v>vente_bloquee</v>
      </c>
    </row>
    <row r="443" spans="1:22" ht="14.4" hidden="1" x14ac:dyDescent="0.3">
      <c r="A443" s="6" t="s">
        <v>292</v>
      </c>
      <c r="B443" s="1" t="s">
        <v>4521</v>
      </c>
      <c r="C443" s="6" t="s">
        <v>2295</v>
      </c>
      <c r="D443" s="6" t="s">
        <v>2371</v>
      </c>
      <c r="E443" s="6" t="s">
        <v>2297</v>
      </c>
      <c r="F443" s="6" t="s">
        <v>2372</v>
      </c>
      <c r="G443" s="18">
        <v>23</v>
      </c>
      <c r="H443">
        <v>55</v>
      </c>
      <c r="I443">
        <v>36</v>
      </c>
      <c r="J443" s="7" t="s">
        <v>2373</v>
      </c>
      <c r="K443" s="7" t="s">
        <v>2374</v>
      </c>
      <c r="L443" s="7" t="s">
        <v>2375</v>
      </c>
      <c r="M443" s="7"/>
      <c r="N443" s="7"/>
      <c r="O443" s="7" t="s">
        <v>90</v>
      </c>
      <c r="P443" s="7"/>
      <c r="Q443" s="7" t="s">
        <v>93</v>
      </c>
      <c r="R443" s="7"/>
      <c r="S443" s="8"/>
      <c r="T443" s="8"/>
      <c r="U443" s="9" t="str">
        <f>IF(COUNTIFS(Contacts_Activation!D:D,D443,Contacts_Activation!N:N,"oui")&gt;0,"oui","non")</f>
        <v>oui</v>
      </c>
      <c r="V443" s="9" t="str">
        <f>IF(COUNTIFS(Travaux!C:C,D443,Travaux!X:X,"en_cours")&gt;0,"travaux_en_cours",IF(COUNTIFS(Ventes!C:C,D443,Ventes!L:L,"signature")&gt;0,"vente_signature",IF(COUNTIFS(Ventes!C:C,D443,Ventes!AD:AD,"oui")&gt;0,"vente_bloquee",IF(COUNTIFS(Gestion_Locative!C:C,D443,Gestion_Locative!O:O,"incomplet")&gt;0,"gestion_fragile","stable"))))</f>
        <v>vente_bloquee</v>
      </c>
    </row>
    <row r="444" spans="1:22" ht="14.4" hidden="1" x14ac:dyDescent="0.3">
      <c r="A444" s="6" t="s">
        <v>292</v>
      </c>
      <c r="B444" s="1" t="s">
        <v>4521</v>
      </c>
      <c r="C444" s="6" t="s">
        <v>2295</v>
      </c>
      <c r="D444" s="6" t="s">
        <v>2376</v>
      </c>
      <c r="E444" s="6" t="s">
        <v>2297</v>
      </c>
      <c r="F444" s="6" t="s">
        <v>2377</v>
      </c>
      <c r="G444" s="18">
        <v>23</v>
      </c>
      <c r="H444">
        <v>55</v>
      </c>
      <c r="I444">
        <v>36</v>
      </c>
      <c r="J444" s="7" t="s">
        <v>272</v>
      </c>
      <c r="K444" s="7" t="s">
        <v>1357</v>
      </c>
      <c r="L444" s="7" t="s">
        <v>717</v>
      </c>
      <c r="M444" s="7"/>
      <c r="N444" s="7"/>
      <c r="O444" s="7" t="s">
        <v>90</v>
      </c>
      <c r="P444" s="7"/>
      <c r="Q444" s="7" t="s">
        <v>93</v>
      </c>
      <c r="R444" s="7"/>
      <c r="S444" s="8"/>
      <c r="T444" s="8"/>
      <c r="U444" s="9" t="str">
        <f>IF(COUNTIFS(Contacts_Activation!D:D,D444,Contacts_Activation!N:N,"oui")&gt;0,"oui","non")</f>
        <v>oui</v>
      </c>
      <c r="V444" s="9" t="str">
        <f>IF(COUNTIFS(Travaux!C:C,D444,Travaux!X:X,"en_cours")&gt;0,"travaux_en_cours",IF(COUNTIFS(Ventes!C:C,D444,Ventes!L:L,"signature")&gt;0,"vente_signature",IF(COUNTIFS(Ventes!C:C,D444,Ventes!AD:AD,"oui")&gt;0,"vente_bloquee",IF(COUNTIFS(Gestion_Locative!C:C,D444,Gestion_Locative!O:O,"incomplet")&gt;0,"gestion_fragile","stable"))))</f>
        <v>vente_bloquee</v>
      </c>
    </row>
    <row r="445" spans="1:22" ht="14.4" hidden="1" x14ac:dyDescent="0.3">
      <c r="A445" s="6" t="s">
        <v>292</v>
      </c>
      <c r="B445" s="1" t="s">
        <v>4521</v>
      </c>
      <c r="C445" s="6" t="s">
        <v>2295</v>
      </c>
      <c r="D445" s="6" t="s">
        <v>2378</v>
      </c>
      <c r="E445" s="6" t="s">
        <v>2297</v>
      </c>
      <c r="F445" s="6" t="s">
        <v>2379</v>
      </c>
      <c r="G445" s="18">
        <v>23</v>
      </c>
      <c r="H445">
        <v>55</v>
      </c>
      <c r="I445">
        <v>36</v>
      </c>
      <c r="J445" s="7" t="s">
        <v>2380</v>
      </c>
      <c r="K445" s="7" t="s">
        <v>1315</v>
      </c>
      <c r="L445" s="7" t="s">
        <v>2381</v>
      </c>
      <c r="M445" s="7"/>
      <c r="N445" s="7"/>
      <c r="O445" s="7" t="s">
        <v>90</v>
      </c>
      <c r="P445" s="7"/>
      <c r="Q445" s="7" t="s">
        <v>93</v>
      </c>
      <c r="R445" s="7"/>
      <c r="S445" s="8"/>
      <c r="T445" s="8"/>
      <c r="U445" s="9" t="str">
        <f>IF(COUNTIFS(Contacts_Activation!D:D,D445,Contacts_Activation!N:N,"oui")&gt;0,"oui","non")</f>
        <v>oui</v>
      </c>
      <c r="V445" s="9" t="str">
        <f>IF(COUNTIFS(Travaux!C:C,D445,Travaux!X:X,"en_cours")&gt;0,"travaux_en_cours",IF(COUNTIFS(Ventes!C:C,D445,Ventes!L:L,"signature")&gt;0,"vente_signature",IF(COUNTIFS(Ventes!C:C,D445,Ventes!AD:AD,"oui")&gt;0,"vente_bloquee",IF(COUNTIFS(Gestion_Locative!C:C,D445,Gestion_Locative!O:O,"incomplet")&gt;0,"gestion_fragile","stable"))))</f>
        <v>vente_bloquee</v>
      </c>
    </row>
    <row r="446" spans="1:22" ht="14.4" hidden="1" x14ac:dyDescent="0.3">
      <c r="A446" s="6" t="s">
        <v>292</v>
      </c>
      <c r="B446" s="1" t="s">
        <v>4521</v>
      </c>
      <c r="C446" s="6" t="s">
        <v>2295</v>
      </c>
      <c r="D446" s="6" t="s">
        <v>2382</v>
      </c>
      <c r="E446" s="6" t="s">
        <v>2297</v>
      </c>
      <c r="F446" s="6" t="s">
        <v>2383</v>
      </c>
      <c r="G446" s="18">
        <v>23</v>
      </c>
      <c r="H446">
        <v>55</v>
      </c>
      <c r="I446">
        <v>36</v>
      </c>
      <c r="J446" s="7" t="s">
        <v>2384</v>
      </c>
      <c r="K446" s="7" t="s">
        <v>2385</v>
      </c>
      <c r="L446" s="7" t="s">
        <v>2386</v>
      </c>
      <c r="M446" s="7"/>
      <c r="N446" s="7"/>
      <c r="O446" s="7" t="s">
        <v>90</v>
      </c>
      <c r="P446" s="7"/>
      <c r="Q446" s="7" t="s">
        <v>93</v>
      </c>
      <c r="R446" s="7"/>
      <c r="S446" s="8"/>
      <c r="T446" s="8"/>
      <c r="U446" s="9" t="str">
        <f>IF(COUNTIFS(Contacts_Activation!D:D,D446,Contacts_Activation!N:N,"oui")&gt;0,"oui","non")</f>
        <v>oui</v>
      </c>
      <c r="V446" s="9" t="str">
        <f>IF(COUNTIFS(Travaux!C:C,D446,Travaux!X:X,"en_cours")&gt;0,"travaux_en_cours",IF(COUNTIFS(Ventes!C:C,D446,Ventes!L:L,"signature")&gt;0,"vente_signature",IF(COUNTIFS(Ventes!C:C,D446,Ventes!AD:AD,"oui")&gt;0,"vente_bloquee",IF(COUNTIFS(Gestion_Locative!C:C,D446,Gestion_Locative!O:O,"incomplet")&gt;0,"gestion_fragile","stable"))))</f>
        <v>vente_bloquee</v>
      </c>
    </row>
    <row r="447" spans="1:22" ht="14.4" hidden="1" x14ac:dyDescent="0.3">
      <c r="A447" s="6" t="s">
        <v>292</v>
      </c>
      <c r="B447" s="1" t="s">
        <v>4521</v>
      </c>
      <c r="C447" s="6" t="s">
        <v>2295</v>
      </c>
      <c r="D447" s="6" t="s">
        <v>2387</v>
      </c>
      <c r="E447" s="6" t="s">
        <v>2297</v>
      </c>
      <c r="F447" s="6" t="s">
        <v>2388</v>
      </c>
      <c r="G447" s="18">
        <v>23</v>
      </c>
      <c r="H447">
        <v>55</v>
      </c>
      <c r="I447">
        <v>36</v>
      </c>
      <c r="J447" s="7" t="s">
        <v>2389</v>
      </c>
      <c r="K447" s="7" t="s">
        <v>2390</v>
      </c>
      <c r="L447" s="7" t="s">
        <v>2391</v>
      </c>
      <c r="M447" s="7"/>
      <c r="N447" s="7"/>
      <c r="O447" s="7" t="s">
        <v>90</v>
      </c>
      <c r="P447" s="7"/>
      <c r="Q447" s="7" t="s">
        <v>93</v>
      </c>
      <c r="R447" s="7"/>
      <c r="S447" s="8"/>
      <c r="T447" s="8"/>
      <c r="U447" s="9" t="str">
        <f>IF(COUNTIFS(Contacts_Activation!D:D,D447,Contacts_Activation!N:N,"oui")&gt;0,"oui","non")</f>
        <v>oui</v>
      </c>
      <c r="V447" s="9" t="str">
        <f>IF(COUNTIFS(Travaux!C:C,D447,Travaux!X:X,"en_cours")&gt;0,"travaux_en_cours",IF(COUNTIFS(Ventes!C:C,D447,Ventes!L:L,"signature")&gt;0,"vente_signature",IF(COUNTIFS(Ventes!C:C,D447,Ventes!AD:AD,"oui")&gt;0,"vente_bloquee",IF(COUNTIFS(Gestion_Locative!C:C,D447,Gestion_Locative!O:O,"incomplet")&gt;0,"gestion_fragile","stable"))))</f>
        <v>vente_bloquee</v>
      </c>
    </row>
    <row r="448" spans="1:22" ht="14.4" hidden="1" x14ac:dyDescent="0.3">
      <c r="A448" s="6" t="s">
        <v>292</v>
      </c>
      <c r="B448" s="1" t="s">
        <v>4521</v>
      </c>
      <c r="C448" s="6" t="s">
        <v>2295</v>
      </c>
      <c r="D448" s="6" t="s">
        <v>2392</v>
      </c>
      <c r="E448" s="6" t="s">
        <v>2297</v>
      </c>
      <c r="F448" s="6" t="s">
        <v>2393</v>
      </c>
      <c r="G448" s="18">
        <v>23</v>
      </c>
      <c r="H448">
        <v>55</v>
      </c>
      <c r="I448">
        <v>36</v>
      </c>
      <c r="J448" s="7" t="s">
        <v>1562</v>
      </c>
      <c r="K448" s="7" t="s">
        <v>241</v>
      </c>
      <c r="L448" s="7"/>
      <c r="M448" s="7"/>
      <c r="N448" s="7"/>
      <c r="O448" s="7" t="s">
        <v>90</v>
      </c>
      <c r="P448" s="7"/>
      <c r="Q448" s="7" t="s">
        <v>93</v>
      </c>
      <c r="R448" s="7"/>
      <c r="S448" s="8"/>
      <c r="T448" s="8"/>
      <c r="U448" s="9" t="str">
        <f>IF(COUNTIFS(Contacts_Activation!D:D,D448,Contacts_Activation!N:N,"oui")&gt;0,"oui","non")</f>
        <v>oui</v>
      </c>
      <c r="V448" s="9" t="str">
        <f>IF(COUNTIFS(Travaux!C:C,D448,Travaux!X:X,"en_cours")&gt;0,"travaux_en_cours",IF(COUNTIFS(Ventes!C:C,D448,Ventes!L:L,"signature")&gt;0,"vente_signature",IF(COUNTIFS(Ventes!C:C,D448,Ventes!AD:AD,"oui")&gt;0,"vente_bloquee",IF(COUNTIFS(Gestion_Locative!C:C,D448,Gestion_Locative!O:O,"incomplet")&gt;0,"gestion_fragile","stable"))))</f>
        <v>vente_bloquee</v>
      </c>
    </row>
    <row r="449" spans="1:22" ht="14.4" hidden="1" x14ac:dyDescent="0.3">
      <c r="A449" s="6" t="s">
        <v>292</v>
      </c>
      <c r="B449" s="1" t="s">
        <v>4521</v>
      </c>
      <c r="C449" s="6" t="s">
        <v>2394</v>
      </c>
      <c r="D449" s="6" t="s">
        <v>2395</v>
      </c>
      <c r="E449" s="6" t="s">
        <v>2396</v>
      </c>
      <c r="F449" s="6" t="s">
        <v>2397</v>
      </c>
      <c r="G449" s="18">
        <v>15</v>
      </c>
      <c r="H449">
        <v>57</v>
      </c>
      <c r="I449">
        <v>38</v>
      </c>
      <c r="J449" s="7" t="s">
        <v>2398</v>
      </c>
      <c r="K449" s="7" t="s">
        <v>2399</v>
      </c>
      <c r="L449" s="7" t="s">
        <v>2400</v>
      </c>
      <c r="M449" s="7"/>
      <c r="N449" s="7"/>
      <c r="O449" s="7" t="s">
        <v>90</v>
      </c>
      <c r="P449" s="7"/>
      <c r="Q449" s="7" t="s">
        <v>93</v>
      </c>
      <c r="R449" s="7"/>
      <c r="S449" s="8"/>
      <c r="T449" s="8"/>
      <c r="U449" s="9" t="str">
        <f>IF(COUNTIFS(Contacts_Activation!D:D,D449,Contacts_Activation!N:N,"oui")&gt;0,"oui","non")</f>
        <v>oui</v>
      </c>
      <c r="V449" s="9" t="str">
        <f>IF(COUNTIFS(Travaux!C:C,D449,Travaux!X:X,"en_cours")&gt;0,"travaux_en_cours",IF(COUNTIFS(Ventes!C:C,D449,Ventes!L:L,"signature")&gt;0,"vente_signature",IF(COUNTIFS(Ventes!C:C,D449,Ventes!AD:AD,"oui")&gt;0,"vente_bloquee",IF(COUNTIFS(Gestion_Locative!C:C,D449,Gestion_Locative!O:O,"incomplet")&gt;0,"gestion_fragile","stable"))))</f>
        <v>vente_bloquee</v>
      </c>
    </row>
    <row r="450" spans="1:22" ht="14.4" hidden="1" x14ac:dyDescent="0.3">
      <c r="A450" s="6" t="s">
        <v>292</v>
      </c>
      <c r="B450" s="1" t="s">
        <v>4521</v>
      </c>
      <c r="C450" s="6" t="s">
        <v>2394</v>
      </c>
      <c r="D450" s="6" t="s">
        <v>2401</v>
      </c>
      <c r="E450" s="6" t="s">
        <v>2396</v>
      </c>
      <c r="F450" s="6" t="s">
        <v>2402</v>
      </c>
      <c r="G450" s="18">
        <v>15</v>
      </c>
      <c r="H450">
        <v>57</v>
      </c>
      <c r="I450">
        <v>38</v>
      </c>
      <c r="J450" s="7" t="s">
        <v>2403</v>
      </c>
      <c r="K450" s="7" t="s">
        <v>2404</v>
      </c>
      <c r="L450" s="7" t="s">
        <v>2405</v>
      </c>
      <c r="M450" s="7" t="s">
        <v>2406</v>
      </c>
      <c r="N450" s="7"/>
      <c r="O450" s="7" t="s">
        <v>90</v>
      </c>
      <c r="P450" s="7"/>
      <c r="Q450" s="7" t="s">
        <v>93</v>
      </c>
      <c r="R450" s="7"/>
      <c r="S450" s="8"/>
      <c r="T450" s="8"/>
      <c r="U450" s="9" t="str">
        <f>IF(COUNTIFS(Contacts_Activation!D:D,D450,Contacts_Activation!N:N,"oui")&gt;0,"oui","non")</f>
        <v>oui</v>
      </c>
      <c r="V450" s="9" t="str">
        <f>IF(COUNTIFS(Travaux!C:C,D450,Travaux!X:X,"en_cours")&gt;0,"travaux_en_cours",IF(COUNTIFS(Ventes!C:C,D450,Ventes!L:L,"signature")&gt;0,"vente_signature",IF(COUNTIFS(Ventes!C:C,D450,Ventes!AD:AD,"oui")&gt;0,"vente_bloquee",IF(COUNTIFS(Gestion_Locative!C:C,D450,Gestion_Locative!O:O,"incomplet")&gt;0,"gestion_fragile","stable"))))</f>
        <v>vente_bloquee</v>
      </c>
    </row>
    <row r="451" spans="1:22" ht="14.4" hidden="1" x14ac:dyDescent="0.3">
      <c r="A451" s="6" t="s">
        <v>292</v>
      </c>
      <c r="B451" s="1" t="s">
        <v>4521</v>
      </c>
      <c r="C451" s="6" t="s">
        <v>2394</v>
      </c>
      <c r="D451" s="6" t="s">
        <v>2407</v>
      </c>
      <c r="E451" s="6" t="s">
        <v>2396</v>
      </c>
      <c r="F451" s="6" t="s">
        <v>2408</v>
      </c>
      <c r="G451" s="18">
        <v>15</v>
      </c>
      <c r="H451">
        <v>57</v>
      </c>
      <c r="I451">
        <v>38</v>
      </c>
      <c r="J451" s="7" t="s">
        <v>2409</v>
      </c>
      <c r="K451" s="7" t="s">
        <v>759</v>
      </c>
      <c r="L451" s="7" t="s">
        <v>2410</v>
      </c>
      <c r="M451" s="7"/>
      <c r="N451" s="7"/>
      <c r="O451" s="7" t="s">
        <v>90</v>
      </c>
      <c r="P451" s="7"/>
      <c r="Q451" s="7" t="s">
        <v>93</v>
      </c>
      <c r="R451" s="7"/>
      <c r="S451" s="8"/>
      <c r="T451" s="8"/>
      <c r="U451" s="9" t="str">
        <f>IF(COUNTIFS(Contacts_Activation!D:D,D451,Contacts_Activation!N:N,"oui")&gt;0,"oui","non")</f>
        <v>oui</v>
      </c>
      <c r="V451" s="9" t="str">
        <f>IF(COUNTIFS(Travaux!C:C,D451,Travaux!X:X,"en_cours")&gt;0,"travaux_en_cours",IF(COUNTIFS(Ventes!C:C,D451,Ventes!L:L,"signature")&gt;0,"vente_signature",IF(COUNTIFS(Ventes!C:C,D451,Ventes!AD:AD,"oui")&gt;0,"vente_bloquee",IF(COUNTIFS(Gestion_Locative!C:C,D451,Gestion_Locative!O:O,"incomplet")&gt;0,"gestion_fragile","stable"))))</f>
        <v>vente_bloquee</v>
      </c>
    </row>
    <row r="452" spans="1:22" ht="14.4" hidden="1" x14ac:dyDescent="0.3">
      <c r="A452" s="6" t="s">
        <v>292</v>
      </c>
      <c r="B452" s="1" t="s">
        <v>4521</v>
      </c>
      <c r="C452" s="6" t="s">
        <v>2394</v>
      </c>
      <c r="D452" s="6" t="s">
        <v>2411</v>
      </c>
      <c r="E452" s="6" t="s">
        <v>2396</v>
      </c>
      <c r="F452" s="6" t="s">
        <v>2412</v>
      </c>
      <c r="G452" s="18">
        <v>15</v>
      </c>
      <c r="H452">
        <v>57</v>
      </c>
      <c r="I452">
        <v>38</v>
      </c>
      <c r="J452" s="7" t="s">
        <v>2413</v>
      </c>
      <c r="K452" s="7" t="s">
        <v>2414</v>
      </c>
      <c r="L452" s="7" t="s">
        <v>2415</v>
      </c>
      <c r="M452" s="7"/>
      <c r="N452" s="7"/>
      <c r="O452" s="7" t="s">
        <v>90</v>
      </c>
      <c r="P452" s="7"/>
      <c r="Q452" s="7" t="s">
        <v>93</v>
      </c>
      <c r="R452" s="7"/>
      <c r="S452" s="8"/>
      <c r="T452" s="8"/>
      <c r="U452" s="9" t="str">
        <f>IF(COUNTIFS(Contacts_Activation!D:D,D452,Contacts_Activation!N:N,"oui")&gt;0,"oui","non")</f>
        <v>oui</v>
      </c>
      <c r="V452" s="9" t="str">
        <f>IF(COUNTIFS(Travaux!C:C,D452,Travaux!X:X,"en_cours")&gt;0,"travaux_en_cours",IF(COUNTIFS(Ventes!C:C,D452,Ventes!L:L,"signature")&gt;0,"vente_signature",IF(COUNTIFS(Ventes!C:C,D452,Ventes!AD:AD,"oui")&gt;0,"vente_bloquee",IF(COUNTIFS(Gestion_Locative!C:C,D452,Gestion_Locative!O:O,"incomplet")&gt;0,"gestion_fragile","stable"))))</f>
        <v>vente_bloquee</v>
      </c>
    </row>
    <row r="453" spans="1:22" ht="14.4" hidden="1" x14ac:dyDescent="0.3">
      <c r="A453" s="6" t="s">
        <v>292</v>
      </c>
      <c r="B453" s="1" t="s">
        <v>4521</v>
      </c>
      <c r="C453" s="6" t="s">
        <v>2394</v>
      </c>
      <c r="D453" s="6" t="s">
        <v>2416</v>
      </c>
      <c r="E453" s="6" t="s">
        <v>2396</v>
      </c>
      <c r="F453" s="6" t="s">
        <v>2417</v>
      </c>
      <c r="G453" s="18">
        <v>15</v>
      </c>
      <c r="H453">
        <v>57</v>
      </c>
      <c r="I453">
        <v>38</v>
      </c>
      <c r="J453" s="7" t="s">
        <v>1016</v>
      </c>
      <c r="K453" s="7" t="s">
        <v>1620</v>
      </c>
      <c r="L453" s="7" t="s">
        <v>2418</v>
      </c>
      <c r="M453" s="7"/>
      <c r="N453" s="7"/>
      <c r="O453" s="7" t="s">
        <v>90</v>
      </c>
      <c r="P453" s="7"/>
      <c r="Q453" s="7" t="s">
        <v>93</v>
      </c>
      <c r="R453" s="7"/>
      <c r="S453" s="8"/>
      <c r="T453" s="8"/>
      <c r="U453" s="9" t="str">
        <f>IF(COUNTIFS(Contacts_Activation!D:D,D453,Contacts_Activation!N:N,"oui")&gt;0,"oui","non")</f>
        <v>oui</v>
      </c>
      <c r="V453" s="9" t="str">
        <f>IF(COUNTIFS(Travaux!C:C,D453,Travaux!X:X,"en_cours")&gt;0,"travaux_en_cours",IF(COUNTIFS(Ventes!C:C,D453,Ventes!L:L,"signature")&gt;0,"vente_signature",IF(COUNTIFS(Ventes!C:C,D453,Ventes!AD:AD,"oui")&gt;0,"vente_bloquee",IF(COUNTIFS(Gestion_Locative!C:C,D453,Gestion_Locative!O:O,"incomplet")&gt;0,"gestion_fragile","stable"))))</f>
        <v>vente_bloquee</v>
      </c>
    </row>
    <row r="454" spans="1:22" ht="14.4" hidden="1" x14ac:dyDescent="0.3">
      <c r="A454" s="6" t="s">
        <v>292</v>
      </c>
      <c r="B454" s="1" t="s">
        <v>4521</v>
      </c>
      <c r="C454" s="6" t="s">
        <v>2394</v>
      </c>
      <c r="D454" s="6" t="s">
        <v>2419</v>
      </c>
      <c r="E454" s="6" t="s">
        <v>2396</v>
      </c>
      <c r="F454" s="6" t="s">
        <v>2420</v>
      </c>
      <c r="G454" s="18">
        <v>15</v>
      </c>
      <c r="H454">
        <v>57</v>
      </c>
      <c r="I454">
        <v>38</v>
      </c>
      <c r="J454" s="7" t="s">
        <v>444</v>
      </c>
      <c r="K454" s="7" t="s">
        <v>2421</v>
      </c>
      <c r="L454" s="7"/>
      <c r="M454" s="7"/>
      <c r="N454" s="7"/>
      <c r="O454" s="7" t="s">
        <v>90</v>
      </c>
      <c r="P454" s="7"/>
      <c r="Q454" s="7" t="s">
        <v>93</v>
      </c>
      <c r="R454" s="7"/>
      <c r="S454" s="8"/>
      <c r="T454" s="8"/>
      <c r="U454" s="9" t="str">
        <f>IF(COUNTIFS(Contacts_Activation!D:D,D454,Contacts_Activation!N:N,"oui")&gt;0,"oui","non")</f>
        <v>oui</v>
      </c>
      <c r="V454" s="9" t="str">
        <f>IF(COUNTIFS(Travaux!C:C,D454,Travaux!X:X,"en_cours")&gt;0,"travaux_en_cours",IF(COUNTIFS(Ventes!C:C,D454,Ventes!L:L,"signature")&gt;0,"vente_signature",IF(COUNTIFS(Ventes!C:C,D454,Ventes!AD:AD,"oui")&gt;0,"vente_bloquee",IF(COUNTIFS(Gestion_Locative!C:C,D454,Gestion_Locative!O:O,"incomplet")&gt;0,"gestion_fragile","stable"))))</f>
        <v>vente_bloquee</v>
      </c>
    </row>
    <row r="455" spans="1:22" ht="14.4" hidden="1" x14ac:dyDescent="0.3">
      <c r="A455" s="6" t="s">
        <v>292</v>
      </c>
      <c r="B455" s="1" t="s">
        <v>4521</v>
      </c>
      <c r="C455" s="6" t="s">
        <v>2394</v>
      </c>
      <c r="D455" s="6" t="s">
        <v>2422</v>
      </c>
      <c r="E455" s="6" t="s">
        <v>2396</v>
      </c>
      <c r="F455" s="6" t="s">
        <v>2423</v>
      </c>
      <c r="G455" s="18">
        <v>15</v>
      </c>
      <c r="H455">
        <v>57</v>
      </c>
      <c r="I455">
        <v>38</v>
      </c>
      <c r="J455" s="7" t="s">
        <v>2424</v>
      </c>
      <c r="K455" s="7" t="s">
        <v>994</v>
      </c>
      <c r="L455" s="7" t="s">
        <v>2425</v>
      </c>
      <c r="M455" s="7"/>
      <c r="N455" s="7"/>
      <c r="O455" s="7" t="s">
        <v>90</v>
      </c>
      <c r="P455" s="7"/>
      <c r="Q455" s="7" t="s">
        <v>93</v>
      </c>
      <c r="R455" s="7"/>
      <c r="S455" s="8"/>
      <c r="T455" s="8"/>
      <c r="U455" s="9" t="str">
        <f>IF(COUNTIFS(Contacts_Activation!D:D,D455,Contacts_Activation!N:N,"oui")&gt;0,"oui","non")</f>
        <v>oui</v>
      </c>
      <c r="V455" s="9" t="str">
        <f>IF(COUNTIFS(Travaux!C:C,D455,Travaux!X:X,"en_cours")&gt;0,"travaux_en_cours",IF(COUNTIFS(Ventes!C:C,D455,Ventes!L:L,"signature")&gt;0,"vente_signature",IF(COUNTIFS(Ventes!C:C,D455,Ventes!AD:AD,"oui")&gt;0,"vente_bloquee",IF(COUNTIFS(Gestion_Locative!C:C,D455,Gestion_Locative!O:O,"incomplet")&gt;0,"gestion_fragile","stable"))))</f>
        <v>vente_bloquee</v>
      </c>
    </row>
    <row r="456" spans="1:22" ht="14.4" hidden="1" x14ac:dyDescent="0.3">
      <c r="A456" s="6" t="s">
        <v>292</v>
      </c>
      <c r="B456" s="1" t="s">
        <v>4521</v>
      </c>
      <c r="C456" s="6" t="s">
        <v>2394</v>
      </c>
      <c r="D456" s="6" t="s">
        <v>2426</v>
      </c>
      <c r="E456" s="6" t="s">
        <v>2396</v>
      </c>
      <c r="F456" s="6" t="s">
        <v>2427</v>
      </c>
      <c r="G456" s="18">
        <v>15</v>
      </c>
      <c r="H456">
        <v>57</v>
      </c>
      <c r="I456">
        <v>38</v>
      </c>
      <c r="J456" s="7" t="s">
        <v>630</v>
      </c>
      <c r="K456" s="7" t="s">
        <v>2428</v>
      </c>
      <c r="L456" s="7" t="s">
        <v>2429</v>
      </c>
      <c r="M456" s="7"/>
      <c r="N456" s="7"/>
      <c r="O456" s="7" t="s">
        <v>90</v>
      </c>
      <c r="P456" s="7"/>
      <c r="Q456" s="7" t="s">
        <v>93</v>
      </c>
      <c r="R456" s="7"/>
      <c r="S456" s="8"/>
      <c r="T456" s="8"/>
      <c r="U456" s="9" t="str">
        <f>IF(COUNTIFS(Contacts_Activation!D:D,D456,Contacts_Activation!N:N,"oui")&gt;0,"oui","non")</f>
        <v>oui</v>
      </c>
      <c r="V456" s="9" t="str">
        <f>IF(COUNTIFS(Travaux!C:C,D456,Travaux!X:X,"en_cours")&gt;0,"travaux_en_cours",IF(COUNTIFS(Ventes!C:C,D456,Ventes!L:L,"signature")&gt;0,"vente_signature",IF(COUNTIFS(Ventes!C:C,D456,Ventes!AD:AD,"oui")&gt;0,"vente_bloquee",IF(COUNTIFS(Gestion_Locative!C:C,D456,Gestion_Locative!O:O,"incomplet")&gt;0,"gestion_fragile","stable"))))</f>
        <v>vente_bloquee</v>
      </c>
    </row>
    <row r="457" spans="1:22" ht="14.4" hidden="1" x14ac:dyDescent="0.3">
      <c r="A457" s="6" t="s">
        <v>292</v>
      </c>
      <c r="B457" s="1" t="s">
        <v>4521</v>
      </c>
      <c r="C457" s="6" t="s">
        <v>2394</v>
      </c>
      <c r="D457" s="6" t="s">
        <v>2430</v>
      </c>
      <c r="E457" s="6" t="s">
        <v>2396</v>
      </c>
      <c r="F457" s="6" t="s">
        <v>2431</v>
      </c>
      <c r="G457" s="18">
        <v>15</v>
      </c>
      <c r="H457">
        <v>57</v>
      </c>
      <c r="I457">
        <v>38</v>
      </c>
      <c r="J457" s="7" t="s">
        <v>789</v>
      </c>
      <c r="K457" s="7" t="s">
        <v>226</v>
      </c>
      <c r="L457" s="7" t="s">
        <v>2432</v>
      </c>
      <c r="M457" s="7"/>
      <c r="N457" s="7"/>
      <c r="O457" s="7" t="s">
        <v>90</v>
      </c>
      <c r="P457" s="7"/>
      <c r="Q457" s="7" t="s">
        <v>93</v>
      </c>
      <c r="R457" s="7"/>
      <c r="S457" s="8"/>
      <c r="T457" s="8"/>
      <c r="U457" s="9" t="str">
        <f>IF(COUNTIFS(Contacts_Activation!D:D,D457,Contacts_Activation!N:N,"oui")&gt;0,"oui","non")</f>
        <v>oui</v>
      </c>
      <c r="V457" s="9" t="str">
        <f>IF(COUNTIFS(Travaux!C:C,D457,Travaux!X:X,"en_cours")&gt;0,"travaux_en_cours",IF(COUNTIFS(Ventes!C:C,D457,Ventes!L:L,"signature")&gt;0,"vente_signature",IF(COUNTIFS(Ventes!C:C,D457,Ventes!AD:AD,"oui")&gt;0,"vente_bloquee",IF(COUNTIFS(Gestion_Locative!C:C,D457,Gestion_Locative!O:O,"incomplet")&gt;0,"gestion_fragile","stable"))))</f>
        <v>vente_bloquee</v>
      </c>
    </row>
    <row r="458" spans="1:22" ht="14.4" hidden="1" x14ac:dyDescent="0.3">
      <c r="A458" s="6" t="s">
        <v>292</v>
      </c>
      <c r="B458" s="1" t="s">
        <v>4521</v>
      </c>
      <c r="C458" s="6" t="s">
        <v>2394</v>
      </c>
      <c r="D458" s="6" t="s">
        <v>2433</v>
      </c>
      <c r="E458" s="6" t="s">
        <v>2396</v>
      </c>
      <c r="F458" s="6" t="s">
        <v>2434</v>
      </c>
      <c r="G458" s="18">
        <v>15</v>
      </c>
      <c r="H458">
        <v>57</v>
      </c>
      <c r="I458">
        <v>38</v>
      </c>
      <c r="J458" s="7" t="s">
        <v>2435</v>
      </c>
      <c r="K458" s="7" t="s">
        <v>2436</v>
      </c>
      <c r="L458" s="7" t="s">
        <v>2437</v>
      </c>
      <c r="M458" s="7" t="s">
        <v>2438</v>
      </c>
      <c r="N458" s="7"/>
      <c r="O458" s="7" t="s">
        <v>90</v>
      </c>
      <c r="P458" s="7"/>
      <c r="Q458" s="7" t="s">
        <v>93</v>
      </c>
      <c r="R458" s="7"/>
      <c r="S458" s="8"/>
      <c r="T458" s="8"/>
      <c r="U458" s="9" t="str">
        <f>IF(COUNTIFS(Contacts_Activation!D:D,D458,Contacts_Activation!N:N,"oui")&gt;0,"oui","non")</f>
        <v>oui</v>
      </c>
      <c r="V458" s="9" t="str">
        <f>IF(COUNTIFS(Travaux!C:C,D458,Travaux!X:X,"en_cours")&gt;0,"travaux_en_cours",IF(COUNTIFS(Ventes!C:C,D458,Ventes!L:L,"signature")&gt;0,"vente_signature",IF(COUNTIFS(Ventes!C:C,D458,Ventes!AD:AD,"oui")&gt;0,"vente_bloquee",IF(COUNTIFS(Gestion_Locative!C:C,D458,Gestion_Locative!O:O,"incomplet")&gt;0,"gestion_fragile","stable"))))</f>
        <v>vente_bloquee</v>
      </c>
    </row>
    <row r="459" spans="1:22" ht="14.4" hidden="1" x14ac:dyDescent="0.3">
      <c r="A459" s="6" t="s">
        <v>292</v>
      </c>
      <c r="B459" s="1" t="s">
        <v>4521</v>
      </c>
      <c r="C459" s="6" t="s">
        <v>2394</v>
      </c>
      <c r="D459" s="6" t="s">
        <v>2439</v>
      </c>
      <c r="E459" s="6" t="s">
        <v>2396</v>
      </c>
      <c r="F459" s="6" t="s">
        <v>2440</v>
      </c>
      <c r="G459" s="18">
        <v>15</v>
      </c>
      <c r="H459">
        <v>57</v>
      </c>
      <c r="I459">
        <v>38</v>
      </c>
      <c r="J459" s="7" t="s">
        <v>2435</v>
      </c>
      <c r="K459" s="7" t="s">
        <v>2441</v>
      </c>
      <c r="L459" s="7" t="s">
        <v>2442</v>
      </c>
      <c r="M459" s="7" t="s">
        <v>2443</v>
      </c>
      <c r="N459" s="7"/>
      <c r="O459" s="7" t="s">
        <v>90</v>
      </c>
      <c r="P459" s="7"/>
      <c r="Q459" s="7" t="s">
        <v>93</v>
      </c>
      <c r="R459" s="7"/>
      <c r="S459" s="8"/>
      <c r="T459" s="8"/>
      <c r="U459" s="9" t="str">
        <f>IF(COUNTIFS(Contacts_Activation!D:D,D459,Contacts_Activation!N:N,"oui")&gt;0,"oui","non")</f>
        <v>oui</v>
      </c>
      <c r="V459" s="9" t="str">
        <f>IF(COUNTIFS(Travaux!C:C,D459,Travaux!X:X,"en_cours")&gt;0,"travaux_en_cours",IF(COUNTIFS(Ventes!C:C,D459,Ventes!L:L,"signature")&gt;0,"vente_signature",IF(COUNTIFS(Ventes!C:C,D459,Ventes!AD:AD,"oui")&gt;0,"vente_bloquee",IF(COUNTIFS(Gestion_Locative!C:C,D459,Gestion_Locative!O:O,"incomplet")&gt;0,"gestion_fragile","stable"))))</f>
        <v>vente_bloquee</v>
      </c>
    </row>
    <row r="460" spans="1:22" ht="14.4" hidden="1" x14ac:dyDescent="0.3">
      <c r="A460" s="6" t="s">
        <v>292</v>
      </c>
      <c r="B460" s="1" t="s">
        <v>4521</v>
      </c>
      <c r="C460" s="6" t="s">
        <v>2394</v>
      </c>
      <c r="D460" s="6" t="s">
        <v>2444</v>
      </c>
      <c r="E460" s="6" t="s">
        <v>2396</v>
      </c>
      <c r="F460" s="6" t="s">
        <v>2445</v>
      </c>
      <c r="G460" s="18">
        <v>15</v>
      </c>
      <c r="H460">
        <v>57</v>
      </c>
      <c r="I460">
        <v>38</v>
      </c>
      <c r="J460" s="7" t="s">
        <v>720</v>
      </c>
      <c r="K460" s="7" t="s">
        <v>2446</v>
      </c>
      <c r="L460" s="7" t="s">
        <v>2447</v>
      </c>
      <c r="M460" s="7"/>
      <c r="N460" s="7"/>
      <c r="O460" s="7" t="s">
        <v>90</v>
      </c>
      <c r="P460" s="7"/>
      <c r="Q460" s="7" t="s">
        <v>93</v>
      </c>
      <c r="R460" s="7"/>
      <c r="S460" s="8"/>
      <c r="T460" s="8"/>
      <c r="U460" s="9" t="str">
        <f>IF(COUNTIFS(Contacts_Activation!D:D,D460,Contacts_Activation!N:N,"oui")&gt;0,"oui","non")</f>
        <v>oui</v>
      </c>
      <c r="V460" s="9" t="str">
        <f>IF(COUNTIFS(Travaux!C:C,D460,Travaux!X:X,"en_cours")&gt;0,"travaux_en_cours",IF(COUNTIFS(Ventes!C:C,D460,Ventes!L:L,"signature")&gt;0,"vente_signature",IF(COUNTIFS(Ventes!C:C,D460,Ventes!AD:AD,"oui")&gt;0,"vente_bloquee",IF(COUNTIFS(Gestion_Locative!C:C,D460,Gestion_Locative!O:O,"incomplet")&gt;0,"gestion_fragile","stable"))))</f>
        <v>vente_bloquee</v>
      </c>
    </row>
    <row r="461" spans="1:22" ht="14.4" hidden="1" x14ac:dyDescent="0.3">
      <c r="A461" s="6" t="s">
        <v>292</v>
      </c>
      <c r="B461" s="1" t="s">
        <v>4521</v>
      </c>
      <c r="C461" s="6" t="s">
        <v>2394</v>
      </c>
      <c r="D461" s="6" t="s">
        <v>2448</v>
      </c>
      <c r="E461" s="6" t="s">
        <v>2396</v>
      </c>
      <c r="F461" s="6" t="s">
        <v>2449</v>
      </c>
      <c r="G461" s="18">
        <v>15</v>
      </c>
      <c r="H461">
        <v>57</v>
      </c>
      <c r="I461">
        <v>38</v>
      </c>
      <c r="J461" s="7" t="s">
        <v>2450</v>
      </c>
      <c r="K461" s="7" t="s">
        <v>259</v>
      </c>
      <c r="L461" s="7" t="s">
        <v>2451</v>
      </c>
      <c r="M461" s="7"/>
      <c r="N461" s="7"/>
      <c r="O461" s="7" t="s">
        <v>90</v>
      </c>
      <c r="P461" s="7"/>
      <c r="Q461" s="7" t="s">
        <v>93</v>
      </c>
      <c r="R461" s="7"/>
      <c r="S461" s="8"/>
      <c r="T461" s="8"/>
      <c r="U461" s="9" t="str">
        <f>IF(COUNTIFS(Contacts_Activation!D:D,D461,Contacts_Activation!N:N,"oui")&gt;0,"oui","non")</f>
        <v>oui</v>
      </c>
      <c r="V461" s="9" t="str">
        <f>IF(COUNTIFS(Travaux!C:C,D461,Travaux!X:X,"en_cours")&gt;0,"travaux_en_cours",IF(COUNTIFS(Ventes!C:C,D461,Ventes!L:L,"signature")&gt;0,"vente_signature",IF(COUNTIFS(Ventes!C:C,D461,Ventes!AD:AD,"oui")&gt;0,"vente_bloquee",IF(COUNTIFS(Gestion_Locative!C:C,D461,Gestion_Locative!O:O,"incomplet")&gt;0,"gestion_fragile","stable"))))</f>
        <v>vente_bloquee</v>
      </c>
    </row>
    <row r="462" spans="1:22" ht="14.4" hidden="1" x14ac:dyDescent="0.3">
      <c r="A462" s="6" t="s">
        <v>292</v>
      </c>
      <c r="B462" s="1" t="s">
        <v>4521</v>
      </c>
      <c r="C462" s="6" t="s">
        <v>2394</v>
      </c>
      <c r="D462" s="6" t="s">
        <v>2452</v>
      </c>
      <c r="E462" s="6" t="s">
        <v>2396</v>
      </c>
      <c r="F462" s="6" t="s">
        <v>2453</v>
      </c>
      <c r="G462" s="18">
        <v>15</v>
      </c>
      <c r="H462">
        <v>57</v>
      </c>
      <c r="I462">
        <v>38</v>
      </c>
      <c r="J462" s="7" t="s">
        <v>1121</v>
      </c>
      <c r="K462" s="7" t="s">
        <v>2454</v>
      </c>
      <c r="L462" s="7" t="s">
        <v>2455</v>
      </c>
      <c r="M462" s="7" t="s">
        <v>2456</v>
      </c>
      <c r="N462" s="7"/>
      <c r="O462" s="7" t="s">
        <v>90</v>
      </c>
      <c r="P462" s="7"/>
      <c r="Q462" s="7" t="s">
        <v>93</v>
      </c>
      <c r="R462" s="7"/>
      <c r="S462" s="8"/>
      <c r="T462" s="8"/>
      <c r="U462" s="9" t="str">
        <f>IF(COUNTIFS(Contacts_Activation!D:D,D462,Contacts_Activation!N:N,"oui")&gt;0,"oui","non")</f>
        <v>oui</v>
      </c>
      <c r="V462" s="9" t="str">
        <f>IF(COUNTIFS(Travaux!C:C,D462,Travaux!X:X,"en_cours")&gt;0,"travaux_en_cours",IF(COUNTIFS(Ventes!C:C,D462,Ventes!L:L,"signature")&gt;0,"vente_signature",IF(COUNTIFS(Ventes!C:C,D462,Ventes!AD:AD,"oui")&gt;0,"vente_bloquee",IF(COUNTIFS(Gestion_Locative!C:C,D462,Gestion_Locative!O:O,"incomplet")&gt;0,"gestion_fragile","stable"))))</f>
        <v>vente_bloquee</v>
      </c>
    </row>
    <row r="463" spans="1:22" ht="14.4" hidden="1" x14ac:dyDescent="0.3">
      <c r="A463" s="6" t="s">
        <v>292</v>
      </c>
      <c r="B463" s="1" t="s">
        <v>4521</v>
      </c>
      <c r="C463" s="6" t="s">
        <v>2394</v>
      </c>
      <c r="D463" s="6" t="s">
        <v>2457</v>
      </c>
      <c r="E463" s="6" t="s">
        <v>2396</v>
      </c>
      <c r="F463" s="6" t="s">
        <v>2458</v>
      </c>
      <c r="G463" s="18">
        <v>15</v>
      </c>
      <c r="H463">
        <v>57</v>
      </c>
      <c r="I463">
        <v>38</v>
      </c>
      <c r="J463" s="7" t="s">
        <v>2459</v>
      </c>
      <c r="K463" s="7" t="s">
        <v>1037</v>
      </c>
      <c r="L463" s="7" t="s">
        <v>2460</v>
      </c>
      <c r="M463" s="7"/>
      <c r="N463" s="7"/>
      <c r="O463" s="7" t="s">
        <v>90</v>
      </c>
      <c r="P463" s="7"/>
      <c r="Q463" s="7" t="s">
        <v>93</v>
      </c>
      <c r="R463" s="7"/>
      <c r="S463" s="8"/>
      <c r="T463" s="8"/>
      <c r="U463" s="9" t="str">
        <f>IF(COUNTIFS(Contacts_Activation!D:D,D463,Contacts_Activation!N:N,"oui")&gt;0,"oui","non")</f>
        <v>oui</v>
      </c>
      <c r="V463" s="9" t="str">
        <f>IF(COUNTIFS(Travaux!C:C,D463,Travaux!X:X,"en_cours")&gt;0,"travaux_en_cours",IF(COUNTIFS(Ventes!C:C,D463,Ventes!L:L,"signature")&gt;0,"vente_signature",IF(COUNTIFS(Ventes!C:C,D463,Ventes!AD:AD,"oui")&gt;0,"vente_bloquee",IF(COUNTIFS(Gestion_Locative!C:C,D463,Gestion_Locative!O:O,"incomplet")&gt;0,"gestion_fragile","stable"))))</f>
        <v>vente_bloquee</v>
      </c>
    </row>
    <row r="464" spans="1:22" ht="27.6" hidden="1" x14ac:dyDescent="0.3">
      <c r="A464" s="6" t="s">
        <v>292</v>
      </c>
      <c r="B464" s="1" t="s">
        <v>4514</v>
      </c>
      <c r="C464" s="6" t="s">
        <v>2461</v>
      </c>
      <c r="D464" s="6" t="s">
        <v>2462</v>
      </c>
      <c r="E464" s="6" t="s">
        <v>2463</v>
      </c>
      <c r="F464" s="6" t="s">
        <v>2464</v>
      </c>
      <c r="G464" s="18">
        <v>4</v>
      </c>
      <c r="H464">
        <v>47</v>
      </c>
      <c r="I464">
        <v>52</v>
      </c>
      <c r="J464" s="7" t="s">
        <v>697</v>
      </c>
      <c r="K464" s="7" t="s">
        <v>2465</v>
      </c>
      <c r="L464" s="7" t="s">
        <v>2466</v>
      </c>
      <c r="M464" s="7"/>
      <c r="N464" s="7"/>
      <c r="O464" s="7" t="s">
        <v>90</v>
      </c>
      <c r="P464" s="7"/>
      <c r="Q464" s="7" t="s">
        <v>93</v>
      </c>
      <c r="R464" s="7"/>
      <c r="S464" s="8"/>
      <c r="T464" s="8"/>
      <c r="U464" s="9" t="str">
        <f>IF(COUNTIFS(Contacts_Activation!D:D,D464,Contacts_Activation!N:N,"oui")&gt;0,"oui","non")</f>
        <v>oui</v>
      </c>
      <c r="V464" s="9" t="str">
        <f>IF(COUNTIFS(Travaux!C:C,D464,Travaux!X:X,"en_cours")&gt;0,"travaux_en_cours",IF(COUNTIFS(Ventes!C:C,D464,Ventes!L:L,"signature")&gt;0,"vente_signature",IF(COUNTIFS(Ventes!C:C,D464,Ventes!AD:AD,"oui")&gt;0,"vente_bloquee",IF(COUNTIFS(Gestion_Locative!C:C,D464,Gestion_Locative!O:O,"incomplet")&gt;0,"gestion_fragile","stable"))))</f>
        <v>vente_bloquee</v>
      </c>
    </row>
    <row r="465" spans="1:22" ht="14.4" hidden="1" x14ac:dyDescent="0.3">
      <c r="A465" s="6" t="s">
        <v>292</v>
      </c>
      <c r="B465" s="1" t="s">
        <v>4514</v>
      </c>
      <c r="C465" s="6" t="s">
        <v>2461</v>
      </c>
      <c r="D465" s="6" t="s">
        <v>2467</v>
      </c>
      <c r="E465" s="6" t="s">
        <v>2463</v>
      </c>
      <c r="F465" s="6" t="s">
        <v>2468</v>
      </c>
      <c r="G465" s="18">
        <v>4</v>
      </c>
      <c r="H465">
        <v>47</v>
      </c>
      <c r="I465">
        <v>52</v>
      </c>
      <c r="J465" s="7" t="s">
        <v>697</v>
      </c>
      <c r="K465" s="7" t="s">
        <v>2469</v>
      </c>
      <c r="L465" s="7" t="s">
        <v>2470</v>
      </c>
      <c r="M465" s="7" t="s">
        <v>2471</v>
      </c>
      <c r="N465" s="7"/>
      <c r="O465" s="7" t="s">
        <v>90</v>
      </c>
      <c r="P465" s="7"/>
      <c r="Q465" s="7" t="s">
        <v>93</v>
      </c>
      <c r="R465" s="7"/>
      <c r="S465" s="8"/>
      <c r="T465" s="8"/>
      <c r="U465" s="9" t="str">
        <f>IF(COUNTIFS(Contacts_Activation!D:D,D465,Contacts_Activation!N:N,"oui")&gt;0,"oui","non")</f>
        <v>oui</v>
      </c>
      <c r="V465" s="9" t="str">
        <f>IF(COUNTIFS(Travaux!C:C,D465,Travaux!X:X,"en_cours")&gt;0,"travaux_en_cours",IF(COUNTIFS(Ventes!C:C,D465,Ventes!L:L,"signature")&gt;0,"vente_signature",IF(COUNTIFS(Ventes!C:C,D465,Ventes!AD:AD,"oui")&gt;0,"vente_bloquee",IF(COUNTIFS(Gestion_Locative!C:C,D465,Gestion_Locative!O:O,"incomplet")&gt;0,"gestion_fragile","stable"))))</f>
        <v>vente_bloquee</v>
      </c>
    </row>
    <row r="466" spans="1:22" ht="14.4" hidden="1" x14ac:dyDescent="0.3">
      <c r="A466" s="6" t="s">
        <v>292</v>
      </c>
      <c r="B466" s="1" t="s">
        <v>4514</v>
      </c>
      <c r="C466" s="6" t="s">
        <v>2461</v>
      </c>
      <c r="D466" s="6" t="s">
        <v>2472</v>
      </c>
      <c r="E466" s="6" t="s">
        <v>2463</v>
      </c>
      <c r="F466" s="6" t="s">
        <v>2473</v>
      </c>
      <c r="G466" s="18">
        <v>4</v>
      </c>
      <c r="H466">
        <v>47</v>
      </c>
      <c r="I466">
        <v>52</v>
      </c>
      <c r="J466" s="7" t="s">
        <v>416</v>
      </c>
      <c r="K466" s="7" t="s">
        <v>2474</v>
      </c>
      <c r="L466" s="7" t="s">
        <v>2475</v>
      </c>
      <c r="M466" s="7" t="s">
        <v>401</v>
      </c>
      <c r="N466" s="7"/>
      <c r="O466" s="7" t="s">
        <v>90</v>
      </c>
      <c r="P466" s="7"/>
      <c r="Q466" s="7" t="s">
        <v>93</v>
      </c>
      <c r="R466" s="7"/>
      <c r="S466" s="8"/>
      <c r="T466" s="8"/>
      <c r="U466" s="9" t="str">
        <f>IF(COUNTIFS(Contacts_Activation!D:D,D466,Contacts_Activation!N:N,"oui")&gt;0,"oui","non")</f>
        <v>oui</v>
      </c>
      <c r="V466" s="9" t="str">
        <f>IF(COUNTIFS(Travaux!C:C,D466,Travaux!X:X,"en_cours")&gt;0,"travaux_en_cours",IF(COUNTIFS(Ventes!C:C,D466,Ventes!L:L,"signature")&gt;0,"vente_signature",IF(COUNTIFS(Ventes!C:C,D466,Ventes!AD:AD,"oui")&gt;0,"vente_bloquee",IF(COUNTIFS(Gestion_Locative!C:C,D466,Gestion_Locative!O:O,"incomplet")&gt;0,"gestion_fragile","stable"))))</f>
        <v>vente_bloquee</v>
      </c>
    </row>
    <row r="467" spans="1:22" ht="27.6" hidden="1" x14ac:dyDescent="0.3">
      <c r="A467" s="6" t="s">
        <v>292</v>
      </c>
      <c r="B467" s="1" t="s">
        <v>4514</v>
      </c>
      <c r="C467" s="6" t="s">
        <v>2461</v>
      </c>
      <c r="D467" s="6" t="s">
        <v>2476</v>
      </c>
      <c r="E467" s="6" t="s">
        <v>2463</v>
      </c>
      <c r="F467" s="6" t="s">
        <v>2477</v>
      </c>
      <c r="G467" s="18">
        <v>4</v>
      </c>
      <c r="H467">
        <v>47</v>
      </c>
      <c r="I467">
        <v>52</v>
      </c>
      <c r="J467" s="7" t="s">
        <v>658</v>
      </c>
      <c r="K467" s="7" t="s">
        <v>1653</v>
      </c>
      <c r="L467" s="7" t="s">
        <v>2478</v>
      </c>
      <c r="M467" s="7"/>
      <c r="N467" s="7" t="s">
        <v>2479</v>
      </c>
      <c r="O467" s="7" t="s">
        <v>90</v>
      </c>
      <c r="P467" s="7"/>
      <c r="Q467" s="7" t="s">
        <v>93</v>
      </c>
      <c r="R467" s="7"/>
      <c r="S467" s="8"/>
      <c r="T467" s="8"/>
      <c r="U467" s="9" t="str">
        <f>IF(COUNTIFS(Contacts_Activation!D:D,D467,Contacts_Activation!N:N,"oui")&gt;0,"oui","non")</f>
        <v>oui</v>
      </c>
      <c r="V467" s="9" t="str">
        <f>IF(COUNTIFS(Travaux!C:C,D467,Travaux!X:X,"en_cours")&gt;0,"travaux_en_cours",IF(COUNTIFS(Ventes!C:C,D467,Ventes!L:L,"signature")&gt;0,"vente_signature",IF(COUNTIFS(Ventes!C:C,D467,Ventes!AD:AD,"oui")&gt;0,"vente_bloquee",IF(COUNTIFS(Gestion_Locative!C:C,D467,Gestion_Locative!O:O,"incomplet")&gt;0,"gestion_fragile","stable"))))</f>
        <v>vente_bloquee</v>
      </c>
    </row>
    <row r="468" spans="1:22" ht="14.4" hidden="1" x14ac:dyDescent="0.3">
      <c r="A468" s="6" t="s">
        <v>270</v>
      </c>
      <c r="B468" s="1" t="s">
        <v>4519</v>
      </c>
      <c r="C468" s="6" t="s">
        <v>2480</v>
      </c>
      <c r="D468" s="6" t="s">
        <v>2481</v>
      </c>
      <c r="E468" s="6" t="s">
        <v>2482</v>
      </c>
      <c r="F468" s="6" t="s">
        <v>2483</v>
      </c>
      <c r="G468" s="18">
        <v>4</v>
      </c>
      <c r="H468">
        <v>76</v>
      </c>
      <c r="I468">
        <v>69</v>
      </c>
      <c r="J468" s="7" t="s">
        <v>2484</v>
      </c>
      <c r="K468" s="7" t="s">
        <v>2485</v>
      </c>
      <c r="L468" s="7" t="s">
        <v>2486</v>
      </c>
      <c r="M468" s="7" t="s">
        <v>2487</v>
      </c>
      <c r="N468" s="7"/>
      <c r="O468" s="7" t="s">
        <v>90</v>
      </c>
      <c r="P468" s="7"/>
      <c r="Q468" s="7" t="s">
        <v>93</v>
      </c>
      <c r="R468" s="7"/>
      <c r="S468" s="8"/>
      <c r="T468" s="8"/>
      <c r="U468" s="9" t="str">
        <f>IF(COUNTIFS(Contacts_Activation!D:D,D468,Contacts_Activation!N:N,"oui")&gt;0,"oui","non")</f>
        <v>oui</v>
      </c>
      <c r="V468" s="9" t="str">
        <f>IF(COUNTIFS(Travaux!C:C,D468,Travaux!X:X,"en_cours")&gt;0,"travaux_en_cours",IF(COUNTIFS(Ventes!C:C,D468,Ventes!L:L,"signature")&gt;0,"vente_signature",IF(COUNTIFS(Ventes!C:C,D468,Ventes!AD:AD,"oui")&gt;0,"vente_bloquee",IF(COUNTIFS(Gestion_Locative!C:C,D468,Gestion_Locative!O:O,"incomplet")&gt;0,"gestion_fragile","stable"))))</f>
        <v>vente_bloquee</v>
      </c>
    </row>
    <row r="469" spans="1:22" ht="14.4" hidden="1" x14ac:dyDescent="0.3">
      <c r="A469" s="6" t="s">
        <v>270</v>
      </c>
      <c r="B469" s="1" t="s">
        <v>4519</v>
      </c>
      <c r="C469" s="6" t="s">
        <v>2480</v>
      </c>
      <c r="D469" s="6" t="s">
        <v>2488</v>
      </c>
      <c r="E469" s="6" t="s">
        <v>2482</v>
      </c>
      <c r="F469" s="6" t="s">
        <v>2489</v>
      </c>
      <c r="G469" s="18">
        <v>4</v>
      </c>
      <c r="H469">
        <v>76</v>
      </c>
      <c r="I469">
        <v>69</v>
      </c>
      <c r="J469" s="7" t="s">
        <v>1063</v>
      </c>
      <c r="K469" s="7" t="s">
        <v>2490</v>
      </c>
      <c r="L469" s="7" t="s">
        <v>2491</v>
      </c>
      <c r="M469" s="7"/>
      <c r="N469" s="7" t="s">
        <v>2492</v>
      </c>
      <c r="O469" s="7" t="s">
        <v>90</v>
      </c>
      <c r="P469" s="7"/>
      <c r="Q469" s="7" t="s">
        <v>93</v>
      </c>
      <c r="R469" s="7"/>
      <c r="S469" s="8"/>
      <c r="T469" s="8"/>
      <c r="U469" s="9" t="str">
        <f>IF(COUNTIFS(Contacts_Activation!D:D,D469,Contacts_Activation!N:N,"oui")&gt;0,"oui","non")</f>
        <v>oui</v>
      </c>
      <c r="V469" s="9" t="str">
        <f>IF(COUNTIFS(Travaux!C:C,D469,Travaux!X:X,"en_cours")&gt;0,"travaux_en_cours",IF(COUNTIFS(Ventes!C:C,D469,Ventes!L:L,"signature")&gt;0,"vente_signature",IF(COUNTIFS(Ventes!C:C,D469,Ventes!AD:AD,"oui")&gt;0,"vente_bloquee",IF(COUNTIFS(Gestion_Locative!C:C,D469,Gestion_Locative!O:O,"incomplet")&gt;0,"gestion_fragile","stable"))))</f>
        <v>vente_bloquee</v>
      </c>
    </row>
    <row r="470" spans="1:22" ht="14.4" hidden="1" x14ac:dyDescent="0.3">
      <c r="A470" s="6" t="s">
        <v>270</v>
      </c>
      <c r="B470" s="1" t="s">
        <v>4519</v>
      </c>
      <c r="C470" s="6" t="s">
        <v>2480</v>
      </c>
      <c r="D470" s="6" t="s">
        <v>2493</v>
      </c>
      <c r="E470" s="6" t="s">
        <v>2482</v>
      </c>
      <c r="F470" s="6" t="s">
        <v>2494</v>
      </c>
      <c r="G470" s="18">
        <v>4</v>
      </c>
      <c r="H470">
        <v>76</v>
      </c>
      <c r="I470">
        <v>69</v>
      </c>
      <c r="J470" s="7" t="s">
        <v>299</v>
      </c>
      <c r="K470" s="7" t="s">
        <v>1684</v>
      </c>
      <c r="L470" s="7" t="s">
        <v>2495</v>
      </c>
      <c r="M470" s="7"/>
      <c r="N470" s="7"/>
      <c r="O470" s="7" t="s">
        <v>90</v>
      </c>
      <c r="P470" s="7"/>
      <c r="Q470" s="7" t="s">
        <v>93</v>
      </c>
      <c r="R470" s="7"/>
      <c r="S470" s="8"/>
      <c r="T470" s="8"/>
      <c r="U470" s="9" t="str">
        <f>IF(COUNTIFS(Contacts_Activation!D:D,D470,Contacts_Activation!N:N,"oui")&gt;0,"oui","non")</f>
        <v>oui</v>
      </c>
      <c r="V470" s="9" t="str">
        <f>IF(COUNTIFS(Travaux!C:C,D470,Travaux!X:X,"en_cours")&gt;0,"travaux_en_cours",IF(COUNTIFS(Ventes!C:C,D470,Ventes!L:L,"signature")&gt;0,"vente_signature",IF(COUNTIFS(Ventes!C:C,D470,Ventes!AD:AD,"oui")&gt;0,"vente_bloquee",IF(COUNTIFS(Gestion_Locative!C:C,D470,Gestion_Locative!O:O,"incomplet")&gt;0,"gestion_fragile","stable"))))</f>
        <v>vente_bloquee</v>
      </c>
    </row>
    <row r="471" spans="1:22" ht="14.4" hidden="1" x14ac:dyDescent="0.3">
      <c r="A471" s="6" t="s">
        <v>270</v>
      </c>
      <c r="B471" s="1" t="s">
        <v>4519</v>
      </c>
      <c r="C471" s="6" t="s">
        <v>2480</v>
      </c>
      <c r="D471" s="6" t="s">
        <v>2496</v>
      </c>
      <c r="E471" s="6" t="s">
        <v>2482</v>
      </c>
      <c r="F471" s="6" t="s">
        <v>2497</v>
      </c>
      <c r="G471" s="18">
        <v>4</v>
      </c>
      <c r="H471">
        <v>76</v>
      </c>
      <c r="I471">
        <v>69</v>
      </c>
      <c r="J471" s="7" t="s">
        <v>334</v>
      </c>
      <c r="K471" s="7" t="s">
        <v>2498</v>
      </c>
      <c r="L471" s="7" t="s">
        <v>2499</v>
      </c>
      <c r="M471" s="7"/>
      <c r="N471" s="7"/>
      <c r="O471" s="7" t="s">
        <v>90</v>
      </c>
      <c r="P471" s="7"/>
      <c r="Q471" s="7" t="s">
        <v>93</v>
      </c>
      <c r="R471" s="7"/>
      <c r="S471" s="8"/>
      <c r="T471" s="8"/>
      <c r="U471" s="9" t="str">
        <f>IF(COUNTIFS(Contacts_Activation!D:D,D471,Contacts_Activation!N:N,"oui")&gt;0,"oui","non")</f>
        <v>oui</v>
      </c>
      <c r="V471" s="9" t="str">
        <f>IF(COUNTIFS(Travaux!C:C,D471,Travaux!X:X,"en_cours")&gt;0,"travaux_en_cours",IF(COUNTIFS(Ventes!C:C,D471,Ventes!L:L,"signature")&gt;0,"vente_signature",IF(COUNTIFS(Ventes!C:C,D471,Ventes!AD:AD,"oui")&gt;0,"vente_bloquee",IF(COUNTIFS(Gestion_Locative!C:C,D471,Gestion_Locative!O:O,"incomplet")&gt;0,"gestion_fragile","stable"))))</f>
        <v>vente_bloquee</v>
      </c>
    </row>
    <row r="472" spans="1:22" ht="28.8" hidden="1" x14ac:dyDescent="0.3">
      <c r="A472" s="6" t="s">
        <v>262</v>
      </c>
      <c r="B472" s="1" t="s">
        <v>4518</v>
      </c>
      <c r="C472" s="6" t="s">
        <v>2500</v>
      </c>
      <c r="D472" s="6" t="s">
        <v>2501</v>
      </c>
      <c r="E472" s="6" t="s">
        <v>2502</v>
      </c>
      <c r="F472" s="6" t="s">
        <v>2503</v>
      </c>
      <c r="G472" s="18">
        <v>12</v>
      </c>
      <c r="H472">
        <v>16</v>
      </c>
      <c r="I472">
        <v>40</v>
      </c>
      <c r="J472" s="7" t="s">
        <v>2504</v>
      </c>
      <c r="K472" s="7" t="s">
        <v>2505</v>
      </c>
      <c r="L472" s="7"/>
      <c r="M472" s="7"/>
      <c r="N472" s="7"/>
      <c r="O472" s="7" t="s">
        <v>90</v>
      </c>
      <c r="P472" s="7"/>
      <c r="Q472" s="7" t="s">
        <v>93</v>
      </c>
      <c r="R472" s="7"/>
      <c r="S472" s="8"/>
      <c r="T472" s="8"/>
      <c r="U472" s="9" t="str">
        <f>IF(COUNTIFS(Contacts_Activation!D:D,D472,Contacts_Activation!N:N,"oui")&gt;0,"oui","non")</f>
        <v>oui</v>
      </c>
      <c r="V472" s="9" t="str">
        <f>IF(COUNTIFS(Travaux!C:C,D472,Travaux!X:X,"en_cours")&gt;0,"travaux_en_cours",IF(COUNTIFS(Ventes!C:C,D472,Ventes!L:L,"signature")&gt;0,"vente_signature",IF(COUNTIFS(Ventes!C:C,D472,Ventes!AD:AD,"oui")&gt;0,"vente_bloquee",IF(COUNTIFS(Gestion_Locative!C:C,D472,Gestion_Locative!O:O,"incomplet")&gt;0,"gestion_fragile","stable"))))</f>
        <v>vente_bloquee</v>
      </c>
    </row>
    <row r="473" spans="1:22" ht="28.8" hidden="1" x14ac:dyDescent="0.3">
      <c r="A473" s="6" t="s">
        <v>262</v>
      </c>
      <c r="B473" s="1" t="s">
        <v>4518</v>
      </c>
      <c r="C473" s="6" t="s">
        <v>2500</v>
      </c>
      <c r="D473" s="6" t="s">
        <v>2506</v>
      </c>
      <c r="E473" s="6" t="s">
        <v>2502</v>
      </c>
      <c r="F473" s="6" t="s">
        <v>2507</v>
      </c>
      <c r="G473" s="18">
        <v>12</v>
      </c>
      <c r="H473">
        <v>16</v>
      </c>
      <c r="I473">
        <v>40</v>
      </c>
      <c r="J473" s="7"/>
      <c r="K473" s="7"/>
      <c r="L473" s="7"/>
      <c r="M473" s="7"/>
      <c r="N473" s="7"/>
      <c r="O473" s="7" t="s">
        <v>90</v>
      </c>
      <c r="P473" s="7"/>
      <c r="Q473" s="7" t="s">
        <v>93</v>
      </c>
      <c r="R473" s="7"/>
      <c r="S473" s="8"/>
      <c r="T473" s="8"/>
      <c r="U473" s="9" t="str">
        <f>IF(COUNTIFS(Contacts_Activation!D:D,D473,Contacts_Activation!N:N,"oui")&gt;0,"oui","non")</f>
        <v>oui</v>
      </c>
      <c r="V473" s="9" t="str">
        <f>IF(COUNTIFS(Travaux!C:C,D473,Travaux!X:X,"en_cours")&gt;0,"travaux_en_cours",IF(COUNTIFS(Ventes!C:C,D473,Ventes!L:L,"signature")&gt;0,"vente_signature",IF(COUNTIFS(Ventes!C:C,D473,Ventes!AD:AD,"oui")&gt;0,"vente_bloquee",IF(COUNTIFS(Gestion_Locative!C:C,D473,Gestion_Locative!O:O,"incomplet")&gt;0,"gestion_fragile","stable"))))</f>
        <v>vente_bloquee</v>
      </c>
    </row>
    <row r="474" spans="1:22" ht="28.8" hidden="1" x14ac:dyDescent="0.3">
      <c r="A474" s="6" t="s">
        <v>262</v>
      </c>
      <c r="B474" s="1" t="s">
        <v>4518</v>
      </c>
      <c r="C474" s="6" t="s">
        <v>2500</v>
      </c>
      <c r="D474" s="6" t="s">
        <v>2508</v>
      </c>
      <c r="E474" s="6" t="s">
        <v>2502</v>
      </c>
      <c r="F474" s="6" t="s">
        <v>2509</v>
      </c>
      <c r="G474" s="18">
        <v>12</v>
      </c>
      <c r="H474">
        <v>16</v>
      </c>
      <c r="I474">
        <v>40</v>
      </c>
      <c r="J474" s="7" t="s">
        <v>2510</v>
      </c>
      <c r="K474" s="7" t="s">
        <v>2511</v>
      </c>
      <c r="L474" s="7" t="s">
        <v>2512</v>
      </c>
      <c r="M474" s="7" t="s">
        <v>2513</v>
      </c>
      <c r="N474" s="7"/>
      <c r="O474" s="7" t="s">
        <v>90</v>
      </c>
      <c r="P474" s="7"/>
      <c r="Q474" s="7" t="s">
        <v>93</v>
      </c>
      <c r="R474" s="7"/>
      <c r="S474" s="8"/>
      <c r="T474" s="8"/>
      <c r="U474" s="9" t="str">
        <f>IF(COUNTIFS(Contacts_Activation!D:D,D474,Contacts_Activation!N:N,"oui")&gt;0,"oui","non")</f>
        <v>oui</v>
      </c>
      <c r="V474" s="9" t="str">
        <f>IF(COUNTIFS(Travaux!C:C,D474,Travaux!X:X,"en_cours")&gt;0,"travaux_en_cours",IF(COUNTIFS(Ventes!C:C,D474,Ventes!L:L,"signature")&gt;0,"vente_signature",IF(COUNTIFS(Ventes!C:C,D474,Ventes!AD:AD,"oui")&gt;0,"vente_bloquee",IF(COUNTIFS(Gestion_Locative!C:C,D474,Gestion_Locative!O:O,"incomplet")&gt;0,"gestion_fragile","stable"))))</f>
        <v>vente_bloquee</v>
      </c>
    </row>
    <row r="475" spans="1:22" ht="28.8" hidden="1" x14ac:dyDescent="0.3">
      <c r="A475" s="6" t="s">
        <v>262</v>
      </c>
      <c r="B475" s="1" t="s">
        <v>4518</v>
      </c>
      <c r="C475" s="6" t="s">
        <v>2500</v>
      </c>
      <c r="D475" s="6" t="s">
        <v>2514</v>
      </c>
      <c r="E475" s="6" t="s">
        <v>2502</v>
      </c>
      <c r="F475" s="6" t="s">
        <v>2515</v>
      </c>
      <c r="G475" s="18">
        <v>12</v>
      </c>
      <c r="H475">
        <v>16</v>
      </c>
      <c r="I475">
        <v>40</v>
      </c>
      <c r="J475" s="7" t="s">
        <v>439</v>
      </c>
      <c r="K475" s="7" t="s">
        <v>2516</v>
      </c>
      <c r="L475" s="7" t="s">
        <v>2517</v>
      </c>
      <c r="M475" s="7" t="s">
        <v>2518</v>
      </c>
      <c r="N475" s="7"/>
      <c r="O475" s="7" t="s">
        <v>90</v>
      </c>
      <c r="P475" s="7"/>
      <c r="Q475" s="7" t="s">
        <v>93</v>
      </c>
      <c r="R475" s="7"/>
      <c r="S475" s="8"/>
      <c r="T475" s="8"/>
      <c r="U475" s="9" t="str">
        <f>IF(COUNTIFS(Contacts_Activation!D:D,D475,Contacts_Activation!N:N,"oui")&gt;0,"oui","non")</f>
        <v>oui</v>
      </c>
      <c r="V475" s="9" t="str">
        <f>IF(COUNTIFS(Travaux!C:C,D475,Travaux!X:X,"en_cours")&gt;0,"travaux_en_cours",IF(COUNTIFS(Ventes!C:C,D475,Ventes!L:L,"signature")&gt;0,"vente_signature",IF(COUNTIFS(Ventes!C:C,D475,Ventes!AD:AD,"oui")&gt;0,"vente_bloquee",IF(COUNTIFS(Gestion_Locative!C:C,D475,Gestion_Locative!O:O,"incomplet")&gt;0,"gestion_fragile","stable"))))</f>
        <v>vente_bloquee</v>
      </c>
    </row>
    <row r="476" spans="1:22" ht="28.8" hidden="1" x14ac:dyDescent="0.3">
      <c r="A476" s="6" t="s">
        <v>262</v>
      </c>
      <c r="B476" s="1" t="s">
        <v>4518</v>
      </c>
      <c r="C476" s="6" t="s">
        <v>2500</v>
      </c>
      <c r="D476" s="6" t="s">
        <v>2519</v>
      </c>
      <c r="E476" s="6" t="s">
        <v>2502</v>
      </c>
      <c r="F476" s="6" t="s">
        <v>2520</v>
      </c>
      <c r="G476" s="18">
        <v>12</v>
      </c>
      <c r="H476">
        <v>16</v>
      </c>
      <c r="I476">
        <v>40</v>
      </c>
      <c r="J476" s="7" t="s">
        <v>2521</v>
      </c>
      <c r="K476" s="7" t="s">
        <v>289</v>
      </c>
      <c r="L476" s="7" t="s">
        <v>2522</v>
      </c>
      <c r="M476" s="7"/>
      <c r="N476" s="7"/>
      <c r="O476" s="7" t="s">
        <v>90</v>
      </c>
      <c r="P476" s="7"/>
      <c r="Q476" s="7" t="s">
        <v>93</v>
      </c>
      <c r="R476" s="7"/>
      <c r="S476" s="8"/>
      <c r="T476" s="8"/>
      <c r="U476" s="9" t="str">
        <f>IF(COUNTIFS(Contacts_Activation!D:D,D476,Contacts_Activation!N:N,"oui")&gt;0,"oui","non")</f>
        <v>oui</v>
      </c>
      <c r="V476" s="9" t="str">
        <f>IF(COUNTIFS(Travaux!C:C,D476,Travaux!X:X,"en_cours")&gt;0,"travaux_en_cours",IF(COUNTIFS(Ventes!C:C,D476,Ventes!L:L,"signature")&gt;0,"vente_signature",IF(COUNTIFS(Ventes!C:C,D476,Ventes!AD:AD,"oui")&gt;0,"vente_bloquee",IF(COUNTIFS(Gestion_Locative!C:C,D476,Gestion_Locative!O:O,"incomplet")&gt;0,"gestion_fragile","stable"))))</f>
        <v>vente_bloquee</v>
      </c>
    </row>
    <row r="477" spans="1:22" ht="28.8" hidden="1" x14ac:dyDescent="0.3">
      <c r="A477" s="6" t="s">
        <v>262</v>
      </c>
      <c r="B477" s="1" t="s">
        <v>4518</v>
      </c>
      <c r="C477" s="6" t="s">
        <v>2500</v>
      </c>
      <c r="D477" s="6" t="s">
        <v>2523</v>
      </c>
      <c r="E477" s="6" t="s">
        <v>2502</v>
      </c>
      <c r="F477" s="6" t="s">
        <v>2524</v>
      </c>
      <c r="G477" s="18">
        <v>12</v>
      </c>
      <c r="H477">
        <v>16</v>
      </c>
      <c r="I477">
        <v>40</v>
      </c>
      <c r="J477" s="7" t="s">
        <v>406</v>
      </c>
      <c r="K477" s="7" t="s">
        <v>2525</v>
      </c>
      <c r="L477" s="7" t="s">
        <v>2526</v>
      </c>
      <c r="M477" s="7"/>
      <c r="N477" s="7"/>
      <c r="O477" s="7" t="s">
        <v>90</v>
      </c>
      <c r="P477" s="7"/>
      <c r="Q477" s="7" t="s">
        <v>93</v>
      </c>
      <c r="R477" s="7"/>
      <c r="S477" s="8"/>
      <c r="T477" s="8"/>
      <c r="U477" s="9" t="str">
        <f>IF(COUNTIFS(Contacts_Activation!D:D,D477,Contacts_Activation!N:N,"oui")&gt;0,"oui","non")</f>
        <v>oui</v>
      </c>
      <c r="V477" s="9" t="str">
        <f>IF(COUNTIFS(Travaux!C:C,D477,Travaux!X:X,"en_cours")&gt;0,"travaux_en_cours",IF(COUNTIFS(Ventes!C:C,D477,Ventes!L:L,"signature")&gt;0,"vente_signature",IF(COUNTIFS(Ventes!C:C,D477,Ventes!AD:AD,"oui")&gt;0,"vente_bloquee",IF(COUNTIFS(Gestion_Locative!C:C,D477,Gestion_Locative!O:O,"incomplet")&gt;0,"gestion_fragile","stable"))))</f>
        <v>vente_bloquee</v>
      </c>
    </row>
    <row r="478" spans="1:22" ht="28.8" hidden="1" x14ac:dyDescent="0.3">
      <c r="A478" s="6" t="s">
        <v>262</v>
      </c>
      <c r="B478" s="1" t="s">
        <v>4518</v>
      </c>
      <c r="C478" s="6" t="s">
        <v>2500</v>
      </c>
      <c r="D478" s="6" t="s">
        <v>2527</v>
      </c>
      <c r="E478" s="6" t="s">
        <v>2502</v>
      </c>
      <c r="F478" s="6" t="s">
        <v>2528</v>
      </c>
      <c r="G478" s="18">
        <v>12</v>
      </c>
      <c r="H478">
        <v>16</v>
      </c>
      <c r="I478">
        <v>40</v>
      </c>
      <c r="J478" s="7" t="s">
        <v>2529</v>
      </c>
      <c r="K478" s="7" t="s">
        <v>1433</v>
      </c>
      <c r="L478" s="7" t="s">
        <v>2530</v>
      </c>
      <c r="M478" s="7"/>
      <c r="N478" s="7"/>
      <c r="O478" s="7" t="s">
        <v>90</v>
      </c>
      <c r="P478" s="7"/>
      <c r="Q478" s="7" t="s">
        <v>93</v>
      </c>
      <c r="R478" s="7"/>
      <c r="S478" s="8"/>
      <c r="T478" s="8"/>
      <c r="U478" s="9" t="str">
        <f>IF(COUNTIFS(Contacts_Activation!D:D,D478,Contacts_Activation!N:N,"oui")&gt;0,"oui","non")</f>
        <v>oui</v>
      </c>
      <c r="V478" s="9" t="str">
        <f>IF(COUNTIFS(Travaux!C:C,D478,Travaux!X:X,"en_cours")&gt;0,"travaux_en_cours",IF(COUNTIFS(Ventes!C:C,D478,Ventes!L:L,"signature")&gt;0,"vente_signature",IF(COUNTIFS(Ventes!C:C,D478,Ventes!AD:AD,"oui")&gt;0,"vente_bloquee",IF(COUNTIFS(Gestion_Locative!C:C,D478,Gestion_Locative!O:O,"incomplet")&gt;0,"gestion_fragile","stable"))))</f>
        <v>vente_bloquee</v>
      </c>
    </row>
    <row r="479" spans="1:22" ht="28.8" hidden="1" x14ac:dyDescent="0.3">
      <c r="A479" s="6" t="s">
        <v>262</v>
      </c>
      <c r="B479" s="1" t="s">
        <v>4518</v>
      </c>
      <c r="C479" s="6" t="s">
        <v>2500</v>
      </c>
      <c r="D479" s="6" t="s">
        <v>2531</v>
      </c>
      <c r="E479" s="6" t="s">
        <v>2502</v>
      </c>
      <c r="F479" s="6" t="s">
        <v>2532</v>
      </c>
      <c r="G479" s="18">
        <v>12</v>
      </c>
      <c r="H479">
        <v>16</v>
      </c>
      <c r="I479">
        <v>40</v>
      </c>
      <c r="J479" s="7" t="s">
        <v>620</v>
      </c>
      <c r="K479" s="7" t="s">
        <v>2533</v>
      </c>
      <c r="L479" s="7" t="s">
        <v>2534</v>
      </c>
      <c r="M479" s="7" t="s">
        <v>2535</v>
      </c>
      <c r="N479" s="7"/>
      <c r="O479" s="7" t="s">
        <v>90</v>
      </c>
      <c r="P479" s="7"/>
      <c r="Q479" s="7" t="s">
        <v>93</v>
      </c>
      <c r="R479" s="7"/>
      <c r="S479" s="8"/>
      <c r="T479" s="8"/>
      <c r="U479" s="9" t="str">
        <f>IF(COUNTIFS(Contacts_Activation!D:D,D479,Contacts_Activation!N:N,"oui")&gt;0,"oui","non")</f>
        <v>oui</v>
      </c>
      <c r="V479" s="9" t="str">
        <f>IF(COUNTIFS(Travaux!C:C,D479,Travaux!X:X,"en_cours")&gt;0,"travaux_en_cours",IF(COUNTIFS(Ventes!C:C,D479,Ventes!L:L,"signature")&gt;0,"vente_signature",IF(COUNTIFS(Ventes!C:C,D479,Ventes!AD:AD,"oui")&gt;0,"vente_bloquee",IF(COUNTIFS(Gestion_Locative!C:C,D479,Gestion_Locative!O:O,"incomplet")&gt;0,"gestion_fragile","stable"))))</f>
        <v>vente_bloquee</v>
      </c>
    </row>
    <row r="480" spans="1:22" ht="28.8" hidden="1" x14ac:dyDescent="0.3">
      <c r="A480" s="6" t="s">
        <v>262</v>
      </c>
      <c r="B480" s="1" t="s">
        <v>4518</v>
      </c>
      <c r="C480" s="6" t="s">
        <v>2500</v>
      </c>
      <c r="D480" s="6" t="s">
        <v>2536</v>
      </c>
      <c r="E480" s="6" t="s">
        <v>2502</v>
      </c>
      <c r="F480" s="6" t="s">
        <v>2537</v>
      </c>
      <c r="G480" s="18">
        <v>12</v>
      </c>
      <c r="H480">
        <v>16</v>
      </c>
      <c r="I480">
        <v>40</v>
      </c>
      <c r="J480" s="7" t="s">
        <v>2538</v>
      </c>
      <c r="K480" s="7" t="s">
        <v>1297</v>
      </c>
      <c r="L480" s="7" t="s">
        <v>2539</v>
      </c>
      <c r="M480" s="7"/>
      <c r="N480" s="7"/>
      <c r="O480" s="7" t="s">
        <v>90</v>
      </c>
      <c r="P480" s="7"/>
      <c r="Q480" s="7" t="s">
        <v>93</v>
      </c>
      <c r="R480" s="7"/>
      <c r="S480" s="8"/>
      <c r="T480" s="8"/>
      <c r="U480" s="9" t="str">
        <f>IF(COUNTIFS(Contacts_Activation!D:D,D480,Contacts_Activation!N:N,"oui")&gt;0,"oui","non")</f>
        <v>oui</v>
      </c>
      <c r="V480" s="9" t="str">
        <f>IF(COUNTIFS(Travaux!C:C,D480,Travaux!X:X,"en_cours")&gt;0,"travaux_en_cours",IF(COUNTIFS(Ventes!C:C,D480,Ventes!L:L,"signature")&gt;0,"vente_signature",IF(COUNTIFS(Ventes!C:C,D480,Ventes!AD:AD,"oui")&gt;0,"vente_bloquee",IF(COUNTIFS(Gestion_Locative!C:C,D480,Gestion_Locative!O:O,"incomplet")&gt;0,"gestion_fragile","stable"))))</f>
        <v>vente_bloquee</v>
      </c>
    </row>
    <row r="481" spans="1:22" ht="28.8" hidden="1" x14ac:dyDescent="0.3">
      <c r="A481" s="6" t="s">
        <v>262</v>
      </c>
      <c r="B481" s="1" t="s">
        <v>4518</v>
      </c>
      <c r="C481" s="6" t="s">
        <v>2500</v>
      </c>
      <c r="D481" s="6" t="s">
        <v>2540</v>
      </c>
      <c r="E481" s="6" t="s">
        <v>2502</v>
      </c>
      <c r="F481" s="6" t="s">
        <v>2541</v>
      </c>
      <c r="G481" s="18">
        <v>12</v>
      </c>
      <c r="H481">
        <v>16</v>
      </c>
      <c r="I481">
        <v>40</v>
      </c>
      <c r="J481" s="7" t="s">
        <v>2542</v>
      </c>
      <c r="K481" s="7" t="s">
        <v>2543</v>
      </c>
      <c r="L481" s="7" t="s">
        <v>2544</v>
      </c>
      <c r="M481" s="7"/>
      <c r="N481" s="7"/>
      <c r="O481" s="7" t="s">
        <v>90</v>
      </c>
      <c r="P481" s="7"/>
      <c r="Q481" s="7" t="s">
        <v>93</v>
      </c>
      <c r="R481" s="7"/>
      <c r="S481" s="8"/>
      <c r="T481" s="8"/>
      <c r="U481" s="9" t="str">
        <f>IF(COUNTIFS(Contacts_Activation!D:D,D481,Contacts_Activation!N:N,"oui")&gt;0,"oui","non")</f>
        <v>oui</v>
      </c>
      <c r="V481" s="9" t="str">
        <f>IF(COUNTIFS(Travaux!C:C,D481,Travaux!X:X,"en_cours")&gt;0,"travaux_en_cours",IF(COUNTIFS(Ventes!C:C,D481,Ventes!L:L,"signature")&gt;0,"vente_signature",IF(COUNTIFS(Ventes!C:C,D481,Ventes!AD:AD,"oui")&gt;0,"vente_bloquee",IF(COUNTIFS(Gestion_Locative!C:C,D481,Gestion_Locative!O:O,"incomplet")&gt;0,"gestion_fragile","stable"))))</f>
        <v>vente_bloquee</v>
      </c>
    </row>
    <row r="482" spans="1:22" ht="28.8" hidden="1" x14ac:dyDescent="0.3">
      <c r="A482" s="6" t="s">
        <v>262</v>
      </c>
      <c r="B482" s="1" t="s">
        <v>4518</v>
      </c>
      <c r="C482" s="6" t="s">
        <v>2500</v>
      </c>
      <c r="D482" s="6" t="s">
        <v>2545</v>
      </c>
      <c r="E482" s="6" t="s">
        <v>2502</v>
      </c>
      <c r="F482" s="6" t="s">
        <v>2546</v>
      </c>
      <c r="G482" s="18">
        <v>12</v>
      </c>
      <c r="H482">
        <v>16</v>
      </c>
      <c r="I482">
        <v>40</v>
      </c>
      <c r="J482" s="7" t="s">
        <v>2547</v>
      </c>
      <c r="K482" s="7" t="s">
        <v>2548</v>
      </c>
      <c r="L482" s="7" t="s">
        <v>2549</v>
      </c>
      <c r="M482" s="7"/>
      <c r="N482" s="7"/>
      <c r="O482" s="7" t="s">
        <v>90</v>
      </c>
      <c r="P482" s="7"/>
      <c r="Q482" s="7" t="s">
        <v>93</v>
      </c>
      <c r="R482" s="7"/>
      <c r="S482" s="8"/>
      <c r="T482" s="8"/>
      <c r="U482" s="9" t="str">
        <f>IF(COUNTIFS(Contacts_Activation!D:D,D482,Contacts_Activation!N:N,"oui")&gt;0,"oui","non")</f>
        <v>oui</v>
      </c>
      <c r="V482" s="9" t="str">
        <f>IF(COUNTIFS(Travaux!C:C,D482,Travaux!X:X,"en_cours")&gt;0,"travaux_en_cours",IF(COUNTIFS(Ventes!C:C,D482,Ventes!L:L,"signature")&gt;0,"vente_signature",IF(COUNTIFS(Ventes!C:C,D482,Ventes!AD:AD,"oui")&gt;0,"vente_bloquee",IF(COUNTIFS(Gestion_Locative!C:C,D482,Gestion_Locative!O:O,"incomplet")&gt;0,"gestion_fragile","stable"))))</f>
        <v>vente_bloquee</v>
      </c>
    </row>
    <row r="483" spans="1:22" ht="28.8" hidden="1" x14ac:dyDescent="0.3">
      <c r="A483" s="6" t="s">
        <v>262</v>
      </c>
      <c r="B483" s="1" t="s">
        <v>4518</v>
      </c>
      <c r="C483" s="6" t="s">
        <v>2500</v>
      </c>
      <c r="D483" s="6" t="s">
        <v>2550</v>
      </c>
      <c r="E483" s="6" t="s">
        <v>2502</v>
      </c>
      <c r="F483" s="6" t="s">
        <v>2551</v>
      </c>
      <c r="G483" s="18">
        <v>12</v>
      </c>
      <c r="J483" s="7" t="s">
        <v>668</v>
      </c>
      <c r="K483" s="7" t="s">
        <v>2552</v>
      </c>
      <c r="L483" s="7" t="s">
        <v>2553</v>
      </c>
      <c r="M483" s="7"/>
      <c r="N483" s="7"/>
      <c r="O483" s="7" t="s">
        <v>90</v>
      </c>
      <c r="P483" s="7"/>
      <c r="Q483" s="7" t="s">
        <v>93</v>
      </c>
      <c r="R483" s="7"/>
      <c r="S483" s="8"/>
      <c r="T483" s="8"/>
      <c r="U483" s="9" t="str">
        <f>IF(COUNTIFS(Contacts_Activation!D:D,D483,Contacts_Activation!N:N,"oui")&gt;0,"oui","non")</f>
        <v>oui</v>
      </c>
      <c r="V483" s="9" t="str">
        <f>IF(COUNTIFS(Travaux!C:C,D483,Travaux!X:X,"en_cours")&gt;0,"travaux_en_cours",IF(COUNTIFS(Ventes!C:C,D483,Ventes!L:L,"signature")&gt;0,"vente_signature",IF(COUNTIFS(Ventes!C:C,D483,Ventes!AD:AD,"oui")&gt;0,"vente_bloquee",IF(COUNTIFS(Gestion_Locative!C:C,D483,Gestion_Locative!O:O,"incomplet")&gt;0,"gestion_fragile","stable"))))</f>
        <v>vente_bloquee</v>
      </c>
    </row>
    <row r="484" spans="1:22" ht="14.4" hidden="1" x14ac:dyDescent="0.3">
      <c r="A484" s="6" t="s">
        <v>262</v>
      </c>
      <c r="B484" s="1" t="s">
        <v>4517</v>
      </c>
      <c r="C484" s="6" t="s">
        <v>2554</v>
      </c>
      <c r="D484" s="6" t="s">
        <v>2555</v>
      </c>
      <c r="E484" s="6" t="s">
        <v>2556</v>
      </c>
      <c r="F484" s="6" t="s">
        <v>2557</v>
      </c>
      <c r="G484" s="18">
        <v>11</v>
      </c>
      <c r="H484">
        <v>28</v>
      </c>
      <c r="I484">
        <v>29</v>
      </c>
      <c r="J484" s="7" t="s">
        <v>2558</v>
      </c>
      <c r="K484" s="7" t="s">
        <v>2559</v>
      </c>
      <c r="L484" s="7" t="s">
        <v>2560</v>
      </c>
      <c r="M484" s="7" t="s">
        <v>2561</v>
      </c>
      <c r="N484" s="7"/>
      <c r="O484" s="7" t="s">
        <v>90</v>
      </c>
      <c r="P484" s="7"/>
      <c r="Q484" s="7" t="s">
        <v>93</v>
      </c>
      <c r="R484" s="7"/>
      <c r="S484" s="8"/>
      <c r="T484" s="8"/>
      <c r="U484" s="9" t="str">
        <f>IF(COUNTIFS(Contacts_Activation!D:D,D484,Contacts_Activation!N:N,"oui")&gt;0,"oui","non")</f>
        <v>oui</v>
      </c>
      <c r="V484" s="9" t="str">
        <f>IF(COUNTIFS(Travaux!C:C,D484,Travaux!X:X,"en_cours")&gt;0,"travaux_en_cours",IF(COUNTIFS(Ventes!C:C,D484,Ventes!L:L,"signature")&gt;0,"vente_signature",IF(COUNTIFS(Ventes!C:C,D484,Ventes!AD:AD,"oui")&gt;0,"vente_bloquee",IF(COUNTIFS(Gestion_Locative!C:C,D484,Gestion_Locative!O:O,"incomplet")&gt;0,"gestion_fragile","stable"))))</f>
        <v>vente_bloquee</v>
      </c>
    </row>
    <row r="485" spans="1:22" ht="14.4" hidden="1" x14ac:dyDescent="0.3">
      <c r="A485" s="6" t="s">
        <v>262</v>
      </c>
      <c r="B485" s="1" t="s">
        <v>4517</v>
      </c>
      <c r="C485" s="6" t="s">
        <v>2554</v>
      </c>
      <c r="D485" s="6" t="s">
        <v>2562</v>
      </c>
      <c r="E485" s="6" t="s">
        <v>2556</v>
      </c>
      <c r="F485" s="6" t="s">
        <v>2563</v>
      </c>
      <c r="G485" s="18">
        <v>11</v>
      </c>
      <c r="H485">
        <v>28</v>
      </c>
      <c r="I485">
        <v>29</v>
      </c>
      <c r="J485" s="7" t="s">
        <v>2564</v>
      </c>
      <c r="K485" s="7" t="s">
        <v>2565</v>
      </c>
      <c r="L485" s="7"/>
      <c r="M485" s="7"/>
      <c r="N485" s="7"/>
      <c r="O485" s="7" t="s">
        <v>90</v>
      </c>
      <c r="P485" s="7"/>
      <c r="Q485" s="7" t="s">
        <v>93</v>
      </c>
      <c r="R485" s="7"/>
      <c r="S485" s="8"/>
      <c r="T485" s="8"/>
      <c r="U485" s="9" t="str">
        <f>IF(COUNTIFS(Contacts_Activation!D:D,D485,Contacts_Activation!N:N,"oui")&gt;0,"oui","non")</f>
        <v>oui</v>
      </c>
      <c r="V485" s="9" t="str">
        <f>IF(COUNTIFS(Travaux!C:C,D485,Travaux!X:X,"en_cours")&gt;0,"travaux_en_cours",IF(COUNTIFS(Ventes!C:C,D485,Ventes!L:L,"signature")&gt;0,"vente_signature",IF(COUNTIFS(Ventes!C:C,D485,Ventes!AD:AD,"oui")&gt;0,"vente_bloquee",IF(COUNTIFS(Gestion_Locative!C:C,D485,Gestion_Locative!O:O,"incomplet")&gt;0,"gestion_fragile","stable"))))</f>
        <v>vente_bloquee</v>
      </c>
    </row>
    <row r="486" spans="1:22" ht="14.4" hidden="1" x14ac:dyDescent="0.3">
      <c r="A486" s="6" t="s">
        <v>262</v>
      </c>
      <c r="B486" s="1" t="s">
        <v>4517</v>
      </c>
      <c r="C486" s="6" t="s">
        <v>2554</v>
      </c>
      <c r="D486" s="6" t="s">
        <v>2566</v>
      </c>
      <c r="E486" s="6" t="s">
        <v>2556</v>
      </c>
      <c r="F486" s="6" t="s">
        <v>2567</v>
      </c>
      <c r="G486" s="18">
        <v>11</v>
      </c>
      <c r="H486">
        <v>28</v>
      </c>
      <c r="I486">
        <v>29</v>
      </c>
      <c r="J486" s="7" t="s">
        <v>1143</v>
      </c>
      <c r="K486" s="7" t="s">
        <v>2568</v>
      </c>
      <c r="L486" s="7" t="s">
        <v>2569</v>
      </c>
      <c r="M486" s="7"/>
      <c r="N486" s="7"/>
      <c r="O486" s="7" t="s">
        <v>90</v>
      </c>
      <c r="P486" s="7"/>
      <c r="Q486" s="7" t="s">
        <v>93</v>
      </c>
      <c r="R486" s="7"/>
      <c r="S486" s="8"/>
      <c r="T486" s="8"/>
      <c r="U486" s="9" t="str">
        <f>IF(COUNTIFS(Contacts_Activation!D:D,D486,Contacts_Activation!N:N,"oui")&gt;0,"oui","non")</f>
        <v>oui</v>
      </c>
      <c r="V486" s="9" t="str">
        <f>IF(COUNTIFS(Travaux!C:C,D486,Travaux!X:X,"en_cours")&gt;0,"travaux_en_cours",IF(COUNTIFS(Ventes!C:C,D486,Ventes!L:L,"signature")&gt;0,"vente_signature",IF(COUNTIFS(Ventes!C:C,D486,Ventes!AD:AD,"oui")&gt;0,"vente_bloquee",IF(COUNTIFS(Gestion_Locative!C:C,D486,Gestion_Locative!O:O,"incomplet")&gt;0,"gestion_fragile","stable"))))</f>
        <v>vente_bloquee</v>
      </c>
    </row>
    <row r="487" spans="1:22" ht="27.6" hidden="1" x14ac:dyDescent="0.3">
      <c r="A487" s="6" t="s">
        <v>262</v>
      </c>
      <c r="B487" s="1" t="s">
        <v>4517</v>
      </c>
      <c r="C487" s="6" t="s">
        <v>2554</v>
      </c>
      <c r="D487" s="6" t="s">
        <v>2570</v>
      </c>
      <c r="E487" s="6" t="s">
        <v>2556</v>
      </c>
      <c r="F487" s="6" t="s">
        <v>2571</v>
      </c>
      <c r="G487" s="18">
        <v>11</v>
      </c>
      <c r="H487">
        <v>28</v>
      </c>
      <c r="I487">
        <v>29</v>
      </c>
      <c r="J487" s="7" t="s">
        <v>2572</v>
      </c>
      <c r="K487" s="7" t="s">
        <v>2573</v>
      </c>
      <c r="L487" s="7" t="s">
        <v>2574</v>
      </c>
      <c r="M487" s="7" t="s">
        <v>2575</v>
      </c>
      <c r="N487" s="7"/>
      <c r="O487" s="7" t="s">
        <v>90</v>
      </c>
      <c r="P487" s="7"/>
      <c r="Q487" s="7" t="s">
        <v>93</v>
      </c>
      <c r="R487" s="7"/>
      <c r="S487" s="8"/>
      <c r="T487" s="8"/>
      <c r="U487" s="9" t="str">
        <f>IF(COUNTIFS(Contacts_Activation!D:D,D487,Contacts_Activation!N:N,"oui")&gt;0,"oui","non")</f>
        <v>oui</v>
      </c>
      <c r="V487" s="9" t="str">
        <f>IF(COUNTIFS(Travaux!C:C,D487,Travaux!X:X,"en_cours")&gt;0,"travaux_en_cours",IF(COUNTIFS(Ventes!C:C,D487,Ventes!L:L,"signature")&gt;0,"vente_signature",IF(COUNTIFS(Ventes!C:C,D487,Ventes!AD:AD,"oui")&gt;0,"vente_bloquee",IF(COUNTIFS(Gestion_Locative!C:C,D487,Gestion_Locative!O:O,"incomplet")&gt;0,"gestion_fragile","stable"))))</f>
        <v>vente_bloquee</v>
      </c>
    </row>
    <row r="488" spans="1:22" ht="14.4" hidden="1" x14ac:dyDescent="0.3">
      <c r="A488" s="6" t="s">
        <v>262</v>
      </c>
      <c r="B488" s="1" t="s">
        <v>4517</v>
      </c>
      <c r="C488" s="6" t="s">
        <v>2554</v>
      </c>
      <c r="D488" s="6" t="s">
        <v>2576</v>
      </c>
      <c r="E488" s="6" t="s">
        <v>2556</v>
      </c>
      <c r="F488" s="6" t="s">
        <v>2577</v>
      </c>
      <c r="G488" s="18">
        <v>11</v>
      </c>
      <c r="H488">
        <v>28</v>
      </c>
      <c r="I488">
        <v>29</v>
      </c>
      <c r="J488" s="7" t="s">
        <v>458</v>
      </c>
      <c r="K488" s="7" t="s">
        <v>2578</v>
      </c>
      <c r="L488" s="7" t="s">
        <v>2579</v>
      </c>
      <c r="M488" s="7"/>
      <c r="N488" s="7"/>
      <c r="O488" s="7" t="s">
        <v>90</v>
      </c>
      <c r="P488" s="7"/>
      <c r="Q488" s="7" t="s">
        <v>93</v>
      </c>
      <c r="R488" s="7"/>
      <c r="S488" s="8"/>
      <c r="T488" s="8"/>
      <c r="U488" s="9" t="str">
        <f>IF(COUNTIFS(Contacts_Activation!D:D,D488,Contacts_Activation!N:N,"oui")&gt;0,"oui","non")</f>
        <v>oui</v>
      </c>
      <c r="V488" s="9" t="str">
        <f>IF(COUNTIFS(Travaux!C:C,D488,Travaux!X:X,"en_cours")&gt;0,"travaux_en_cours",IF(COUNTIFS(Ventes!C:C,D488,Ventes!L:L,"signature")&gt;0,"vente_signature",IF(COUNTIFS(Ventes!C:C,D488,Ventes!AD:AD,"oui")&gt;0,"vente_bloquee",IF(COUNTIFS(Gestion_Locative!C:C,D488,Gestion_Locative!O:O,"incomplet")&gt;0,"gestion_fragile","stable"))))</f>
        <v>vente_bloquee</v>
      </c>
    </row>
    <row r="489" spans="1:22" ht="14.4" hidden="1" x14ac:dyDescent="0.3">
      <c r="A489" s="6" t="s">
        <v>262</v>
      </c>
      <c r="B489" s="1" t="s">
        <v>4517</v>
      </c>
      <c r="C489" s="6" t="s">
        <v>2554</v>
      </c>
      <c r="D489" s="6" t="s">
        <v>2580</v>
      </c>
      <c r="E489" s="6" t="s">
        <v>2556</v>
      </c>
      <c r="F489" s="6" t="s">
        <v>2581</v>
      </c>
      <c r="G489" s="18">
        <v>11</v>
      </c>
      <c r="H489">
        <v>28</v>
      </c>
      <c r="I489">
        <v>29</v>
      </c>
      <c r="J489" s="7" t="s">
        <v>458</v>
      </c>
      <c r="K489" s="7" t="s">
        <v>2582</v>
      </c>
      <c r="L489" s="7" t="s">
        <v>2583</v>
      </c>
      <c r="M489" s="7"/>
      <c r="N489" s="7"/>
      <c r="O489" s="7" t="s">
        <v>90</v>
      </c>
      <c r="P489" s="7"/>
      <c r="Q489" s="7" t="s">
        <v>93</v>
      </c>
      <c r="R489" s="7"/>
      <c r="S489" s="8"/>
      <c r="T489" s="8"/>
      <c r="U489" s="9" t="str">
        <f>IF(COUNTIFS(Contacts_Activation!D:D,D489,Contacts_Activation!N:N,"oui")&gt;0,"oui","non")</f>
        <v>oui</v>
      </c>
      <c r="V489" s="9" t="str">
        <f>IF(COUNTIFS(Travaux!C:C,D489,Travaux!X:X,"en_cours")&gt;0,"travaux_en_cours",IF(COUNTIFS(Ventes!C:C,D489,Ventes!L:L,"signature")&gt;0,"vente_signature",IF(COUNTIFS(Ventes!C:C,D489,Ventes!AD:AD,"oui")&gt;0,"vente_bloquee",IF(COUNTIFS(Gestion_Locative!C:C,D489,Gestion_Locative!O:O,"incomplet")&gt;0,"gestion_fragile","stable"))))</f>
        <v>vente_bloquee</v>
      </c>
    </row>
    <row r="490" spans="1:22" ht="27.6" hidden="1" x14ac:dyDescent="0.3">
      <c r="A490" s="6" t="s">
        <v>262</v>
      </c>
      <c r="B490" s="1" t="s">
        <v>4517</v>
      </c>
      <c r="C490" s="6" t="s">
        <v>2554</v>
      </c>
      <c r="D490" s="6" t="s">
        <v>2584</v>
      </c>
      <c r="E490" s="6" t="s">
        <v>2556</v>
      </c>
      <c r="F490" s="6" t="s">
        <v>2585</v>
      </c>
      <c r="G490" s="18">
        <v>11</v>
      </c>
      <c r="H490">
        <v>28</v>
      </c>
      <c r="I490">
        <v>29</v>
      </c>
      <c r="J490" s="7" t="s">
        <v>2586</v>
      </c>
      <c r="K490" s="7" t="s">
        <v>2587</v>
      </c>
      <c r="L490" s="7" t="s">
        <v>2588</v>
      </c>
      <c r="M490" s="7"/>
      <c r="N490" s="7"/>
      <c r="O490" s="7" t="s">
        <v>90</v>
      </c>
      <c r="P490" s="7"/>
      <c r="Q490" s="7" t="s">
        <v>93</v>
      </c>
      <c r="R490" s="7"/>
      <c r="S490" s="8"/>
      <c r="T490" s="8"/>
      <c r="U490" s="9" t="str">
        <f>IF(COUNTIFS(Contacts_Activation!D:D,D490,Contacts_Activation!N:N,"oui")&gt;0,"oui","non")</f>
        <v>oui</v>
      </c>
      <c r="V490" s="9" t="str">
        <f>IF(COUNTIFS(Travaux!C:C,D490,Travaux!X:X,"en_cours")&gt;0,"travaux_en_cours",IF(COUNTIFS(Ventes!C:C,D490,Ventes!L:L,"signature")&gt;0,"vente_signature",IF(COUNTIFS(Ventes!C:C,D490,Ventes!AD:AD,"oui")&gt;0,"vente_bloquee",IF(COUNTIFS(Gestion_Locative!C:C,D490,Gestion_Locative!O:O,"incomplet")&gt;0,"gestion_fragile","stable"))))</f>
        <v>vente_bloquee</v>
      </c>
    </row>
    <row r="491" spans="1:22" ht="14.4" hidden="1" x14ac:dyDescent="0.3">
      <c r="A491" s="6" t="s">
        <v>262</v>
      </c>
      <c r="B491" s="1" t="s">
        <v>4517</v>
      </c>
      <c r="C491" s="6" t="s">
        <v>2554</v>
      </c>
      <c r="D491" s="6" t="s">
        <v>2589</v>
      </c>
      <c r="E491" s="6" t="s">
        <v>2556</v>
      </c>
      <c r="F491" s="6" t="s">
        <v>2590</v>
      </c>
      <c r="G491" s="18">
        <v>11</v>
      </c>
      <c r="H491">
        <v>28</v>
      </c>
      <c r="I491">
        <v>29</v>
      </c>
      <c r="J491" s="7" t="s">
        <v>2591</v>
      </c>
      <c r="K491" s="7" t="s">
        <v>412</v>
      </c>
      <c r="L491" s="7" t="s">
        <v>2592</v>
      </c>
      <c r="M491" s="7" t="s">
        <v>2593</v>
      </c>
      <c r="N491" s="7"/>
      <c r="O491" s="7" t="s">
        <v>90</v>
      </c>
      <c r="P491" s="7"/>
      <c r="Q491" s="7" t="s">
        <v>93</v>
      </c>
      <c r="R491" s="7"/>
      <c r="S491" s="8"/>
      <c r="T491" s="8"/>
      <c r="U491" s="9" t="str">
        <f>IF(COUNTIFS(Contacts_Activation!D:D,D491,Contacts_Activation!N:N,"oui")&gt;0,"oui","non")</f>
        <v>oui</v>
      </c>
      <c r="V491" s="9" t="str">
        <f>IF(COUNTIFS(Travaux!C:C,D491,Travaux!X:X,"en_cours")&gt;0,"travaux_en_cours",IF(COUNTIFS(Ventes!C:C,D491,Ventes!L:L,"signature")&gt;0,"vente_signature",IF(COUNTIFS(Ventes!C:C,D491,Ventes!AD:AD,"oui")&gt;0,"vente_bloquee",IF(COUNTIFS(Gestion_Locative!C:C,D491,Gestion_Locative!O:O,"incomplet")&gt;0,"gestion_fragile","stable"))))</f>
        <v>vente_bloquee</v>
      </c>
    </row>
    <row r="492" spans="1:22" ht="14.4" hidden="1" x14ac:dyDescent="0.3">
      <c r="A492" s="6" t="s">
        <v>262</v>
      </c>
      <c r="B492" s="1" t="s">
        <v>4517</v>
      </c>
      <c r="C492" s="6" t="s">
        <v>2554</v>
      </c>
      <c r="D492" s="6" t="s">
        <v>2594</v>
      </c>
      <c r="E492" s="6" t="s">
        <v>2556</v>
      </c>
      <c r="F492" s="6" t="s">
        <v>2595</v>
      </c>
      <c r="G492" s="18">
        <v>11</v>
      </c>
      <c r="H492">
        <v>28</v>
      </c>
      <c r="I492">
        <v>29</v>
      </c>
      <c r="J492" s="7" t="s">
        <v>206</v>
      </c>
      <c r="K492" s="7" t="s">
        <v>2596</v>
      </c>
      <c r="L492" s="7" t="s">
        <v>2597</v>
      </c>
      <c r="M492" s="7" t="s">
        <v>2598</v>
      </c>
      <c r="N492" s="7" t="s">
        <v>2599</v>
      </c>
      <c r="O492" s="7" t="s">
        <v>90</v>
      </c>
      <c r="P492" s="7"/>
      <c r="Q492" s="7" t="s">
        <v>93</v>
      </c>
      <c r="R492" s="7"/>
      <c r="S492" s="8"/>
      <c r="T492" s="8"/>
      <c r="U492" s="9" t="str">
        <f>IF(COUNTIFS(Contacts_Activation!D:D,D492,Contacts_Activation!N:N,"oui")&gt;0,"oui","non")</f>
        <v>oui</v>
      </c>
      <c r="V492" s="9" t="str">
        <f>IF(COUNTIFS(Travaux!C:C,D492,Travaux!X:X,"en_cours")&gt;0,"travaux_en_cours",IF(COUNTIFS(Ventes!C:C,D492,Ventes!L:L,"signature")&gt;0,"vente_signature",IF(COUNTIFS(Ventes!C:C,D492,Ventes!AD:AD,"oui")&gt;0,"vente_bloquee",IF(COUNTIFS(Gestion_Locative!C:C,D492,Gestion_Locative!O:O,"incomplet")&gt;0,"gestion_fragile","stable"))))</f>
        <v>vente_bloquee</v>
      </c>
    </row>
    <row r="493" spans="1:22" ht="14.4" hidden="1" x14ac:dyDescent="0.3">
      <c r="A493" s="6" t="s">
        <v>262</v>
      </c>
      <c r="B493" s="1" t="s">
        <v>4517</v>
      </c>
      <c r="C493" s="6" t="s">
        <v>2554</v>
      </c>
      <c r="D493" s="6" t="s">
        <v>2600</v>
      </c>
      <c r="E493" s="6" t="s">
        <v>2556</v>
      </c>
      <c r="F493" s="6" t="s">
        <v>2601</v>
      </c>
      <c r="G493" s="18">
        <v>11</v>
      </c>
      <c r="H493">
        <v>28</v>
      </c>
      <c r="I493">
        <v>29</v>
      </c>
      <c r="J493" s="7" t="s">
        <v>2602</v>
      </c>
      <c r="K493" s="7" t="s">
        <v>2603</v>
      </c>
      <c r="L493" s="7" t="s">
        <v>2604</v>
      </c>
      <c r="M493" s="7" t="s">
        <v>2605</v>
      </c>
      <c r="N493" s="7"/>
      <c r="O493" s="7" t="s">
        <v>90</v>
      </c>
      <c r="P493" s="7"/>
      <c r="Q493" s="7" t="s">
        <v>93</v>
      </c>
      <c r="R493" s="7"/>
      <c r="S493" s="8"/>
      <c r="T493" s="8"/>
      <c r="U493" s="9" t="str">
        <f>IF(COUNTIFS(Contacts_Activation!D:D,D493,Contacts_Activation!N:N,"oui")&gt;0,"oui","non")</f>
        <v>oui</v>
      </c>
      <c r="V493" s="9" t="str">
        <f>IF(COUNTIFS(Travaux!C:C,D493,Travaux!X:X,"en_cours")&gt;0,"travaux_en_cours",IF(COUNTIFS(Ventes!C:C,D493,Ventes!L:L,"signature")&gt;0,"vente_signature",IF(COUNTIFS(Ventes!C:C,D493,Ventes!AD:AD,"oui")&gt;0,"vente_bloquee",IF(COUNTIFS(Gestion_Locative!C:C,D493,Gestion_Locative!O:O,"incomplet")&gt;0,"gestion_fragile","stable"))))</f>
        <v>vente_bloquee</v>
      </c>
    </row>
    <row r="494" spans="1:22" ht="14.4" hidden="1" x14ac:dyDescent="0.3">
      <c r="A494" s="6" t="s">
        <v>262</v>
      </c>
      <c r="B494" s="1" t="s">
        <v>4517</v>
      </c>
      <c r="C494" s="6" t="s">
        <v>2554</v>
      </c>
      <c r="D494" s="6" t="s">
        <v>2606</v>
      </c>
      <c r="E494" s="6" t="s">
        <v>2556</v>
      </c>
      <c r="F494" s="6" t="s">
        <v>2607</v>
      </c>
      <c r="G494" s="18">
        <v>11</v>
      </c>
      <c r="H494">
        <v>28</v>
      </c>
      <c r="I494">
        <v>29</v>
      </c>
      <c r="J494" s="7" t="s">
        <v>658</v>
      </c>
      <c r="K494" s="7" t="s">
        <v>846</v>
      </c>
      <c r="L494" s="7" t="s">
        <v>2608</v>
      </c>
      <c r="M494" s="7" t="s">
        <v>2609</v>
      </c>
      <c r="N494" s="7"/>
      <c r="O494" s="7" t="s">
        <v>90</v>
      </c>
      <c r="P494" s="7"/>
      <c r="Q494" s="7" t="s">
        <v>93</v>
      </c>
      <c r="R494" s="7"/>
      <c r="S494" s="8"/>
      <c r="T494" s="8"/>
      <c r="U494" s="9" t="str">
        <f>IF(COUNTIFS(Contacts_Activation!D:D,D494,Contacts_Activation!N:N,"oui")&gt;0,"oui","non")</f>
        <v>oui</v>
      </c>
      <c r="V494" s="9" t="str">
        <f>IF(COUNTIFS(Travaux!C:C,D494,Travaux!X:X,"en_cours")&gt;0,"travaux_en_cours",IF(COUNTIFS(Ventes!C:C,D494,Ventes!L:L,"signature")&gt;0,"vente_signature",IF(COUNTIFS(Ventes!C:C,D494,Ventes!AD:AD,"oui")&gt;0,"vente_bloquee",IF(COUNTIFS(Gestion_Locative!C:C,D494,Gestion_Locative!O:O,"incomplet")&gt;0,"gestion_fragile","stable"))))</f>
        <v>vente_bloquee</v>
      </c>
    </row>
    <row r="495" spans="1:22" ht="27.6" hidden="1" x14ac:dyDescent="0.3">
      <c r="A495" s="6" t="s">
        <v>202</v>
      </c>
      <c r="B495" s="1" t="s">
        <v>4520</v>
      </c>
      <c r="C495" s="6" t="s">
        <v>2610</v>
      </c>
      <c r="D495" s="6" t="s">
        <v>2611</v>
      </c>
      <c r="E495" s="6" t="s">
        <v>82</v>
      </c>
      <c r="F495" s="6" t="s">
        <v>2612</v>
      </c>
      <c r="G495" s="18">
        <v>20</v>
      </c>
      <c r="H495">
        <v>82</v>
      </c>
      <c r="I495">
        <v>29</v>
      </c>
      <c r="J495" s="7" t="s">
        <v>1728</v>
      </c>
      <c r="K495" s="7" t="s">
        <v>2613</v>
      </c>
      <c r="L495" s="7" t="s">
        <v>2614</v>
      </c>
      <c r="M495" s="7" t="s">
        <v>2615</v>
      </c>
      <c r="N495" s="7" t="s">
        <v>2616</v>
      </c>
      <c r="O495" s="7" t="s">
        <v>93</v>
      </c>
      <c r="P495" s="7" t="s">
        <v>209</v>
      </c>
      <c r="Q495" s="7" t="s">
        <v>93</v>
      </c>
      <c r="R495" s="7"/>
      <c r="S495" s="8"/>
      <c r="T495" s="8"/>
      <c r="U495" s="9" t="str">
        <f>IF(COUNTIFS(Contacts_Activation!D:D,D495,Contacts_Activation!N:N,"oui")&gt;0,"oui","non")</f>
        <v>oui</v>
      </c>
      <c r="V495" s="9" t="str">
        <f>IF(COUNTIFS(Travaux!C:C,D495,Travaux!X:X,"en_cours")&gt;0,"travaux_en_cours",IF(COUNTIFS(Ventes!C:C,D495,Ventes!L:L,"signature")&gt;0,"vente_signature",IF(COUNTIFS(Ventes!C:C,D495,Ventes!AD:AD,"oui")&gt;0,"vente_bloquee",IF(COUNTIFS(Gestion_Locative!C:C,D495,Gestion_Locative!O:O,"incomplet")&gt;0,"gestion_fragile","stable"))))</f>
        <v>vente_bloquee</v>
      </c>
    </row>
    <row r="496" spans="1:22" ht="27.6" hidden="1" x14ac:dyDescent="0.3">
      <c r="A496" s="6" t="s">
        <v>202</v>
      </c>
      <c r="B496" s="1" t="s">
        <v>4520</v>
      </c>
      <c r="C496" s="6" t="s">
        <v>2610</v>
      </c>
      <c r="D496" s="6" t="s">
        <v>2617</v>
      </c>
      <c r="E496" s="6" t="s">
        <v>82</v>
      </c>
      <c r="F496" s="6" t="s">
        <v>2618</v>
      </c>
      <c r="G496" s="18">
        <v>20</v>
      </c>
      <c r="H496">
        <v>82</v>
      </c>
      <c r="I496">
        <v>29</v>
      </c>
      <c r="J496" s="7" t="s">
        <v>2619</v>
      </c>
      <c r="K496" s="7" t="s">
        <v>2620</v>
      </c>
      <c r="L496" s="7" t="s">
        <v>2621</v>
      </c>
      <c r="M496" s="7"/>
      <c r="N496" s="7"/>
      <c r="O496" s="7" t="s">
        <v>93</v>
      </c>
      <c r="P496" s="7" t="s">
        <v>209</v>
      </c>
      <c r="Q496" s="7" t="s">
        <v>93</v>
      </c>
      <c r="R496" s="7"/>
      <c r="S496" s="8"/>
      <c r="T496" s="8"/>
      <c r="U496" s="9" t="str">
        <f>IF(COUNTIFS(Contacts_Activation!D:D,D496,Contacts_Activation!N:N,"oui")&gt;0,"oui","non")</f>
        <v>oui</v>
      </c>
      <c r="V496" s="9" t="str">
        <f>IF(COUNTIFS(Travaux!C:C,D496,Travaux!X:X,"en_cours")&gt;0,"travaux_en_cours",IF(COUNTIFS(Ventes!C:C,D496,Ventes!L:L,"signature")&gt;0,"vente_signature",IF(COUNTIFS(Ventes!C:C,D496,Ventes!AD:AD,"oui")&gt;0,"vente_bloquee",IF(COUNTIFS(Gestion_Locative!C:C,D496,Gestion_Locative!O:O,"incomplet")&gt;0,"gestion_fragile","stable"))))</f>
        <v>vente_bloquee</v>
      </c>
    </row>
    <row r="497" spans="1:22" ht="27.6" hidden="1" x14ac:dyDescent="0.3">
      <c r="A497" s="6" t="s">
        <v>202</v>
      </c>
      <c r="B497" s="1" t="s">
        <v>4520</v>
      </c>
      <c r="C497" s="6" t="s">
        <v>2610</v>
      </c>
      <c r="D497" s="6" t="s">
        <v>2622</v>
      </c>
      <c r="E497" s="6" t="s">
        <v>82</v>
      </c>
      <c r="F497" s="6" t="s">
        <v>2623</v>
      </c>
      <c r="G497" s="18">
        <v>20</v>
      </c>
      <c r="H497">
        <v>82</v>
      </c>
      <c r="I497">
        <v>29</v>
      </c>
      <c r="J497" s="7" t="s">
        <v>932</v>
      </c>
      <c r="K497" s="7" t="s">
        <v>2624</v>
      </c>
      <c r="L497" s="7" t="s">
        <v>2625</v>
      </c>
      <c r="M497" s="7" t="s">
        <v>2626</v>
      </c>
      <c r="N497" s="7"/>
      <c r="O497" s="7" t="s">
        <v>93</v>
      </c>
      <c r="P497" s="7" t="s">
        <v>209</v>
      </c>
      <c r="Q497" s="7" t="s">
        <v>93</v>
      </c>
      <c r="R497" s="7"/>
      <c r="S497" s="8"/>
      <c r="T497" s="8"/>
      <c r="U497" s="9" t="str">
        <f>IF(COUNTIFS(Contacts_Activation!D:D,D497,Contacts_Activation!N:N,"oui")&gt;0,"oui","non")</f>
        <v>oui</v>
      </c>
      <c r="V497" s="9" t="str">
        <f>IF(COUNTIFS(Travaux!C:C,D497,Travaux!X:X,"en_cours")&gt;0,"travaux_en_cours",IF(COUNTIFS(Ventes!C:C,D497,Ventes!L:L,"signature")&gt;0,"vente_signature",IF(COUNTIFS(Ventes!C:C,D497,Ventes!AD:AD,"oui")&gt;0,"vente_bloquee",IF(COUNTIFS(Gestion_Locative!C:C,D497,Gestion_Locative!O:O,"incomplet")&gt;0,"gestion_fragile","stable"))))</f>
        <v>vente_bloquee</v>
      </c>
    </row>
    <row r="498" spans="1:22" ht="27.6" hidden="1" x14ac:dyDescent="0.3">
      <c r="A498" s="6" t="s">
        <v>202</v>
      </c>
      <c r="B498" s="1" t="s">
        <v>4520</v>
      </c>
      <c r="C498" s="6" t="s">
        <v>2610</v>
      </c>
      <c r="D498" s="6" t="s">
        <v>2627</v>
      </c>
      <c r="E498" s="6" t="s">
        <v>82</v>
      </c>
      <c r="F498" s="6" t="s">
        <v>2628</v>
      </c>
      <c r="G498" s="18">
        <v>20</v>
      </c>
      <c r="H498">
        <v>82</v>
      </c>
      <c r="I498">
        <v>29</v>
      </c>
      <c r="J498" s="7" t="s">
        <v>2629</v>
      </c>
      <c r="K498" s="7" t="s">
        <v>2630</v>
      </c>
      <c r="L498" s="7" t="s">
        <v>2631</v>
      </c>
      <c r="M498" s="7"/>
      <c r="N498" s="7"/>
      <c r="O498" s="7" t="s">
        <v>93</v>
      </c>
      <c r="P498" s="7" t="s">
        <v>209</v>
      </c>
      <c r="Q498" s="7" t="s">
        <v>93</v>
      </c>
      <c r="R498" s="7"/>
      <c r="S498" s="8"/>
      <c r="T498" s="8"/>
      <c r="U498" s="9" t="str">
        <f>IF(COUNTIFS(Contacts_Activation!D:D,D498,Contacts_Activation!N:N,"oui")&gt;0,"oui","non")</f>
        <v>oui</v>
      </c>
      <c r="V498" s="9" t="str">
        <f>IF(COUNTIFS(Travaux!C:C,D498,Travaux!X:X,"en_cours")&gt;0,"travaux_en_cours",IF(COUNTIFS(Ventes!C:C,D498,Ventes!L:L,"signature")&gt;0,"vente_signature",IF(COUNTIFS(Ventes!C:C,D498,Ventes!AD:AD,"oui")&gt;0,"vente_bloquee",IF(COUNTIFS(Gestion_Locative!C:C,D498,Gestion_Locative!O:O,"incomplet")&gt;0,"gestion_fragile","stable"))))</f>
        <v>vente_bloquee</v>
      </c>
    </row>
    <row r="499" spans="1:22" ht="27.6" hidden="1" x14ac:dyDescent="0.3">
      <c r="A499" s="6" t="s">
        <v>202</v>
      </c>
      <c r="B499" s="1" t="s">
        <v>4520</v>
      </c>
      <c r="C499" s="6" t="s">
        <v>2610</v>
      </c>
      <c r="D499" s="6" t="s">
        <v>2632</v>
      </c>
      <c r="E499" s="6" t="s">
        <v>82</v>
      </c>
      <c r="F499" s="6" t="s">
        <v>2633</v>
      </c>
      <c r="G499" s="18">
        <v>20</v>
      </c>
      <c r="H499">
        <v>82</v>
      </c>
      <c r="I499">
        <v>29</v>
      </c>
      <c r="J499" s="7" t="s">
        <v>428</v>
      </c>
      <c r="K499" s="7" t="s">
        <v>1364</v>
      </c>
      <c r="L499" s="7" t="s">
        <v>2634</v>
      </c>
      <c r="M499" s="7"/>
      <c r="N499" s="7" t="s">
        <v>2635</v>
      </c>
      <c r="O499" s="7" t="s">
        <v>93</v>
      </c>
      <c r="P499" s="7" t="s">
        <v>209</v>
      </c>
      <c r="Q499" s="7" t="s">
        <v>93</v>
      </c>
      <c r="R499" s="7"/>
      <c r="S499" s="8"/>
      <c r="T499" s="8"/>
      <c r="U499" s="9" t="str">
        <f>IF(COUNTIFS(Contacts_Activation!D:D,D499,Contacts_Activation!N:N,"oui")&gt;0,"oui","non")</f>
        <v>oui</v>
      </c>
      <c r="V499" s="9" t="str">
        <f>IF(COUNTIFS(Travaux!C:C,D499,Travaux!X:X,"en_cours")&gt;0,"travaux_en_cours",IF(COUNTIFS(Ventes!C:C,D499,Ventes!L:L,"signature")&gt;0,"vente_signature",IF(COUNTIFS(Ventes!C:C,D499,Ventes!AD:AD,"oui")&gt;0,"vente_bloquee",IF(COUNTIFS(Gestion_Locative!C:C,D499,Gestion_Locative!O:O,"incomplet")&gt;0,"gestion_fragile","stable"))))</f>
        <v>vente_bloquee</v>
      </c>
    </row>
    <row r="500" spans="1:22" ht="27.6" hidden="1" x14ac:dyDescent="0.3">
      <c r="A500" s="6" t="s">
        <v>202</v>
      </c>
      <c r="B500" s="1" t="s">
        <v>4520</v>
      </c>
      <c r="C500" s="6" t="s">
        <v>2610</v>
      </c>
      <c r="D500" s="6" t="s">
        <v>2636</v>
      </c>
      <c r="E500" s="6" t="s">
        <v>82</v>
      </c>
      <c r="F500" s="6" t="s">
        <v>2637</v>
      </c>
      <c r="G500" s="18">
        <v>20</v>
      </c>
      <c r="H500">
        <v>82</v>
      </c>
      <c r="I500">
        <v>29</v>
      </c>
      <c r="J500" s="7" t="s">
        <v>630</v>
      </c>
      <c r="K500" s="7" t="s">
        <v>2638</v>
      </c>
      <c r="L500" s="7" t="s">
        <v>2639</v>
      </c>
      <c r="M500" s="7"/>
      <c r="N500" s="7"/>
      <c r="O500" s="7" t="s">
        <v>93</v>
      </c>
      <c r="P500" s="7" t="s">
        <v>209</v>
      </c>
      <c r="Q500" s="7" t="s">
        <v>93</v>
      </c>
      <c r="R500" s="7"/>
      <c r="S500" s="8"/>
      <c r="T500" s="8"/>
      <c r="U500" s="9" t="str">
        <f>IF(COUNTIFS(Contacts_Activation!D:D,D500,Contacts_Activation!N:N,"oui")&gt;0,"oui","non")</f>
        <v>oui</v>
      </c>
      <c r="V500" s="9" t="str">
        <f>IF(COUNTIFS(Travaux!C:C,D500,Travaux!X:X,"en_cours")&gt;0,"travaux_en_cours",IF(COUNTIFS(Ventes!C:C,D500,Ventes!L:L,"signature")&gt;0,"vente_signature",IF(COUNTIFS(Ventes!C:C,D500,Ventes!AD:AD,"oui")&gt;0,"vente_bloquee",IF(COUNTIFS(Gestion_Locative!C:C,D500,Gestion_Locative!O:O,"incomplet")&gt;0,"gestion_fragile","stable"))))</f>
        <v>vente_bloquee</v>
      </c>
    </row>
    <row r="501" spans="1:22" ht="27.6" hidden="1" x14ac:dyDescent="0.3">
      <c r="A501" s="6" t="s">
        <v>202</v>
      </c>
      <c r="B501" s="1" t="s">
        <v>4520</v>
      </c>
      <c r="C501" s="6" t="s">
        <v>2610</v>
      </c>
      <c r="D501" s="6" t="s">
        <v>2640</v>
      </c>
      <c r="E501" s="6" t="s">
        <v>82</v>
      </c>
      <c r="F501" s="6" t="s">
        <v>2641</v>
      </c>
      <c r="G501" s="18">
        <v>20</v>
      </c>
      <c r="H501">
        <v>82</v>
      </c>
      <c r="I501">
        <v>29</v>
      </c>
      <c r="J501" s="7" t="s">
        <v>264</v>
      </c>
      <c r="K501" s="7" t="s">
        <v>2642</v>
      </c>
      <c r="L501" s="7" t="s">
        <v>2643</v>
      </c>
      <c r="M501" s="7" t="s">
        <v>2644</v>
      </c>
      <c r="N501" s="7" t="s">
        <v>2645</v>
      </c>
      <c r="O501" s="7" t="s">
        <v>93</v>
      </c>
      <c r="P501" s="7" t="s">
        <v>209</v>
      </c>
      <c r="Q501" s="7" t="s">
        <v>93</v>
      </c>
      <c r="R501" s="7"/>
      <c r="S501" s="8"/>
      <c r="T501" s="8"/>
      <c r="U501" s="9" t="str">
        <f>IF(COUNTIFS(Contacts_Activation!D:D,D501,Contacts_Activation!N:N,"oui")&gt;0,"oui","non")</f>
        <v>oui</v>
      </c>
      <c r="V501" s="9" t="str">
        <f>IF(COUNTIFS(Travaux!C:C,D501,Travaux!X:X,"en_cours")&gt;0,"travaux_en_cours",IF(COUNTIFS(Ventes!C:C,D501,Ventes!L:L,"signature")&gt;0,"vente_signature",IF(COUNTIFS(Ventes!C:C,D501,Ventes!AD:AD,"oui")&gt;0,"vente_bloquee",IF(COUNTIFS(Gestion_Locative!C:C,D501,Gestion_Locative!O:O,"incomplet")&gt;0,"gestion_fragile","stable"))))</f>
        <v>vente_bloquee</v>
      </c>
    </row>
    <row r="502" spans="1:22" ht="27.6" hidden="1" x14ac:dyDescent="0.3">
      <c r="A502" s="6" t="s">
        <v>202</v>
      </c>
      <c r="B502" s="1" t="s">
        <v>4520</v>
      </c>
      <c r="C502" s="6" t="s">
        <v>2610</v>
      </c>
      <c r="D502" s="6" t="s">
        <v>2646</v>
      </c>
      <c r="E502" s="6" t="s">
        <v>82</v>
      </c>
      <c r="F502" s="6" t="s">
        <v>2647</v>
      </c>
      <c r="G502" s="18">
        <v>20</v>
      </c>
      <c r="H502">
        <v>82</v>
      </c>
      <c r="I502">
        <v>29</v>
      </c>
      <c r="J502" s="7" t="s">
        <v>264</v>
      </c>
      <c r="K502" s="7" t="s">
        <v>2648</v>
      </c>
      <c r="L502" s="7" t="s">
        <v>2649</v>
      </c>
      <c r="M502" s="7"/>
      <c r="N502" s="7"/>
      <c r="O502" s="7" t="s">
        <v>93</v>
      </c>
      <c r="P502" s="7" t="s">
        <v>209</v>
      </c>
      <c r="Q502" s="7" t="s">
        <v>93</v>
      </c>
      <c r="R502" s="7"/>
      <c r="S502" s="8"/>
      <c r="T502" s="8"/>
      <c r="U502" s="9" t="str">
        <f>IF(COUNTIFS(Contacts_Activation!D:D,D502,Contacts_Activation!N:N,"oui")&gt;0,"oui","non")</f>
        <v>oui</v>
      </c>
      <c r="V502" s="9" t="str">
        <f>IF(COUNTIFS(Travaux!C:C,D502,Travaux!X:X,"en_cours")&gt;0,"travaux_en_cours",IF(COUNTIFS(Ventes!C:C,D502,Ventes!L:L,"signature")&gt;0,"vente_signature",IF(COUNTIFS(Ventes!C:C,D502,Ventes!AD:AD,"oui")&gt;0,"vente_bloquee",IF(COUNTIFS(Gestion_Locative!C:C,D502,Gestion_Locative!O:O,"incomplet")&gt;0,"gestion_fragile","stable"))))</f>
        <v>vente_bloquee</v>
      </c>
    </row>
    <row r="503" spans="1:22" ht="27.6" hidden="1" x14ac:dyDescent="0.3">
      <c r="A503" s="6" t="s">
        <v>202</v>
      </c>
      <c r="B503" s="1" t="s">
        <v>4520</v>
      </c>
      <c r="C503" s="6" t="s">
        <v>2610</v>
      </c>
      <c r="D503" s="6" t="s">
        <v>2650</v>
      </c>
      <c r="E503" s="6" t="s">
        <v>82</v>
      </c>
      <c r="F503" s="6" t="s">
        <v>2651</v>
      </c>
      <c r="G503" s="18">
        <v>20</v>
      </c>
      <c r="H503">
        <v>82</v>
      </c>
      <c r="I503">
        <v>29</v>
      </c>
      <c r="J503" s="7" t="s">
        <v>2652</v>
      </c>
      <c r="K503" s="7" t="s">
        <v>939</v>
      </c>
      <c r="L503" s="7" t="s">
        <v>2653</v>
      </c>
      <c r="M503" s="7"/>
      <c r="N503" s="7"/>
      <c r="O503" s="7" t="s">
        <v>93</v>
      </c>
      <c r="P503" s="7" t="s">
        <v>209</v>
      </c>
      <c r="Q503" s="7" t="s">
        <v>93</v>
      </c>
      <c r="R503" s="7"/>
      <c r="S503" s="8"/>
      <c r="T503" s="8"/>
      <c r="U503" s="9" t="str">
        <f>IF(COUNTIFS(Contacts_Activation!D:D,D503,Contacts_Activation!N:N,"oui")&gt;0,"oui","non")</f>
        <v>oui</v>
      </c>
      <c r="V503" s="9" t="str">
        <f>IF(COUNTIFS(Travaux!C:C,D503,Travaux!X:X,"en_cours")&gt;0,"travaux_en_cours",IF(COUNTIFS(Ventes!C:C,D503,Ventes!L:L,"signature")&gt;0,"vente_signature",IF(COUNTIFS(Ventes!C:C,D503,Ventes!AD:AD,"oui")&gt;0,"vente_bloquee",IF(COUNTIFS(Gestion_Locative!C:C,D503,Gestion_Locative!O:O,"incomplet")&gt;0,"gestion_fragile","stable"))))</f>
        <v>vente_bloquee</v>
      </c>
    </row>
    <row r="504" spans="1:22" ht="27.6" hidden="1" x14ac:dyDescent="0.3">
      <c r="A504" s="6" t="s">
        <v>202</v>
      </c>
      <c r="B504" s="1" t="s">
        <v>4520</v>
      </c>
      <c r="C504" s="6" t="s">
        <v>2610</v>
      </c>
      <c r="D504" s="6" t="s">
        <v>2654</v>
      </c>
      <c r="E504" s="6" t="s">
        <v>82</v>
      </c>
      <c r="F504" s="6" t="s">
        <v>2655</v>
      </c>
      <c r="G504" s="18">
        <v>20</v>
      </c>
      <c r="H504">
        <v>82</v>
      </c>
      <c r="I504">
        <v>29</v>
      </c>
      <c r="J504" s="7" t="s">
        <v>2656</v>
      </c>
      <c r="K504" s="7" t="s">
        <v>2657</v>
      </c>
      <c r="L504" s="7" t="s">
        <v>2658</v>
      </c>
      <c r="M504" s="7"/>
      <c r="N504" s="7"/>
      <c r="O504" s="7" t="s">
        <v>93</v>
      </c>
      <c r="P504" s="7" t="s">
        <v>209</v>
      </c>
      <c r="Q504" s="7" t="s">
        <v>93</v>
      </c>
      <c r="R504" s="7"/>
      <c r="S504" s="8"/>
      <c r="T504" s="8"/>
      <c r="U504" s="9" t="str">
        <f>IF(COUNTIFS(Contacts_Activation!D:D,D504,Contacts_Activation!N:N,"oui")&gt;0,"oui","non")</f>
        <v>oui</v>
      </c>
      <c r="V504" s="9" t="str">
        <f>IF(COUNTIFS(Travaux!C:C,D504,Travaux!X:X,"en_cours")&gt;0,"travaux_en_cours",IF(COUNTIFS(Ventes!C:C,D504,Ventes!L:L,"signature")&gt;0,"vente_signature",IF(COUNTIFS(Ventes!C:C,D504,Ventes!AD:AD,"oui")&gt;0,"vente_bloquee",IF(COUNTIFS(Gestion_Locative!C:C,D504,Gestion_Locative!O:O,"incomplet")&gt;0,"gestion_fragile","stable"))))</f>
        <v>vente_bloquee</v>
      </c>
    </row>
    <row r="505" spans="1:22" ht="27.6" hidden="1" x14ac:dyDescent="0.3">
      <c r="A505" s="6" t="s">
        <v>202</v>
      </c>
      <c r="B505" s="1" t="s">
        <v>4520</v>
      </c>
      <c r="C505" s="6" t="s">
        <v>2610</v>
      </c>
      <c r="D505" s="6" t="s">
        <v>2659</v>
      </c>
      <c r="E505" s="6" t="s">
        <v>82</v>
      </c>
      <c r="F505" s="6" t="s">
        <v>2660</v>
      </c>
      <c r="G505" s="18">
        <v>20</v>
      </c>
      <c r="H505">
        <v>82</v>
      </c>
      <c r="I505">
        <v>29</v>
      </c>
      <c r="J505" s="7" t="s">
        <v>2661</v>
      </c>
      <c r="K505" s="7" t="s">
        <v>2662</v>
      </c>
      <c r="L505" s="7" t="s">
        <v>2663</v>
      </c>
      <c r="M505" s="7"/>
      <c r="N505" s="7"/>
      <c r="O505" s="7" t="s">
        <v>93</v>
      </c>
      <c r="P505" s="7" t="s">
        <v>209</v>
      </c>
      <c r="Q505" s="7" t="s">
        <v>93</v>
      </c>
      <c r="R505" s="7"/>
      <c r="S505" s="8"/>
      <c r="T505" s="8"/>
      <c r="U505" s="9" t="str">
        <f>IF(COUNTIFS(Contacts_Activation!D:D,D505,Contacts_Activation!N:N,"oui")&gt;0,"oui","non")</f>
        <v>oui</v>
      </c>
      <c r="V505" s="9" t="str">
        <f>IF(COUNTIFS(Travaux!C:C,D505,Travaux!X:X,"en_cours")&gt;0,"travaux_en_cours",IF(COUNTIFS(Ventes!C:C,D505,Ventes!L:L,"signature")&gt;0,"vente_signature",IF(COUNTIFS(Ventes!C:C,D505,Ventes!AD:AD,"oui")&gt;0,"vente_bloquee",IF(COUNTIFS(Gestion_Locative!C:C,D505,Gestion_Locative!O:O,"incomplet")&gt;0,"gestion_fragile","stable"))))</f>
        <v>vente_bloquee</v>
      </c>
    </row>
    <row r="506" spans="1:22" ht="27.6" hidden="1" x14ac:dyDescent="0.3">
      <c r="A506" s="6" t="s">
        <v>202</v>
      </c>
      <c r="B506" s="1" t="s">
        <v>4520</v>
      </c>
      <c r="C506" s="6" t="s">
        <v>2610</v>
      </c>
      <c r="D506" s="6" t="s">
        <v>2664</v>
      </c>
      <c r="E506" s="6" t="s">
        <v>82</v>
      </c>
      <c r="F506" s="6" t="s">
        <v>2665</v>
      </c>
      <c r="G506" s="18">
        <v>20</v>
      </c>
      <c r="H506">
        <v>82</v>
      </c>
      <c r="I506">
        <v>29</v>
      </c>
      <c r="J506" s="7" t="s">
        <v>272</v>
      </c>
      <c r="K506" s="7" t="s">
        <v>2666</v>
      </c>
      <c r="L506" s="7" t="s">
        <v>2667</v>
      </c>
      <c r="M506" s="7"/>
      <c r="N506" s="7"/>
      <c r="O506" s="7" t="s">
        <v>93</v>
      </c>
      <c r="P506" s="7" t="s">
        <v>209</v>
      </c>
      <c r="Q506" s="7" t="s">
        <v>93</v>
      </c>
      <c r="R506" s="7"/>
      <c r="S506" s="8"/>
      <c r="T506" s="8"/>
      <c r="U506" s="9" t="str">
        <f>IF(COUNTIFS(Contacts_Activation!D:D,D506,Contacts_Activation!N:N,"oui")&gt;0,"oui","non")</f>
        <v>oui</v>
      </c>
      <c r="V506" s="9" t="str">
        <f>IF(COUNTIFS(Travaux!C:C,D506,Travaux!X:X,"en_cours")&gt;0,"travaux_en_cours",IF(COUNTIFS(Ventes!C:C,D506,Ventes!L:L,"signature")&gt;0,"vente_signature",IF(COUNTIFS(Ventes!C:C,D506,Ventes!AD:AD,"oui")&gt;0,"vente_bloquee",IF(COUNTIFS(Gestion_Locative!C:C,D506,Gestion_Locative!O:O,"incomplet")&gt;0,"gestion_fragile","stable"))))</f>
        <v>vente_bloquee</v>
      </c>
    </row>
    <row r="507" spans="1:22" ht="27.6" hidden="1" x14ac:dyDescent="0.3">
      <c r="A507" s="6" t="s">
        <v>202</v>
      </c>
      <c r="B507" s="1" t="s">
        <v>4520</v>
      </c>
      <c r="C507" s="6" t="s">
        <v>2610</v>
      </c>
      <c r="D507" s="6" t="s">
        <v>2668</v>
      </c>
      <c r="E507" s="6" t="s">
        <v>82</v>
      </c>
      <c r="F507" s="6" t="s">
        <v>2669</v>
      </c>
      <c r="G507" s="18">
        <v>20</v>
      </c>
      <c r="H507">
        <v>82</v>
      </c>
      <c r="I507">
        <v>29</v>
      </c>
      <c r="J507" s="7" t="s">
        <v>2670</v>
      </c>
      <c r="K507" s="7" t="s">
        <v>2671</v>
      </c>
      <c r="L507" s="7"/>
      <c r="M507" s="7"/>
      <c r="N507" s="7"/>
      <c r="O507" s="7" t="s">
        <v>93</v>
      </c>
      <c r="P507" s="7" t="s">
        <v>209</v>
      </c>
      <c r="Q507" s="7" t="s">
        <v>93</v>
      </c>
      <c r="R507" s="7"/>
      <c r="S507" s="8"/>
      <c r="T507" s="8"/>
      <c r="U507" s="9" t="str">
        <f>IF(COUNTIFS(Contacts_Activation!D:D,D507,Contacts_Activation!N:N,"oui")&gt;0,"oui","non")</f>
        <v>oui</v>
      </c>
      <c r="V507" s="9" t="str">
        <f>IF(COUNTIFS(Travaux!C:C,D507,Travaux!X:X,"en_cours")&gt;0,"travaux_en_cours",IF(COUNTIFS(Ventes!C:C,D507,Ventes!L:L,"signature")&gt;0,"vente_signature",IF(COUNTIFS(Ventes!C:C,D507,Ventes!AD:AD,"oui")&gt;0,"vente_bloquee",IF(COUNTIFS(Gestion_Locative!C:C,D507,Gestion_Locative!O:O,"incomplet")&gt;0,"gestion_fragile","stable"))))</f>
        <v>vente_bloquee</v>
      </c>
    </row>
    <row r="508" spans="1:22" ht="27.6" hidden="1" x14ac:dyDescent="0.3">
      <c r="A508" s="6" t="s">
        <v>202</v>
      </c>
      <c r="B508" s="1" t="s">
        <v>4520</v>
      </c>
      <c r="C508" s="6" t="s">
        <v>2610</v>
      </c>
      <c r="D508" s="6" t="s">
        <v>2672</v>
      </c>
      <c r="E508" s="6" t="s">
        <v>82</v>
      </c>
      <c r="F508" s="6" t="s">
        <v>2673</v>
      </c>
      <c r="G508" s="18">
        <v>20</v>
      </c>
      <c r="H508">
        <v>82</v>
      </c>
      <c r="I508">
        <v>29</v>
      </c>
      <c r="J508" s="7" t="s">
        <v>850</v>
      </c>
      <c r="K508" s="7" t="s">
        <v>2674</v>
      </c>
      <c r="L508" s="7" t="s">
        <v>2675</v>
      </c>
      <c r="M508" s="7"/>
      <c r="N508" s="7"/>
      <c r="O508" s="7" t="s">
        <v>93</v>
      </c>
      <c r="P508" s="7" t="s">
        <v>209</v>
      </c>
      <c r="Q508" s="7" t="s">
        <v>93</v>
      </c>
      <c r="R508" s="7"/>
      <c r="S508" s="8"/>
      <c r="T508" s="8"/>
      <c r="U508" s="9" t="str">
        <f>IF(COUNTIFS(Contacts_Activation!D:D,D508,Contacts_Activation!N:N,"oui")&gt;0,"oui","non")</f>
        <v>oui</v>
      </c>
      <c r="V508" s="9" t="str">
        <f>IF(COUNTIFS(Travaux!C:C,D508,Travaux!X:X,"en_cours")&gt;0,"travaux_en_cours",IF(COUNTIFS(Ventes!C:C,D508,Ventes!L:L,"signature")&gt;0,"vente_signature",IF(COUNTIFS(Ventes!C:C,D508,Ventes!AD:AD,"oui")&gt;0,"vente_bloquee",IF(COUNTIFS(Gestion_Locative!C:C,D508,Gestion_Locative!O:O,"incomplet")&gt;0,"gestion_fragile","stable"))))</f>
        <v>vente_bloquee</v>
      </c>
    </row>
    <row r="509" spans="1:22" ht="27.6" hidden="1" x14ac:dyDescent="0.3">
      <c r="A509" s="6" t="s">
        <v>202</v>
      </c>
      <c r="B509" s="1" t="s">
        <v>4520</v>
      </c>
      <c r="C509" s="6" t="s">
        <v>2610</v>
      </c>
      <c r="D509" s="6" t="s">
        <v>2676</v>
      </c>
      <c r="E509" s="6" t="s">
        <v>82</v>
      </c>
      <c r="F509" s="6" t="s">
        <v>2677</v>
      </c>
      <c r="G509" s="18">
        <v>20</v>
      </c>
      <c r="H509">
        <v>82</v>
      </c>
      <c r="I509">
        <v>29</v>
      </c>
      <c r="J509" s="7" t="s">
        <v>2678</v>
      </c>
      <c r="K509" s="7" t="s">
        <v>2679</v>
      </c>
      <c r="L509" s="7" t="s">
        <v>2680</v>
      </c>
      <c r="M509" s="7"/>
      <c r="N509" s="7"/>
      <c r="O509" s="7" t="s">
        <v>93</v>
      </c>
      <c r="P509" s="7" t="s">
        <v>209</v>
      </c>
      <c r="Q509" s="7" t="s">
        <v>93</v>
      </c>
      <c r="R509" s="7"/>
      <c r="S509" s="8"/>
      <c r="T509" s="8"/>
      <c r="U509" s="9" t="str">
        <f>IF(COUNTIFS(Contacts_Activation!D:D,D509,Contacts_Activation!N:N,"oui")&gt;0,"oui","non")</f>
        <v>oui</v>
      </c>
      <c r="V509" s="9" t="str">
        <f>IF(COUNTIFS(Travaux!C:C,D509,Travaux!X:X,"en_cours")&gt;0,"travaux_en_cours",IF(COUNTIFS(Ventes!C:C,D509,Ventes!L:L,"signature")&gt;0,"vente_signature",IF(COUNTIFS(Ventes!C:C,D509,Ventes!AD:AD,"oui")&gt;0,"vente_bloquee",IF(COUNTIFS(Gestion_Locative!C:C,D509,Gestion_Locative!O:O,"incomplet")&gt;0,"gestion_fragile","stable"))))</f>
        <v>vente_bloquee</v>
      </c>
    </row>
    <row r="510" spans="1:22" ht="27.6" hidden="1" x14ac:dyDescent="0.3">
      <c r="A510" s="6" t="s">
        <v>202</v>
      </c>
      <c r="B510" s="1" t="s">
        <v>4520</v>
      </c>
      <c r="C510" s="6" t="s">
        <v>2610</v>
      </c>
      <c r="D510" s="6" t="s">
        <v>2681</v>
      </c>
      <c r="E510" s="6" t="s">
        <v>82</v>
      </c>
      <c r="F510" s="6" t="s">
        <v>2682</v>
      </c>
      <c r="G510" s="18">
        <v>20</v>
      </c>
      <c r="H510">
        <v>82</v>
      </c>
      <c r="I510">
        <v>29</v>
      </c>
      <c r="J510" s="7" t="s">
        <v>2683</v>
      </c>
      <c r="K510" s="7" t="s">
        <v>2684</v>
      </c>
      <c r="L510" s="7"/>
      <c r="M510" s="7"/>
      <c r="N510" s="7"/>
      <c r="O510" s="7" t="s">
        <v>93</v>
      </c>
      <c r="P510" s="7" t="s">
        <v>209</v>
      </c>
      <c r="Q510" s="7" t="s">
        <v>93</v>
      </c>
      <c r="R510" s="7"/>
      <c r="S510" s="8"/>
      <c r="T510" s="8"/>
      <c r="U510" s="9" t="str">
        <f>IF(COUNTIFS(Contacts_Activation!D:D,D510,Contacts_Activation!N:N,"oui")&gt;0,"oui","non")</f>
        <v>oui</v>
      </c>
      <c r="V510" s="9" t="str">
        <f>IF(COUNTIFS(Travaux!C:C,D510,Travaux!X:X,"en_cours")&gt;0,"travaux_en_cours",IF(COUNTIFS(Ventes!C:C,D510,Ventes!L:L,"signature")&gt;0,"vente_signature",IF(COUNTIFS(Ventes!C:C,D510,Ventes!AD:AD,"oui")&gt;0,"vente_bloquee",IF(COUNTIFS(Gestion_Locative!C:C,D510,Gestion_Locative!O:O,"incomplet")&gt;0,"gestion_fragile","stable"))))</f>
        <v>vente_bloquee</v>
      </c>
    </row>
    <row r="511" spans="1:22" ht="27.6" hidden="1" x14ac:dyDescent="0.3">
      <c r="A511" s="6" t="s">
        <v>202</v>
      </c>
      <c r="B511" s="1" t="s">
        <v>4520</v>
      </c>
      <c r="C511" s="6" t="s">
        <v>2610</v>
      </c>
      <c r="D511" s="6" t="s">
        <v>2685</v>
      </c>
      <c r="E511" s="6" t="s">
        <v>82</v>
      </c>
      <c r="F511" s="6" t="s">
        <v>2686</v>
      </c>
      <c r="G511" s="18">
        <v>20</v>
      </c>
      <c r="H511">
        <v>82</v>
      </c>
      <c r="I511">
        <v>29</v>
      </c>
      <c r="J511" s="7" t="s">
        <v>2687</v>
      </c>
      <c r="K511" s="7" t="s">
        <v>2688</v>
      </c>
      <c r="L511" s="7" t="s">
        <v>2689</v>
      </c>
      <c r="M511" s="7"/>
      <c r="N511" s="7"/>
      <c r="O511" s="7" t="s">
        <v>93</v>
      </c>
      <c r="P511" s="7" t="s">
        <v>209</v>
      </c>
      <c r="Q511" s="7" t="s">
        <v>93</v>
      </c>
      <c r="R511" s="7"/>
      <c r="S511" s="8"/>
      <c r="T511" s="8"/>
      <c r="U511" s="9" t="str">
        <f>IF(COUNTIFS(Contacts_Activation!D:D,D511,Contacts_Activation!N:N,"oui")&gt;0,"oui","non")</f>
        <v>oui</v>
      </c>
      <c r="V511" s="9" t="str">
        <f>IF(COUNTIFS(Travaux!C:C,D511,Travaux!X:X,"en_cours")&gt;0,"travaux_en_cours",IF(COUNTIFS(Ventes!C:C,D511,Ventes!L:L,"signature")&gt;0,"vente_signature",IF(COUNTIFS(Ventes!C:C,D511,Ventes!AD:AD,"oui")&gt;0,"vente_bloquee",IF(COUNTIFS(Gestion_Locative!C:C,D511,Gestion_Locative!O:O,"incomplet")&gt;0,"gestion_fragile","stable"))))</f>
        <v>vente_bloquee</v>
      </c>
    </row>
    <row r="512" spans="1:22" ht="27.6" hidden="1" x14ac:dyDescent="0.3">
      <c r="A512" s="6" t="s">
        <v>202</v>
      </c>
      <c r="B512" s="1" t="s">
        <v>4520</v>
      </c>
      <c r="C512" s="6" t="s">
        <v>2610</v>
      </c>
      <c r="D512" s="6" t="s">
        <v>2690</v>
      </c>
      <c r="E512" s="6" t="s">
        <v>82</v>
      </c>
      <c r="F512" s="6" t="s">
        <v>2691</v>
      </c>
      <c r="G512" s="18">
        <v>20</v>
      </c>
      <c r="H512">
        <v>82</v>
      </c>
      <c r="I512">
        <v>29</v>
      </c>
      <c r="J512" s="7" t="s">
        <v>2692</v>
      </c>
      <c r="K512" s="7" t="s">
        <v>2693</v>
      </c>
      <c r="L512" s="7" t="s">
        <v>2694</v>
      </c>
      <c r="M512" s="7"/>
      <c r="N512" s="7"/>
      <c r="O512" s="7" t="s">
        <v>93</v>
      </c>
      <c r="P512" s="7" t="s">
        <v>209</v>
      </c>
      <c r="Q512" s="7" t="s">
        <v>93</v>
      </c>
      <c r="R512" s="7"/>
      <c r="S512" s="8"/>
      <c r="T512" s="8"/>
      <c r="U512" s="9" t="str">
        <f>IF(COUNTIFS(Contacts_Activation!D:D,D512,Contacts_Activation!N:N,"oui")&gt;0,"oui","non")</f>
        <v>oui</v>
      </c>
      <c r="V512" s="9" t="str">
        <f>IF(COUNTIFS(Travaux!C:C,D512,Travaux!X:X,"en_cours")&gt;0,"travaux_en_cours",IF(COUNTIFS(Ventes!C:C,D512,Ventes!L:L,"signature")&gt;0,"vente_signature",IF(COUNTIFS(Ventes!C:C,D512,Ventes!AD:AD,"oui")&gt;0,"vente_bloquee",IF(COUNTIFS(Gestion_Locative!C:C,D512,Gestion_Locative!O:O,"incomplet")&gt;0,"gestion_fragile","stable"))))</f>
        <v>vente_bloquee</v>
      </c>
    </row>
    <row r="513" spans="1:22" ht="27.6" hidden="1" x14ac:dyDescent="0.3">
      <c r="A513" s="6" t="s">
        <v>202</v>
      </c>
      <c r="B513" s="1" t="s">
        <v>4520</v>
      </c>
      <c r="C513" s="6" t="s">
        <v>2610</v>
      </c>
      <c r="D513" s="6" t="s">
        <v>2695</v>
      </c>
      <c r="E513" s="6" t="s">
        <v>82</v>
      </c>
      <c r="F513" s="6" t="s">
        <v>2696</v>
      </c>
      <c r="G513" s="18">
        <v>20</v>
      </c>
      <c r="H513">
        <v>82</v>
      </c>
      <c r="I513">
        <v>29</v>
      </c>
      <c r="J513" s="7" t="s">
        <v>2697</v>
      </c>
      <c r="K513" s="7" t="s">
        <v>2698</v>
      </c>
      <c r="L513" s="7"/>
      <c r="M513" s="7"/>
      <c r="N513" s="7"/>
      <c r="O513" s="7" t="s">
        <v>93</v>
      </c>
      <c r="P513" s="7" t="s">
        <v>209</v>
      </c>
      <c r="Q513" s="7" t="s">
        <v>93</v>
      </c>
      <c r="R513" s="7"/>
      <c r="S513" s="8"/>
      <c r="T513" s="8"/>
      <c r="U513" s="9" t="str">
        <f>IF(COUNTIFS(Contacts_Activation!D:D,D513,Contacts_Activation!N:N,"oui")&gt;0,"oui","non")</f>
        <v>oui</v>
      </c>
      <c r="V513" s="9" t="str">
        <f>IF(COUNTIFS(Travaux!C:C,D513,Travaux!X:X,"en_cours")&gt;0,"travaux_en_cours",IF(COUNTIFS(Ventes!C:C,D513,Ventes!L:L,"signature")&gt;0,"vente_signature",IF(COUNTIFS(Ventes!C:C,D513,Ventes!AD:AD,"oui")&gt;0,"vente_bloquee",IF(COUNTIFS(Gestion_Locative!C:C,D513,Gestion_Locative!O:O,"incomplet")&gt;0,"gestion_fragile","stable"))))</f>
        <v>vente_bloquee</v>
      </c>
    </row>
    <row r="514" spans="1:22" ht="27.6" hidden="1" x14ac:dyDescent="0.3">
      <c r="A514" s="6" t="s">
        <v>202</v>
      </c>
      <c r="B514" s="1" t="s">
        <v>4520</v>
      </c>
      <c r="C514" s="6" t="s">
        <v>2610</v>
      </c>
      <c r="D514" s="6" t="s">
        <v>2699</v>
      </c>
      <c r="E514" s="6" t="s">
        <v>82</v>
      </c>
      <c r="F514" s="6" t="s">
        <v>2700</v>
      </c>
      <c r="G514" s="18">
        <v>20</v>
      </c>
      <c r="H514">
        <v>82</v>
      </c>
      <c r="I514">
        <v>29</v>
      </c>
      <c r="J514" s="7" t="s">
        <v>2701</v>
      </c>
      <c r="K514" s="7" t="s">
        <v>2702</v>
      </c>
      <c r="L514" s="7" t="s">
        <v>2703</v>
      </c>
      <c r="M514" s="7" t="s">
        <v>2704</v>
      </c>
      <c r="N514" s="7"/>
      <c r="O514" s="7" t="s">
        <v>93</v>
      </c>
      <c r="P514" s="7" t="s">
        <v>209</v>
      </c>
      <c r="Q514" s="7" t="s">
        <v>93</v>
      </c>
      <c r="R514" s="7"/>
      <c r="S514" s="8"/>
      <c r="T514" s="8"/>
      <c r="U514" s="9" t="str">
        <f>IF(COUNTIFS(Contacts_Activation!D:D,D514,Contacts_Activation!N:N,"oui")&gt;0,"oui","non")</f>
        <v>oui</v>
      </c>
      <c r="V514" s="9" t="str">
        <f>IF(COUNTIFS(Travaux!C:C,D514,Travaux!X:X,"en_cours")&gt;0,"travaux_en_cours",IF(COUNTIFS(Ventes!C:C,D514,Ventes!L:L,"signature")&gt;0,"vente_signature",IF(COUNTIFS(Ventes!C:C,D514,Ventes!AD:AD,"oui")&gt;0,"vente_bloquee",IF(COUNTIFS(Gestion_Locative!C:C,D514,Gestion_Locative!O:O,"incomplet")&gt;0,"gestion_fragile","stable"))))</f>
        <v>vente_bloquee</v>
      </c>
    </row>
    <row r="515" spans="1:22" ht="27.6" hidden="1" x14ac:dyDescent="0.3">
      <c r="A515" s="6" t="s">
        <v>262</v>
      </c>
      <c r="B515" s="1" t="s">
        <v>4517</v>
      </c>
      <c r="C515" s="6" t="s">
        <v>2705</v>
      </c>
      <c r="D515" s="6" t="s">
        <v>2706</v>
      </c>
      <c r="E515" s="6" t="s">
        <v>2707</v>
      </c>
      <c r="F515" s="6" t="s">
        <v>2708</v>
      </c>
      <c r="G515" s="18">
        <v>15</v>
      </c>
      <c r="H515">
        <v>25</v>
      </c>
      <c r="I515">
        <v>34</v>
      </c>
      <c r="J515" s="7" t="s">
        <v>2709</v>
      </c>
      <c r="K515" s="7" t="s">
        <v>2710</v>
      </c>
      <c r="L515" s="7" t="s">
        <v>2711</v>
      </c>
      <c r="M515" s="7"/>
      <c r="N515" s="7"/>
      <c r="O515" s="7" t="s">
        <v>90</v>
      </c>
      <c r="P515" s="7"/>
      <c r="Q515" s="7" t="s">
        <v>93</v>
      </c>
      <c r="R515" s="7"/>
      <c r="S515" s="8"/>
      <c r="T515" s="8"/>
      <c r="U515" s="9" t="str">
        <f>IF(COUNTIFS(Contacts_Activation!D:D,D515,Contacts_Activation!N:N,"oui")&gt;0,"oui","non")</f>
        <v>oui</v>
      </c>
      <c r="V515" s="9" t="str">
        <f>IF(COUNTIFS(Travaux!C:C,D515,Travaux!X:X,"en_cours")&gt;0,"travaux_en_cours",IF(COUNTIFS(Ventes!C:C,D515,Ventes!L:L,"signature")&gt;0,"vente_signature",IF(COUNTIFS(Ventes!C:C,D515,Ventes!AD:AD,"oui")&gt;0,"vente_bloquee",IF(COUNTIFS(Gestion_Locative!C:C,D515,Gestion_Locative!O:O,"incomplet")&gt;0,"gestion_fragile","stable"))))</f>
        <v>vente_bloquee</v>
      </c>
    </row>
    <row r="516" spans="1:22" ht="27.6" hidden="1" x14ac:dyDescent="0.3">
      <c r="A516" s="6" t="s">
        <v>262</v>
      </c>
      <c r="B516" s="1" t="s">
        <v>4517</v>
      </c>
      <c r="C516" s="6" t="s">
        <v>2705</v>
      </c>
      <c r="D516" s="6" t="s">
        <v>2712</v>
      </c>
      <c r="E516" s="6" t="s">
        <v>2707</v>
      </c>
      <c r="F516" s="6" t="s">
        <v>2713</v>
      </c>
      <c r="G516" s="18">
        <v>15</v>
      </c>
      <c r="H516">
        <v>25</v>
      </c>
      <c r="I516">
        <v>34</v>
      </c>
      <c r="J516" s="7" t="s">
        <v>965</v>
      </c>
      <c r="K516" s="7" t="s">
        <v>2714</v>
      </c>
      <c r="L516" s="7" t="s">
        <v>2715</v>
      </c>
      <c r="M516" s="7"/>
      <c r="N516" s="7"/>
      <c r="O516" s="7" t="s">
        <v>90</v>
      </c>
      <c r="P516" s="7"/>
      <c r="Q516" s="7" t="s">
        <v>93</v>
      </c>
      <c r="R516" s="7"/>
      <c r="S516" s="8"/>
      <c r="T516" s="8"/>
      <c r="U516" s="9" t="str">
        <f>IF(COUNTIFS(Contacts_Activation!D:D,D516,Contacts_Activation!N:N,"oui")&gt;0,"oui","non")</f>
        <v>oui</v>
      </c>
      <c r="V516" s="9" t="str">
        <f>IF(COUNTIFS(Travaux!C:C,D516,Travaux!X:X,"en_cours")&gt;0,"travaux_en_cours",IF(COUNTIFS(Ventes!C:C,D516,Ventes!L:L,"signature")&gt;0,"vente_signature",IF(COUNTIFS(Ventes!C:C,D516,Ventes!AD:AD,"oui")&gt;0,"vente_bloquee",IF(COUNTIFS(Gestion_Locative!C:C,D516,Gestion_Locative!O:O,"incomplet")&gt;0,"gestion_fragile","stable"))))</f>
        <v>vente_bloquee</v>
      </c>
    </row>
    <row r="517" spans="1:22" ht="14.4" hidden="1" x14ac:dyDescent="0.3">
      <c r="A517" s="6" t="s">
        <v>262</v>
      </c>
      <c r="B517" s="1" t="s">
        <v>4517</v>
      </c>
      <c r="C517" s="6" t="s">
        <v>2705</v>
      </c>
      <c r="D517" s="6" t="s">
        <v>2716</v>
      </c>
      <c r="E517" s="6" t="s">
        <v>2707</v>
      </c>
      <c r="F517" s="6" t="s">
        <v>2717</v>
      </c>
      <c r="G517" s="18">
        <v>15</v>
      </c>
      <c r="H517">
        <v>25</v>
      </c>
      <c r="I517">
        <v>34</v>
      </c>
      <c r="J517" s="7" t="s">
        <v>2718</v>
      </c>
      <c r="K517" s="7" t="s">
        <v>2719</v>
      </c>
      <c r="L517" s="7" t="s">
        <v>2720</v>
      </c>
      <c r="M517" s="7"/>
      <c r="N517" s="7"/>
      <c r="O517" s="7" t="s">
        <v>90</v>
      </c>
      <c r="P517" s="7"/>
      <c r="Q517" s="7" t="s">
        <v>93</v>
      </c>
      <c r="R517" s="7"/>
      <c r="S517" s="8"/>
      <c r="T517" s="8"/>
      <c r="U517" s="9" t="str">
        <f>IF(COUNTIFS(Contacts_Activation!D:D,D517,Contacts_Activation!N:N,"oui")&gt;0,"oui","non")</f>
        <v>oui</v>
      </c>
      <c r="V517" s="9" t="str">
        <f>IF(COUNTIFS(Travaux!C:C,D517,Travaux!X:X,"en_cours")&gt;0,"travaux_en_cours",IF(COUNTIFS(Ventes!C:C,D517,Ventes!L:L,"signature")&gt;0,"vente_signature",IF(COUNTIFS(Ventes!C:C,D517,Ventes!AD:AD,"oui")&gt;0,"vente_bloquee",IF(COUNTIFS(Gestion_Locative!C:C,D517,Gestion_Locative!O:O,"incomplet")&gt;0,"gestion_fragile","stable"))))</f>
        <v>vente_bloquee</v>
      </c>
    </row>
    <row r="518" spans="1:22" ht="14.4" hidden="1" x14ac:dyDescent="0.3">
      <c r="A518" s="6" t="s">
        <v>262</v>
      </c>
      <c r="B518" s="1" t="s">
        <v>4517</v>
      </c>
      <c r="C518" s="6" t="s">
        <v>2705</v>
      </c>
      <c r="D518" s="6" t="s">
        <v>2721</v>
      </c>
      <c r="E518" s="6" t="s">
        <v>2707</v>
      </c>
      <c r="F518" s="6" t="s">
        <v>2722</v>
      </c>
      <c r="G518" s="18">
        <v>15</v>
      </c>
      <c r="H518">
        <v>25</v>
      </c>
      <c r="I518">
        <v>34</v>
      </c>
      <c r="J518" s="7" t="s">
        <v>439</v>
      </c>
      <c r="K518" s="7" t="s">
        <v>2723</v>
      </c>
      <c r="L518" s="7" t="s">
        <v>2724</v>
      </c>
      <c r="M518" s="7"/>
      <c r="N518" s="7"/>
      <c r="O518" s="7" t="s">
        <v>90</v>
      </c>
      <c r="P518" s="7"/>
      <c r="Q518" s="7" t="s">
        <v>93</v>
      </c>
      <c r="R518" s="7"/>
      <c r="S518" s="8"/>
      <c r="T518" s="8"/>
      <c r="U518" s="9" t="str">
        <f>IF(COUNTIFS(Contacts_Activation!D:D,D518,Contacts_Activation!N:N,"oui")&gt;0,"oui","non")</f>
        <v>oui</v>
      </c>
      <c r="V518" s="9" t="str">
        <f>IF(COUNTIFS(Travaux!C:C,D518,Travaux!X:X,"en_cours")&gt;0,"travaux_en_cours",IF(COUNTIFS(Ventes!C:C,D518,Ventes!L:L,"signature")&gt;0,"vente_signature",IF(COUNTIFS(Ventes!C:C,D518,Ventes!AD:AD,"oui")&gt;0,"vente_bloquee",IF(COUNTIFS(Gestion_Locative!C:C,D518,Gestion_Locative!O:O,"incomplet")&gt;0,"gestion_fragile","stable"))))</f>
        <v>vente_bloquee</v>
      </c>
    </row>
    <row r="519" spans="1:22" ht="14.4" hidden="1" x14ac:dyDescent="0.3">
      <c r="A519" s="6" t="s">
        <v>262</v>
      </c>
      <c r="B519" s="1" t="s">
        <v>4517</v>
      </c>
      <c r="C519" s="6" t="s">
        <v>2705</v>
      </c>
      <c r="D519" s="6" t="s">
        <v>2725</v>
      </c>
      <c r="E519" s="6" t="s">
        <v>2707</v>
      </c>
      <c r="F519" s="6" t="s">
        <v>2726</v>
      </c>
      <c r="G519" s="18">
        <v>15</v>
      </c>
      <c r="H519">
        <v>25</v>
      </c>
      <c r="I519">
        <v>34</v>
      </c>
      <c r="J519" s="7" t="s">
        <v>2727</v>
      </c>
      <c r="K519" s="7" t="s">
        <v>2728</v>
      </c>
      <c r="L519" s="7" t="s">
        <v>2729</v>
      </c>
      <c r="M519" s="7" t="s">
        <v>2730</v>
      </c>
      <c r="N519" s="7" t="s">
        <v>990</v>
      </c>
      <c r="O519" s="7" t="s">
        <v>90</v>
      </c>
      <c r="P519" s="7"/>
      <c r="Q519" s="7" t="s">
        <v>93</v>
      </c>
      <c r="R519" s="7"/>
      <c r="S519" s="8"/>
      <c r="T519" s="8"/>
      <c r="U519" s="9" t="str">
        <f>IF(COUNTIFS(Contacts_Activation!D:D,D519,Contacts_Activation!N:N,"oui")&gt;0,"oui","non")</f>
        <v>oui</v>
      </c>
      <c r="V519" s="9" t="str">
        <f>IF(COUNTIFS(Travaux!C:C,D519,Travaux!X:X,"en_cours")&gt;0,"travaux_en_cours",IF(COUNTIFS(Ventes!C:C,D519,Ventes!L:L,"signature")&gt;0,"vente_signature",IF(COUNTIFS(Ventes!C:C,D519,Ventes!AD:AD,"oui")&gt;0,"vente_bloquee",IF(COUNTIFS(Gestion_Locative!C:C,D519,Gestion_Locative!O:O,"incomplet")&gt;0,"gestion_fragile","stable"))))</f>
        <v>vente_bloquee</v>
      </c>
    </row>
    <row r="520" spans="1:22" ht="14.4" hidden="1" x14ac:dyDescent="0.3">
      <c r="A520" s="6" t="s">
        <v>262</v>
      </c>
      <c r="B520" s="1" t="s">
        <v>4517</v>
      </c>
      <c r="C520" s="6" t="s">
        <v>2705</v>
      </c>
      <c r="D520" s="6" t="s">
        <v>2731</v>
      </c>
      <c r="E520" s="6" t="s">
        <v>2707</v>
      </c>
      <c r="F520" s="6" t="s">
        <v>2732</v>
      </c>
      <c r="G520" s="18">
        <v>15</v>
      </c>
      <c r="H520">
        <v>25</v>
      </c>
      <c r="I520">
        <v>34</v>
      </c>
      <c r="J520" s="7" t="s">
        <v>1661</v>
      </c>
      <c r="K520" s="7" t="s">
        <v>2733</v>
      </c>
      <c r="L520" s="7" t="s">
        <v>2734</v>
      </c>
      <c r="M520" s="7"/>
      <c r="N520" s="7"/>
      <c r="O520" s="7" t="s">
        <v>90</v>
      </c>
      <c r="P520" s="7"/>
      <c r="Q520" s="7" t="s">
        <v>93</v>
      </c>
      <c r="R520" s="7"/>
      <c r="S520" s="8"/>
      <c r="T520" s="8"/>
      <c r="U520" s="9" t="str">
        <f>IF(COUNTIFS(Contacts_Activation!D:D,D520,Contacts_Activation!N:N,"oui")&gt;0,"oui","non")</f>
        <v>oui</v>
      </c>
      <c r="V520" s="9" t="str">
        <f>IF(COUNTIFS(Travaux!C:C,D520,Travaux!X:X,"en_cours")&gt;0,"travaux_en_cours",IF(COUNTIFS(Ventes!C:C,D520,Ventes!L:L,"signature")&gt;0,"vente_signature",IF(COUNTIFS(Ventes!C:C,D520,Ventes!AD:AD,"oui")&gt;0,"vente_bloquee",IF(COUNTIFS(Gestion_Locative!C:C,D520,Gestion_Locative!O:O,"incomplet")&gt;0,"gestion_fragile","stable"))))</f>
        <v>vente_bloquee</v>
      </c>
    </row>
    <row r="521" spans="1:22" ht="14.4" hidden="1" x14ac:dyDescent="0.3">
      <c r="A521" s="6" t="s">
        <v>262</v>
      </c>
      <c r="B521" s="1" t="s">
        <v>4517</v>
      </c>
      <c r="C521" s="6" t="s">
        <v>2705</v>
      </c>
      <c r="D521" s="6" t="s">
        <v>2735</v>
      </c>
      <c r="E521" s="6" t="s">
        <v>2707</v>
      </c>
      <c r="F521" s="6" t="s">
        <v>2736</v>
      </c>
      <c r="G521" s="18">
        <v>15</v>
      </c>
      <c r="H521">
        <v>25</v>
      </c>
      <c r="I521">
        <v>34</v>
      </c>
      <c r="J521" s="7" t="s">
        <v>2063</v>
      </c>
      <c r="K521" s="7" t="s">
        <v>2737</v>
      </c>
      <c r="L521" s="7" t="s">
        <v>2738</v>
      </c>
      <c r="M521" s="7"/>
      <c r="N521" s="7" t="s">
        <v>462</v>
      </c>
      <c r="O521" s="7" t="s">
        <v>90</v>
      </c>
      <c r="P521" s="7"/>
      <c r="Q521" s="7" t="s">
        <v>93</v>
      </c>
      <c r="R521" s="7"/>
      <c r="S521" s="8"/>
      <c r="T521" s="8"/>
      <c r="U521" s="9" t="str">
        <f>IF(COUNTIFS(Contacts_Activation!D:D,D521,Contacts_Activation!N:N,"oui")&gt;0,"oui","non")</f>
        <v>oui</v>
      </c>
      <c r="V521" s="9" t="str">
        <f>IF(COUNTIFS(Travaux!C:C,D521,Travaux!X:X,"en_cours")&gt;0,"travaux_en_cours",IF(COUNTIFS(Ventes!C:C,D521,Ventes!L:L,"signature")&gt;0,"vente_signature",IF(COUNTIFS(Ventes!C:C,D521,Ventes!AD:AD,"oui")&gt;0,"vente_bloquee",IF(COUNTIFS(Gestion_Locative!C:C,D521,Gestion_Locative!O:O,"incomplet")&gt;0,"gestion_fragile","stable"))))</f>
        <v>vente_bloquee</v>
      </c>
    </row>
    <row r="522" spans="1:22" ht="14.4" hidden="1" x14ac:dyDescent="0.3">
      <c r="A522" s="6" t="s">
        <v>262</v>
      </c>
      <c r="B522" s="1" t="s">
        <v>4517</v>
      </c>
      <c r="C522" s="6" t="s">
        <v>2705</v>
      </c>
      <c r="D522" s="6" t="s">
        <v>2739</v>
      </c>
      <c r="E522" s="6" t="s">
        <v>2707</v>
      </c>
      <c r="F522" s="6" t="s">
        <v>2740</v>
      </c>
      <c r="G522" s="18">
        <v>15</v>
      </c>
      <c r="H522">
        <v>25</v>
      </c>
      <c r="I522">
        <v>34</v>
      </c>
      <c r="J522" s="7" t="s">
        <v>587</v>
      </c>
      <c r="K522" s="7" t="s">
        <v>1484</v>
      </c>
      <c r="L522" s="7" t="s">
        <v>2741</v>
      </c>
      <c r="M522" s="7"/>
      <c r="N522" s="7"/>
      <c r="O522" s="7" t="s">
        <v>90</v>
      </c>
      <c r="P522" s="7"/>
      <c r="Q522" s="7" t="s">
        <v>93</v>
      </c>
      <c r="R522" s="7"/>
      <c r="S522" s="8"/>
      <c r="T522" s="8"/>
      <c r="U522" s="9" t="str">
        <f>IF(COUNTIFS(Contacts_Activation!D:D,D522,Contacts_Activation!N:N,"oui")&gt;0,"oui","non")</f>
        <v>oui</v>
      </c>
      <c r="V522" s="9" t="str">
        <f>IF(COUNTIFS(Travaux!C:C,D522,Travaux!X:X,"en_cours")&gt;0,"travaux_en_cours",IF(COUNTIFS(Ventes!C:C,D522,Ventes!L:L,"signature")&gt;0,"vente_signature",IF(COUNTIFS(Ventes!C:C,D522,Ventes!AD:AD,"oui")&gt;0,"vente_bloquee",IF(COUNTIFS(Gestion_Locative!C:C,D522,Gestion_Locative!O:O,"incomplet")&gt;0,"gestion_fragile","stable"))))</f>
        <v>vente_bloquee</v>
      </c>
    </row>
    <row r="523" spans="1:22" ht="27.6" hidden="1" x14ac:dyDescent="0.3">
      <c r="A523" s="6" t="s">
        <v>262</v>
      </c>
      <c r="B523" s="1" t="s">
        <v>4517</v>
      </c>
      <c r="C523" s="6" t="s">
        <v>2705</v>
      </c>
      <c r="D523" s="6" t="s">
        <v>2742</v>
      </c>
      <c r="E523" s="6" t="s">
        <v>2707</v>
      </c>
      <c r="F523" s="6" t="s">
        <v>2743</v>
      </c>
      <c r="G523" s="18">
        <v>15</v>
      </c>
      <c r="H523">
        <v>25</v>
      </c>
      <c r="I523">
        <v>34</v>
      </c>
      <c r="J523" s="7" t="s">
        <v>2744</v>
      </c>
      <c r="K523" s="7" t="s">
        <v>2745</v>
      </c>
      <c r="L523" s="7" t="s">
        <v>2746</v>
      </c>
      <c r="M523" s="7" t="s">
        <v>2747</v>
      </c>
      <c r="N523" s="7"/>
      <c r="O523" s="7" t="s">
        <v>90</v>
      </c>
      <c r="P523" s="7"/>
      <c r="Q523" s="7" t="s">
        <v>93</v>
      </c>
      <c r="R523" s="7"/>
      <c r="S523" s="8"/>
      <c r="T523" s="8"/>
      <c r="U523" s="9" t="str">
        <f>IF(COUNTIFS(Contacts_Activation!D:D,D523,Contacts_Activation!N:N,"oui")&gt;0,"oui","non")</f>
        <v>oui</v>
      </c>
      <c r="V523" s="9" t="str">
        <f>IF(COUNTIFS(Travaux!C:C,D523,Travaux!X:X,"en_cours")&gt;0,"travaux_en_cours",IF(COUNTIFS(Ventes!C:C,D523,Ventes!L:L,"signature")&gt;0,"vente_signature",IF(COUNTIFS(Ventes!C:C,D523,Ventes!AD:AD,"oui")&gt;0,"vente_bloquee",IF(COUNTIFS(Gestion_Locative!C:C,D523,Gestion_Locative!O:O,"incomplet")&gt;0,"gestion_fragile","stable"))))</f>
        <v>vente_bloquee</v>
      </c>
    </row>
    <row r="524" spans="1:22" ht="14.4" hidden="1" x14ac:dyDescent="0.3">
      <c r="A524" s="6" t="s">
        <v>262</v>
      </c>
      <c r="B524" s="1" t="s">
        <v>4517</v>
      </c>
      <c r="C524" s="6" t="s">
        <v>2705</v>
      </c>
      <c r="D524" s="6" t="s">
        <v>2748</v>
      </c>
      <c r="E524" s="6" t="s">
        <v>2707</v>
      </c>
      <c r="F524" s="6" t="s">
        <v>2749</v>
      </c>
      <c r="G524" s="18">
        <v>15</v>
      </c>
      <c r="H524">
        <v>25</v>
      </c>
      <c r="I524">
        <v>34</v>
      </c>
      <c r="J524" s="7" t="s">
        <v>1924</v>
      </c>
      <c r="K524" s="7" t="s">
        <v>659</v>
      </c>
      <c r="L524" s="7" t="s">
        <v>2750</v>
      </c>
      <c r="M524" s="7"/>
      <c r="N524" s="7" t="s">
        <v>2751</v>
      </c>
      <c r="O524" s="7" t="s">
        <v>90</v>
      </c>
      <c r="P524" s="7"/>
      <c r="Q524" s="7" t="s">
        <v>93</v>
      </c>
      <c r="R524" s="7"/>
      <c r="S524" s="8"/>
      <c r="T524" s="8"/>
      <c r="U524" s="9" t="str">
        <f>IF(COUNTIFS(Contacts_Activation!D:D,D524,Contacts_Activation!N:N,"oui")&gt;0,"oui","non")</f>
        <v>oui</v>
      </c>
      <c r="V524" s="9" t="str">
        <f>IF(COUNTIFS(Travaux!C:C,D524,Travaux!X:X,"en_cours")&gt;0,"travaux_en_cours",IF(COUNTIFS(Ventes!C:C,D524,Ventes!L:L,"signature")&gt;0,"vente_signature",IF(COUNTIFS(Ventes!C:C,D524,Ventes!AD:AD,"oui")&gt;0,"vente_bloquee",IF(COUNTIFS(Gestion_Locative!C:C,D524,Gestion_Locative!O:O,"incomplet")&gt;0,"gestion_fragile","stable"))))</f>
        <v>vente_bloquee</v>
      </c>
    </row>
    <row r="525" spans="1:22" ht="14.4" hidden="1" x14ac:dyDescent="0.3">
      <c r="A525" s="6" t="s">
        <v>262</v>
      </c>
      <c r="B525" s="1" t="s">
        <v>4517</v>
      </c>
      <c r="C525" s="6" t="s">
        <v>2705</v>
      </c>
      <c r="D525" s="6" t="s">
        <v>2752</v>
      </c>
      <c r="E525" s="6" t="s">
        <v>2707</v>
      </c>
      <c r="F525" s="6" t="s">
        <v>2753</v>
      </c>
      <c r="G525" s="18">
        <v>15</v>
      </c>
      <c r="H525">
        <v>25</v>
      </c>
      <c r="I525">
        <v>34</v>
      </c>
      <c r="J525" s="7" t="s">
        <v>1924</v>
      </c>
      <c r="K525" s="7" t="s">
        <v>1384</v>
      </c>
      <c r="L525" s="7" t="s">
        <v>2754</v>
      </c>
      <c r="M525" s="7"/>
      <c r="N525" s="7"/>
      <c r="O525" s="7" t="s">
        <v>90</v>
      </c>
      <c r="P525" s="7"/>
      <c r="Q525" s="7" t="s">
        <v>93</v>
      </c>
      <c r="R525" s="7"/>
      <c r="S525" s="8"/>
      <c r="T525" s="8"/>
      <c r="U525" s="9" t="str">
        <f>IF(COUNTIFS(Contacts_Activation!D:D,D525,Contacts_Activation!N:N,"oui")&gt;0,"oui","non")</f>
        <v>oui</v>
      </c>
      <c r="V525" s="9" t="str">
        <f>IF(COUNTIFS(Travaux!C:C,D525,Travaux!X:X,"en_cours")&gt;0,"travaux_en_cours",IF(COUNTIFS(Ventes!C:C,D525,Ventes!L:L,"signature")&gt;0,"vente_signature",IF(COUNTIFS(Ventes!C:C,D525,Ventes!AD:AD,"oui")&gt;0,"vente_bloquee",IF(COUNTIFS(Gestion_Locative!C:C,D525,Gestion_Locative!O:O,"incomplet")&gt;0,"gestion_fragile","stable"))))</f>
        <v>vente_bloquee</v>
      </c>
    </row>
    <row r="526" spans="1:22" ht="14.4" hidden="1" x14ac:dyDescent="0.3">
      <c r="A526" s="6" t="s">
        <v>262</v>
      </c>
      <c r="B526" s="1" t="s">
        <v>4517</v>
      </c>
      <c r="C526" s="6" t="s">
        <v>2705</v>
      </c>
      <c r="D526" s="6" t="s">
        <v>2755</v>
      </c>
      <c r="E526" s="6" t="s">
        <v>2707</v>
      </c>
      <c r="F526" s="6" t="s">
        <v>2756</v>
      </c>
      <c r="G526" s="18">
        <v>15</v>
      </c>
      <c r="H526">
        <v>25</v>
      </c>
      <c r="I526">
        <v>34</v>
      </c>
      <c r="J526" s="7" t="s">
        <v>692</v>
      </c>
      <c r="K526" s="7" t="s">
        <v>1997</v>
      </c>
      <c r="L526" s="7" t="s">
        <v>2757</v>
      </c>
      <c r="M526" s="7"/>
      <c r="N526" s="7"/>
      <c r="O526" s="7" t="s">
        <v>90</v>
      </c>
      <c r="P526" s="7"/>
      <c r="Q526" s="7" t="s">
        <v>93</v>
      </c>
      <c r="R526" s="7"/>
      <c r="S526" s="8"/>
      <c r="T526" s="8"/>
      <c r="U526" s="9" t="str">
        <f>IF(COUNTIFS(Contacts_Activation!D:D,D526,Contacts_Activation!N:N,"oui")&gt;0,"oui","non")</f>
        <v>oui</v>
      </c>
      <c r="V526" s="9" t="str">
        <f>IF(COUNTIFS(Travaux!C:C,D526,Travaux!X:X,"en_cours")&gt;0,"travaux_en_cours",IF(COUNTIFS(Ventes!C:C,D526,Ventes!L:L,"signature")&gt;0,"vente_signature",IF(COUNTIFS(Ventes!C:C,D526,Ventes!AD:AD,"oui")&gt;0,"vente_bloquee",IF(COUNTIFS(Gestion_Locative!C:C,D526,Gestion_Locative!O:O,"incomplet")&gt;0,"gestion_fragile","stable"))))</f>
        <v>vente_bloquee</v>
      </c>
    </row>
    <row r="527" spans="1:22" ht="14.4" hidden="1" x14ac:dyDescent="0.3">
      <c r="A527" s="6" t="s">
        <v>262</v>
      </c>
      <c r="B527" s="1" t="s">
        <v>4517</v>
      </c>
      <c r="C527" s="6" t="s">
        <v>2705</v>
      </c>
      <c r="D527" s="6" t="s">
        <v>2758</v>
      </c>
      <c r="E527" s="6" t="s">
        <v>2707</v>
      </c>
      <c r="F527" s="6" t="s">
        <v>2759</v>
      </c>
      <c r="G527" s="18">
        <v>15</v>
      </c>
      <c r="H527">
        <v>25</v>
      </c>
      <c r="I527">
        <v>34</v>
      </c>
      <c r="J527" s="7" t="s">
        <v>2760</v>
      </c>
      <c r="K527" s="7" t="s">
        <v>2761</v>
      </c>
      <c r="L527" s="7" t="s">
        <v>2762</v>
      </c>
      <c r="M527" s="7"/>
      <c r="N527" s="7"/>
      <c r="O527" s="7" t="s">
        <v>90</v>
      </c>
      <c r="P527" s="7"/>
      <c r="Q527" s="7" t="s">
        <v>93</v>
      </c>
      <c r="R527" s="7"/>
      <c r="S527" s="8"/>
      <c r="T527" s="8"/>
      <c r="U527" s="9" t="str">
        <f>IF(COUNTIFS(Contacts_Activation!D:D,D527,Contacts_Activation!N:N,"oui")&gt;0,"oui","non")</f>
        <v>oui</v>
      </c>
      <c r="V527" s="9" t="str">
        <f>IF(COUNTIFS(Travaux!C:C,D527,Travaux!X:X,"en_cours")&gt;0,"travaux_en_cours",IF(COUNTIFS(Ventes!C:C,D527,Ventes!L:L,"signature")&gt;0,"vente_signature",IF(COUNTIFS(Ventes!C:C,D527,Ventes!AD:AD,"oui")&gt;0,"vente_bloquee",IF(COUNTIFS(Gestion_Locative!C:C,D527,Gestion_Locative!O:O,"incomplet")&gt;0,"gestion_fragile","stable"))))</f>
        <v>vente_bloquee</v>
      </c>
    </row>
    <row r="528" spans="1:22" ht="14.4" hidden="1" x14ac:dyDescent="0.3">
      <c r="A528" s="6" t="s">
        <v>262</v>
      </c>
      <c r="B528" s="1" t="s">
        <v>4517</v>
      </c>
      <c r="C528" s="6" t="s">
        <v>2705</v>
      </c>
      <c r="D528" s="6" t="s">
        <v>2763</v>
      </c>
      <c r="E528" s="6" t="s">
        <v>2707</v>
      </c>
      <c r="F528" s="6" t="s">
        <v>2764</v>
      </c>
      <c r="G528" s="18">
        <v>15</v>
      </c>
      <c r="H528">
        <v>25</v>
      </c>
      <c r="I528">
        <v>34</v>
      </c>
      <c r="J528" s="7" t="s">
        <v>2765</v>
      </c>
      <c r="K528" s="7" t="s">
        <v>524</v>
      </c>
      <c r="L528" s="7" t="s">
        <v>2766</v>
      </c>
      <c r="M528" s="7"/>
      <c r="N528" s="7"/>
      <c r="O528" s="7" t="s">
        <v>90</v>
      </c>
      <c r="P528" s="7"/>
      <c r="Q528" s="7" t="s">
        <v>93</v>
      </c>
      <c r="R528" s="7"/>
      <c r="S528" s="8"/>
      <c r="T528" s="8"/>
      <c r="U528" s="9" t="str">
        <f>IF(COUNTIFS(Contacts_Activation!D:D,D528,Contacts_Activation!N:N,"oui")&gt;0,"oui","non")</f>
        <v>oui</v>
      </c>
      <c r="V528" s="9" t="str">
        <f>IF(COUNTIFS(Travaux!C:C,D528,Travaux!X:X,"en_cours")&gt;0,"travaux_en_cours",IF(COUNTIFS(Ventes!C:C,D528,Ventes!L:L,"signature")&gt;0,"vente_signature",IF(COUNTIFS(Ventes!C:C,D528,Ventes!AD:AD,"oui")&gt;0,"vente_bloquee",IF(COUNTIFS(Gestion_Locative!C:C,D528,Gestion_Locative!O:O,"incomplet")&gt;0,"gestion_fragile","stable"))))</f>
        <v>vente_bloquee</v>
      </c>
    </row>
    <row r="529" spans="1:22" ht="14.4" hidden="1" x14ac:dyDescent="0.3">
      <c r="A529" s="6" t="s">
        <v>262</v>
      </c>
      <c r="B529" s="1" t="s">
        <v>4517</v>
      </c>
      <c r="C529" s="6" t="s">
        <v>2705</v>
      </c>
      <c r="D529" s="6" t="s">
        <v>2767</v>
      </c>
      <c r="E529" s="6" t="s">
        <v>2707</v>
      </c>
      <c r="F529" s="6" t="s">
        <v>2768</v>
      </c>
      <c r="G529" s="18">
        <v>15</v>
      </c>
      <c r="H529">
        <v>25</v>
      </c>
      <c r="I529">
        <v>34</v>
      </c>
      <c r="J529" s="7" t="s">
        <v>2769</v>
      </c>
      <c r="K529" s="7" t="s">
        <v>2770</v>
      </c>
      <c r="L529" s="7" t="s">
        <v>2771</v>
      </c>
      <c r="M529" s="7"/>
      <c r="N529" s="7"/>
      <c r="O529" s="7" t="s">
        <v>90</v>
      </c>
      <c r="P529" s="7"/>
      <c r="Q529" s="7" t="s">
        <v>93</v>
      </c>
      <c r="R529" s="7"/>
      <c r="S529" s="8"/>
      <c r="T529" s="8"/>
      <c r="U529" s="9" t="str">
        <f>IF(COUNTIFS(Contacts_Activation!D:D,D529,Contacts_Activation!N:N,"oui")&gt;0,"oui","non")</f>
        <v>oui</v>
      </c>
      <c r="V529" s="9" t="str">
        <f>IF(COUNTIFS(Travaux!C:C,D529,Travaux!X:X,"en_cours")&gt;0,"travaux_en_cours",IF(COUNTIFS(Ventes!C:C,D529,Ventes!L:L,"signature")&gt;0,"vente_signature",IF(COUNTIFS(Ventes!C:C,D529,Ventes!AD:AD,"oui")&gt;0,"vente_bloquee",IF(COUNTIFS(Gestion_Locative!C:C,D529,Gestion_Locative!O:O,"incomplet")&gt;0,"gestion_fragile","stable"))))</f>
        <v>vente_bloquee</v>
      </c>
    </row>
  </sheetData>
  <autoFilter ref="A1:X529" xr:uid="{00000000-0001-0000-0400-000000000000}">
    <filterColumn colId="4">
      <filters>
        <filter val="ALAMANDAS"/>
      </filters>
    </filterColumn>
  </autoFilter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="Valeur non autorisée" prompt="Choisir dans la liste" xr:uid="{00000000-0002-0000-0400-000000000000}">
          <x14:formula1>
            <xm:f>Referentiels!$AM$4:$AM$5</xm:f>
          </x14:formula1>
          <x14:formula2>
            <xm:f>0</xm:f>
          </x14:formula2>
          <xm:sqref>O2:O529</xm:sqref>
        </x14:dataValidation>
        <x14:dataValidation type="list" allowBlank="1" error="Valeur non autorisée" prompt="Choisir dans la liste" xr:uid="{00000000-0002-0000-0400-000002000000}">
          <x14:formula1>
            <xm:f>Referentiels!$W$4:$W$9</xm:f>
          </x14:formula1>
          <x14:formula2>
            <xm:f>0</xm:f>
          </x14:formula2>
          <xm:sqref>R2:R529</xm:sqref>
        </x14:dataValidation>
        <x14:dataValidation type="list" allowBlank="1" error="Valeur non autorisée" prompt="Choisir dans la liste" xr:uid="{00000000-0002-0000-0400-000001000000}">
          <x14:formula1>
            <xm:f>Referentiels!$A$4:$A$5</xm:f>
          </x14:formula1>
          <x14:formula2>
            <xm:f>0</xm:f>
          </x14:formula2>
          <xm:sqref>Q2:Q529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67BC-4524-4EDF-9B4F-E23411BF7133}">
  <dimension ref="A1:I529"/>
  <sheetViews>
    <sheetView workbookViewId="0">
      <selection activeCell="F1" sqref="F1"/>
    </sheetView>
  </sheetViews>
  <sheetFormatPr baseColWidth="10" defaultRowHeight="14.4" x14ac:dyDescent="0.3"/>
  <cols>
    <col min="1" max="1" width="10" customWidth="1"/>
    <col min="2" max="2" width="15.109375" customWidth="1"/>
    <col min="3" max="3" width="12" customWidth="1"/>
    <col min="4" max="4" width="14" customWidth="1"/>
    <col min="5" max="5" width="28" customWidth="1"/>
    <col min="6" max="6" width="17.21875" customWidth="1"/>
    <col min="7" max="7" width="12.44140625"/>
    <col min="8" max="8" width="14.77734375" customWidth="1"/>
    <col min="9" max="9" width="14" customWidth="1"/>
  </cols>
  <sheetData>
    <row r="1" spans="1:9" ht="27.6" x14ac:dyDescent="0.3">
      <c r="A1" s="3" t="s">
        <v>183</v>
      </c>
      <c r="B1" s="3" t="s">
        <v>4509</v>
      </c>
      <c r="C1" s="3" t="s">
        <v>184</v>
      </c>
      <c r="D1" s="3" t="s">
        <v>185</v>
      </c>
      <c r="E1" s="3" t="s">
        <v>4443</v>
      </c>
      <c r="F1" s="3" t="s">
        <v>4523</v>
      </c>
      <c r="G1" s="3" t="s">
        <v>4524</v>
      </c>
      <c r="H1" s="3" t="s">
        <v>4525</v>
      </c>
      <c r="I1" s="19" t="s">
        <v>4526</v>
      </c>
    </row>
    <row r="2" spans="1:9" x14ac:dyDescent="0.3">
      <c r="A2" s="6" t="s">
        <v>202</v>
      </c>
      <c r="B2" s="1" t="s">
        <v>4510</v>
      </c>
      <c r="C2" s="6" t="s">
        <v>203</v>
      </c>
      <c r="D2" s="6" t="s">
        <v>204</v>
      </c>
      <c r="E2" s="6" t="s">
        <v>205</v>
      </c>
      <c r="F2" s="6" t="s">
        <v>5061</v>
      </c>
      <c r="G2" s="6" t="s">
        <v>5065</v>
      </c>
      <c r="H2" s="6" t="s">
        <v>5066</v>
      </c>
      <c r="I2">
        <v>1984</v>
      </c>
    </row>
    <row r="3" spans="1:9" x14ac:dyDescent="0.3">
      <c r="A3" s="6" t="s">
        <v>202</v>
      </c>
      <c r="B3" s="1" t="s">
        <v>4510</v>
      </c>
      <c r="C3" s="6" t="s">
        <v>203</v>
      </c>
      <c r="D3" s="6" t="s">
        <v>210</v>
      </c>
      <c r="E3" s="6" t="s">
        <v>211</v>
      </c>
      <c r="F3" s="6" t="s">
        <v>5062</v>
      </c>
      <c r="G3" s="6" t="s">
        <v>5065</v>
      </c>
      <c r="H3" s="6" t="s">
        <v>5066</v>
      </c>
      <c r="I3">
        <v>1984</v>
      </c>
    </row>
    <row r="4" spans="1:9" x14ac:dyDescent="0.3">
      <c r="A4" s="6" t="s">
        <v>202</v>
      </c>
      <c r="B4" s="1" t="s">
        <v>4510</v>
      </c>
      <c r="C4" s="6" t="s">
        <v>203</v>
      </c>
      <c r="D4" s="6" t="s">
        <v>216</v>
      </c>
      <c r="E4" s="6" t="s">
        <v>217</v>
      </c>
      <c r="F4" s="6" t="s">
        <v>5063</v>
      </c>
      <c r="G4" s="6" t="s">
        <v>5065</v>
      </c>
      <c r="H4" s="6" t="s">
        <v>5066</v>
      </c>
      <c r="I4">
        <v>1984</v>
      </c>
    </row>
    <row r="5" spans="1:9" x14ac:dyDescent="0.3">
      <c r="A5" s="6" t="s">
        <v>202</v>
      </c>
      <c r="B5" s="1" t="s">
        <v>4510</v>
      </c>
      <c r="C5" s="6" t="s">
        <v>203</v>
      </c>
      <c r="D5" s="6" t="s">
        <v>223</v>
      </c>
      <c r="E5" s="6" t="s">
        <v>224</v>
      </c>
      <c r="F5" s="6" t="s">
        <v>5064</v>
      </c>
      <c r="G5" s="6" t="s">
        <v>5065</v>
      </c>
      <c r="H5" s="6" t="s">
        <v>5066</v>
      </c>
      <c r="I5">
        <v>1984</v>
      </c>
    </row>
    <row r="6" spans="1:9" x14ac:dyDescent="0.3">
      <c r="A6" s="6" t="s">
        <v>202</v>
      </c>
      <c r="B6" s="1" t="s">
        <v>4510</v>
      </c>
      <c r="C6" s="6" t="s">
        <v>203</v>
      </c>
      <c r="D6" s="6" t="s">
        <v>228</v>
      </c>
      <c r="E6" s="6" t="s">
        <v>229</v>
      </c>
      <c r="F6" s="6" t="s">
        <v>5061</v>
      </c>
      <c r="G6" s="6" t="s">
        <v>5065</v>
      </c>
      <c r="H6" s="6" t="s">
        <v>5066</v>
      </c>
      <c r="I6">
        <v>1984</v>
      </c>
    </row>
    <row r="7" spans="1:9" x14ac:dyDescent="0.3">
      <c r="A7" s="6" t="s">
        <v>202</v>
      </c>
      <c r="B7" s="1" t="s">
        <v>4510</v>
      </c>
      <c r="C7" s="6" t="s">
        <v>203</v>
      </c>
      <c r="D7" s="6" t="s">
        <v>233</v>
      </c>
      <c r="E7" s="6" t="s">
        <v>234</v>
      </c>
      <c r="F7" s="6" t="s">
        <v>5062</v>
      </c>
      <c r="G7" s="6" t="s">
        <v>5065</v>
      </c>
      <c r="H7" s="6" t="s">
        <v>5066</v>
      </c>
      <c r="I7">
        <v>1984</v>
      </c>
    </row>
    <row r="8" spans="1:9" x14ac:dyDescent="0.3">
      <c r="A8" s="6" t="s">
        <v>202</v>
      </c>
      <c r="B8" s="1" t="s">
        <v>4510</v>
      </c>
      <c r="C8" s="6" t="s">
        <v>203</v>
      </c>
      <c r="D8" s="6" t="s">
        <v>238</v>
      </c>
      <c r="E8" s="6" t="s">
        <v>239</v>
      </c>
      <c r="F8" s="6" t="s">
        <v>5063</v>
      </c>
      <c r="G8" s="6" t="s">
        <v>5065</v>
      </c>
      <c r="H8" s="6" t="s">
        <v>5066</v>
      </c>
      <c r="I8">
        <v>1984</v>
      </c>
    </row>
    <row r="9" spans="1:9" x14ac:dyDescent="0.3">
      <c r="A9" s="6" t="s">
        <v>202</v>
      </c>
      <c r="B9" s="1" t="s">
        <v>4510</v>
      </c>
      <c r="C9" s="6" t="s">
        <v>203</v>
      </c>
      <c r="D9" s="6" t="s">
        <v>243</v>
      </c>
      <c r="E9" s="6" t="s">
        <v>244</v>
      </c>
      <c r="F9" s="6" t="s">
        <v>5064</v>
      </c>
      <c r="G9" s="6" t="s">
        <v>5065</v>
      </c>
      <c r="H9" s="6" t="s">
        <v>5066</v>
      </c>
      <c r="I9">
        <v>1984</v>
      </c>
    </row>
    <row r="10" spans="1:9" x14ac:dyDescent="0.3">
      <c r="A10" s="6" t="s">
        <v>202</v>
      </c>
      <c r="B10" s="1" t="s">
        <v>4510</v>
      </c>
      <c r="C10" s="6" t="s">
        <v>203</v>
      </c>
      <c r="D10" s="6" t="s">
        <v>249</v>
      </c>
      <c r="E10" s="6" t="s">
        <v>250</v>
      </c>
      <c r="F10" s="6" t="s">
        <v>5061</v>
      </c>
      <c r="G10" s="6" t="s">
        <v>5065</v>
      </c>
      <c r="H10" s="6" t="s">
        <v>5066</v>
      </c>
      <c r="I10">
        <v>1984</v>
      </c>
    </row>
    <row r="11" spans="1:9" x14ac:dyDescent="0.3">
      <c r="A11" s="6" t="s">
        <v>202</v>
      </c>
      <c r="B11" s="1" t="s">
        <v>4510</v>
      </c>
      <c r="C11" s="6" t="s">
        <v>203</v>
      </c>
      <c r="D11" s="6" t="s">
        <v>256</v>
      </c>
      <c r="E11" s="6" t="s">
        <v>257</v>
      </c>
      <c r="F11" s="6" t="s">
        <v>5062</v>
      </c>
      <c r="G11" s="6" t="s">
        <v>5065</v>
      </c>
      <c r="H11" s="6" t="s">
        <v>5066</v>
      </c>
      <c r="I11">
        <v>1984</v>
      </c>
    </row>
    <row r="12" spans="1:9" x14ac:dyDescent="0.3">
      <c r="A12" s="6" t="s">
        <v>202</v>
      </c>
      <c r="B12" s="1" t="s">
        <v>4510</v>
      </c>
      <c r="C12" s="6" t="s">
        <v>203</v>
      </c>
      <c r="D12" s="6" t="s">
        <v>261</v>
      </c>
      <c r="E12" s="6" t="s">
        <v>263</v>
      </c>
      <c r="F12" s="6" t="s">
        <v>5063</v>
      </c>
      <c r="G12" s="6" t="s">
        <v>5065</v>
      </c>
      <c r="H12" s="6" t="s">
        <v>5066</v>
      </c>
      <c r="I12">
        <v>1984</v>
      </c>
    </row>
    <row r="13" spans="1:9" x14ac:dyDescent="0.3">
      <c r="A13" s="6" t="s">
        <v>202</v>
      </c>
      <c r="B13" s="1" t="s">
        <v>4510</v>
      </c>
      <c r="C13" s="6" t="s">
        <v>203</v>
      </c>
      <c r="D13" s="6" t="s">
        <v>269</v>
      </c>
      <c r="E13" s="6" t="s">
        <v>271</v>
      </c>
      <c r="F13" s="6" t="s">
        <v>5064</v>
      </c>
      <c r="G13" s="6" t="s">
        <v>5065</v>
      </c>
      <c r="H13" s="6" t="s">
        <v>5066</v>
      </c>
      <c r="I13">
        <v>1984</v>
      </c>
    </row>
    <row r="14" spans="1:9" x14ac:dyDescent="0.3">
      <c r="A14" s="6" t="s">
        <v>202</v>
      </c>
      <c r="B14" s="1" t="s">
        <v>4510</v>
      </c>
      <c r="C14" s="6" t="s">
        <v>203</v>
      </c>
      <c r="D14" s="6" t="s">
        <v>277</v>
      </c>
      <c r="E14" s="6" t="s">
        <v>278</v>
      </c>
      <c r="F14" s="6" t="s">
        <v>5061</v>
      </c>
      <c r="G14" s="6" t="s">
        <v>5065</v>
      </c>
      <c r="H14" s="6" t="s">
        <v>5066</v>
      </c>
      <c r="I14">
        <v>1984</v>
      </c>
    </row>
    <row r="15" spans="1:9" x14ac:dyDescent="0.3">
      <c r="A15" s="6" t="s">
        <v>202</v>
      </c>
      <c r="B15" s="1" t="s">
        <v>4510</v>
      </c>
      <c r="C15" s="6" t="s">
        <v>203</v>
      </c>
      <c r="D15" s="6" t="s">
        <v>282</v>
      </c>
      <c r="E15" s="6" t="s">
        <v>283</v>
      </c>
      <c r="F15" s="6" t="s">
        <v>5062</v>
      </c>
      <c r="G15" s="6" t="s">
        <v>5065</v>
      </c>
      <c r="H15" s="6" t="s">
        <v>5066</v>
      </c>
      <c r="I15">
        <v>1984</v>
      </c>
    </row>
    <row r="16" spans="1:9" x14ac:dyDescent="0.3">
      <c r="A16" s="6" t="s">
        <v>202</v>
      </c>
      <c r="B16" s="1" t="s">
        <v>4510</v>
      </c>
      <c r="C16" s="6" t="s">
        <v>203</v>
      </c>
      <c r="D16" s="6" t="s">
        <v>287</v>
      </c>
      <c r="E16" s="6" t="s">
        <v>288</v>
      </c>
      <c r="F16" s="6" t="s">
        <v>5063</v>
      </c>
      <c r="G16" s="6" t="s">
        <v>5065</v>
      </c>
      <c r="H16" s="6" t="s">
        <v>5066</v>
      </c>
      <c r="I16">
        <v>1984</v>
      </c>
    </row>
    <row r="17" spans="1:9" x14ac:dyDescent="0.3">
      <c r="A17" s="6" t="s">
        <v>202</v>
      </c>
      <c r="B17" s="1" t="s">
        <v>4510</v>
      </c>
      <c r="C17" s="6" t="s">
        <v>203</v>
      </c>
      <c r="D17" s="6" t="s">
        <v>291</v>
      </c>
      <c r="E17" s="6" t="s">
        <v>293</v>
      </c>
      <c r="F17" s="6" t="s">
        <v>5064</v>
      </c>
      <c r="G17" s="6" t="s">
        <v>5065</v>
      </c>
      <c r="H17" s="6" t="s">
        <v>5066</v>
      </c>
      <c r="I17">
        <v>1984</v>
      </c>
    </row>
    <row r="18" spans="1:9" x14ac:dyDescent="0.3">
      <c r="A18" s="6" t="s">
        <v>202</v>
      </c>
      <c r="B18" s="1" t="s">
        <v>4510</v>
      </c>
      <c r="C18" s="6" t="s">
        <v>203</v>
      </c>
      <c r="D18" s="6" t="s">
        <v>297</v>
      </c>
      <c r="E18" s="6" t="s">
        <v>298</v>
      </c>
      <c r="F18" s="6" t="s">
        <v>5061</v>
      </c>
      <c r="G18" s="6" t="s">
        <v>5065</v>
      </c>
      <c r="H18" s="6" t="s">
        <v>5066</v>
      </c>
      <c r="I18">
        <v>1984</v>
      </c>
    </row>
    <row r="19" spans="1:9" x14ac:dyDescent="0.3">
      <c r="A19" s="6" t="s">
        <v>202</v>
      </c>
      <c r="B19" s="1" t="s">
        <v>4510</v>
      </c>
      <c r="C19" s="6" t="s">
        <v>203</v>
      </c>
      <c r="D19" s="6" t="s">
        <v>303</v>
      </c>
      <c r="E19" s="6" t="s">
        <v>304</v>
      </c>
      <c r="F19" s="6" t="s">
        <v>5062</v>
      </c>
      <c r="G19" s="6" t="s">
        <v>5065</v>
      </c>
      <c r="H19" s="6" t="s">
        <v>5066</v>
      </c>
      <c r="I19">
        <v>1984</v>
      </c>
    </row>
    <row r="20" spans="1:9" x14ac:dyDescent="0.3">
      <c r="A20" s="6" t="s">
        <v>202</v>
      </c>
      <c r="B20" s="1" t="s">
        <v>4510</v>
      </c>
      <c r="C20" s="6" t="s">
        <v>203</v>
      </c>
      <c r="D20" s="6" t="s">
        <v>309</v>
      </c>
      <c r="E20" s="6" t="s">
        <v>310</v>
      </c>
      <c r="F20" s="6" t="s">
        <v>5063</v>
      </c>
      <c r="G20" s="6" t="s">
        <v>5065</v>
      </c>
      <c r="H20" s="6" t="s">
        <v>5066</v>
      </c>
      <c r="I20">
        <v>1984</v>
      </c>
    </row>
    <row r="21" spans="1:9" x14ac:dyDescent="0.3">
      <c r="A21" s="6" t="s">
        <v>202</v>
      </c>
      <c r="B21" s="1" t="s">
        <v>4510</v>
      </c>
      <c r="C21" s="6" t="s">
        <v>203</v>
      </c>
      <c r="D21" s="6" t="s">
        <v>315</v>
      </c>
      <c r="E21" s="6" t="s">
        <v>317</v>
      </c>
      <c r="F21" s="6" t="s">
        <v>5064</v>
      </c>
      <c r="G21" s="6" t="s">
        <v>5065</v>
      </c>
      <c r="H21" s="6" t="s">
        <v>5066</v>
      </c>
      <c r="I21">
        <v>1984</v>
      </c>
    </row>
    <row r="22" spans="1:9" x14ac:dyDescent="0.3">
      <c r="A22" s="6" t="s">
        <v>202</v>
      </c>
      <c r="B22" s="1" t="s">
        <v>4510</v>
      </c>
      <c r="C22" s="6" t="s">
        <v>203</v>
      </c>
      <c r="D22" s="6" t="s">
        <v>321</v>
      </c>
      <c r="E22" s="6" t="s">
        <v>322</v>
      </c>
      <c r="F22" s="6" t="s">
        <v>5061</v>
      </c>
      <c r="G22" s="6" t="s">
        <v>5065</v>
      </c>
      <c r="H22" s="6" t="s">
        <v>5066</v>
      </c>
      <c r="I22">
        <v>1984</v>
      </c>
    </row>
    <row r="23" spans="1:9" x14ac:dyDescent="0.3">
      <c r="A23" s="6" t="s">
        <v>202</v>
      </c>
      <c r="B23" s="1" t="s">
        <v>4510</v>
      </c>
      <c r="C23" s="6" t="s">
        <v>203</v>
      </c>
      <c r="D23" s="6" t="s">
        <v>328</v>
      </c>
      <c r="E23" s="6" t="s">
        <v>329</v>
      </c>
      <c r="F23" s="6" t="s">
        <v>5062</v>
      </c>
      <c r="G23" s="6" t="s">
        <v>5065</v>
      </c>
      <c r="H23" s="6" t="s">
        <v>5066</v>
      </c>
      <c r="I23">
        <v>1984</v>
      </c>
    </row>
    <row r="24" spans="1:9" x14ac:dyDescent="0.3">
      <c r="A24" s="6" t="s">
        <v>202</v>
      </c>
      <c r="B24" s="1" t="s">
        <v>4510</v>
      </c>
      <c r="C24" s="6" t="s">
        <v>203</v>
      </c>
      <c r="D24" s="6" t="s">
        <v>332</v>
      </c>
      <c r="E24" s="6" t="s">
        <v>333</v>
      </c>
      <c r="F24" s="6" t="s">
        <v>5063</v>
      </c>
      <c r="G24" s="6" t="s">
        <v>5065</v>
      </c>
      <c r="H24" s="6" t="s">
        <v>5066</v>
      </c>
      <c r="I24">
        <v>1984</v>
      </c>
    </row>
    <row r="25" spans="1:9" x14ac:dyDescent="0.3">
      <c r="A25" s="6" t="s">
        <v>202</v>
      </c>
      <c r="B25" s="1" t="s">
        <v>4510</v>
      </c>
      <c r="C25" s="6" t="s">
        <v>203</v>
      </c>
      <c r="D25" s="6" t="s">
        <v>338</v>
      </c>
      <c r="E25" s="6" t="s">
        <v>339</v>
      </c>
      <c r="F25" s="6" t="s">
        <v>5064</v>
      </c>
      <c r="G25" s="6" t="s">
        <v>5065</v>
      </c>
      <c r="H25" s="6" t="s">
        <v>5066</v>
      </c>
      <c r="I25">
        <v>1984</v>
      </c>
    </row>
    <row r="26" spans="1:9" x14ac:dyDescent="0.3">
      <c r="A26" s="6" t="s">
        <v>202</v>
      </c>
      <c r="B26" s="1" t="s">
        <v>4510</v>
      </c>
      <c r="C26" s="6" t="s">
        <v>203</v>
      </c>
      <c r="D26" s="6" t="s">
        <v>342</v>
      </c>
      <c r="E26" s="6" t="s">
        <v>343</v>
      </c>
      <c r="F26" s="6" t="s">
        <v>5061</v>
      </c>
      <c r="G26" s="6" t="s">
        <v>5065</v>
      </c>
      <c r="H26" s="6" t="s">
        <v>5066</v>
      </c>
      <c r="I26">
        <v>1984</v>
      </c>
    </row>
    <row r="27" spans="1:9" x14ac:dyDescent="0.3">
      <c r="A27" s="6" t="s">
        <v>202</v>
      </c>
      <c r="B27" s="1" t="s">
        <v>4510</v>
      </c>
      <c r="C27" s="6" t="s">
        <v>203</v>
      </c>
      <c r="D27" s="6" t="s">
        <v>347</v>
      </c>
      <c r="E27" s="6" t="s">
        <v>348</v>
      </c>
      <c r="F27" s="6" t="s">
        <v>5062</v>
      </c>
      <c r="G27" s="6" t="s">
        <v>5065</v>
      </c>
      <c r="H27" s="6" t="s">
        <v>5066</v>
      </c>
      <c r="I27">
        <v>1984</v>
      </c>
    </row>
    <row r="28" spans="1:9" x14ac:dyDescent="0.3">
      <c r="A28" s="6" t="s">
        <v>202</v>
      </c>
      <c r="B28" s="1" t="s">
        <v>4510</v>
      </c>
      <c r="C28" s="6" t="s">
        <v>203</v>
      </c>
      <c r="D28" s="6" t="s">
        <v>354</v>
      </c>
      <c r="E28" s="6" t="s">
        <v>355</v>
      </c>
      <c r="F28" s="6" t="s">
        <v>5063</v>
      </c>
      <c r="G28" s="6" t="s">
        <v>5065</v>
      </c>
      <c r="H28" s="6" t="s">
        <v>5066</v>
      </c>
      <c r="I28">
        <v>1984</v>
      </c>
    </row>
    <row r="29" spans="1:9" x14ac:dyDescent="0.3">
      <c r="A29" s="6" t="s">
        <v>202</v>
      </c>
      <c r="B29" s="1" t="s">
        <v>4510</v>
      </c>
      <c r="C29" s="6" t="s">
        <v>203</v>
      </c>
      <c r="D29" s="6" t="s">
        <v>361</v>
      </c>
      <c r="E29" s="6" t="s">
        <v>362</v>
      </c>
      <c r="F29" s="6" t="s">
        <v>5064</v>
      </c>
      <c r="G29" s="6" t="s">
        <v>5065</v>
      </c>
      <c r="H29" s="6" t="s">
        <v>5066</v>
      </c>
      <c r="I29">
        <v>1984</v>
      </c>
    </row>
    <row r="30" spans="1:9" x14ac:dyDescent="0.3">
      <c r="A30" s="6" t="s">
        <v>202</v>
      </c>
      <c r="B30" s="1" t="s">
        <v>4510</v>
      </c>
      <c r="C30" s="6" t="s">
        <v>203</v>
      </c>
      <c r="D30" s="6" t="s">
        <v>365</v>
      </c>
      <c r="E30" s="6" t="s">
        <v>366</v>
      </c>
      <c r="F30" s="6" t="s">
        <v>5061</v>
      </c>
      <c r="G30" s="6" t="s">
        <v>5065</v>
      </c>
      <c r="H30" s="6" t="s">
        <v>5066</v>
      </c>
      <c r="I30">
        <v>1984</v>
      </c>
    </row>
    <row r="31" spans="1:9" x14ac:dyDescent="0.3">
      <c r="A31" s="6" t="s">
        <v>202</v>
      </c>
      <c r="B31" s="1" t="s">
        <v>4510</v>
      </c>
      <c r="C31" s="6" t="s">
        <v>203</v>
      </c>
      <c r="D31" s="6" t="s">
        <v>370</v>
      </c>
      <c r="E31" s="6" t="s">
        <v>371</v>
      </c>
      <c r="F31" s="6" t="s">
        <v>5062</v>
      </c>
      <c r="G31" s="6" t="s">
        <v>5065</v>
      </c>
      <c r="H31" s="6" t="s">
        <v>5066</v>
      </c>
      <c r="I31">
        <v>1984</v>
      </c>
    </row>
    <row r="32" spans="1:9" x14ac:dyDescent="0.3">
      <c r="A32" s="6" t="s">
        <v>202</v>
      </c>
      <c r="B32" s="1" t="s">
        <v>4511</v>
      </c>
      <c r="C32" s="6" t="s">
        <v>375</v>
      </c>
      <c r="D32" s="6" t="s">
        <v>376</v>
      </c>
      <c r="E32" s="6" t="s">
        <v>378</v>
      </c>
      <c r="F32" s="6" t="s">
        <v>5063</v>
      </c>
      <c r="G32" s="6" t="s">
        <v>5065</v>
      </c>
      <c r="H32" s="6" t="s">
        <v>5066</v>
      </c>
      <c r="I32">
        <v>1984</v>
      </c>
    </row>
    <row r="33" spans="1:9" x14ac:dyDescent="0.3">
      <c r="A33" s="6" t="s">
        <v>202</v>
      </c>
      <c r="B33" s="1" t="s">
        <v>4511</v>
      </c>
      <c r="C33" s="6" t="s">
        <v>375</v>
      </c>
      <c r="D33" s="6" t="s">
        <v>384</v>
      </c>
      <c r="E33" s="6" t="s">
        <v>385</v>
      </c>
      <c r="F33" s="6" t="s">
        <v>5064</v>
      </c>
      <c r="G33" s="6" t="s">
        <v>5065</v>
      </c>
      <c r="H33" s="6" t="s">
        <v>5066</v>
      </c>
      <c r="I33">
        <v>1984</v>
      </c>
    </row>
    <row r="34" spans="1:9" x14ac:dyDescent="0.3">
      <c r="A34" s="6" t="s">
        <v>202</v>
      </c>
      <c r="B34" s="1" t="s">
        <v>4511</v>
      </c>
      <c r="C34" s="6" t="s">
        <v>375</v>
      </c>
      <c r="D34" s="6" t="s">
        <v>390</v>
      </c>
      <c r="E34" s="6" t="s">
        <v>391</v>
      </c>
      <c r="F34" s="6" t="s">
        <v>5061</v>
      </c>
      <c r="G34" s="6" t="s">
        <v>5065</v>
      </c>
      <c r="H34" s="6" t="s">
        <v>5066</v>
      </c>
      <c r="I34">
        <v>1984</v>
      </c>
    </row>
    <row r="35" spans="1:9" x14ac:dyDescent="0.3">
      <c r="A35" s="6" t="s">
        <v>292</v>
      </c>
      <c r="B35" s="1" t="s">
        <v>4514</v>
      </c>
      <c r="C35" s="6" t="s">
        <v>395</v>
      </c>
      <c r="D35" s="6" t="s">
        <v>396</v>
      </c>
      <c r="E35" s="6" t="s">
        <v>398</v>
      </c>
      <c r="F35" s="6" t="s">
        <v>5062</v>
      </c>
      <c r="G35" s="6" t="s">
        <v>5065</v>
      </c>
      <c r="H35" s="6" t="s">
        <v>5066</v>
      </c>
      <c r="I35">
        <v>1984</v>
      </c>
    </row>
    <row r="36" spans="1:9" x14ac:dyDescent="0.3">
      <c r="A36" s="6" t="s">
        <v>292</v>
      </c>
      <c r="B36" s="1" t="s">
        <v>4514</v>
      </c>
      <c r="C36" s="6" t="s">
        <v>395</v>
      </c>
      <c r="D36" s="6" t="s">
        <v>404</v>
      </c>
      <c r="E36" s="6" t="s">
        <v>405</v>
      </c>
      <c r="F36" s="6" t="s">
        <v>5063</v>
      </c>
      <c r="G36" s="6" t="s">
        <v>5065</v>
      </c>
      <c r="H36" s="6" t="s">
        <v>5066</v>
      </c>
      <c r="I36">
        <v>1984</v>
      </c>
    </row>
    <row r="37" spans="1:9" x14ac:dyDescent="0.3">
      <c r="A37" s="6" t="s">
        <v>292</v>
      </c>
      <c r="B37" s="1" t="s">
        <v>4514</v>
      </c>
      <c r="C37" s="6" t="s">
        <v>395</v>
      </c>
      <c r="D37" s="6" t="s">
        <v>409</v>
      </c>
      <c r="E37" s="6" t="s">
        <v>410</v>
      </c>
      <c r="F37" s="6" t="s">
        <v>5064</v>
      </c>
      <c r="G37" s="6" t="s">
        <v>5065</v>
      </c>
      <c r="H37" s="6" t="s">
        <v>5066</v>
      </c>
      <c r="I37">
        <v>1984</v>
      </c>
    </row>
    <row r="38" spans="1:9" x14ac:dyDescent="0.3">
      <c r="A38" s="6" t="s">
        <v>292</v>
      </c>
      <c r="B38" s="1" t="s">
        <v>4514</v>
      </c>
      <c r="C38" s="6" t="s">
        <v>395</v>
      </c>
      <c r="D38" s="6" t="s">
        <v>414</v>
      </c>
      <c r="E38" s="6" t="s">
        <v>415</v>
      </c>
      <c r="F38" s="6" t="s">
        <v>5061</v>
      </c>
      <c r="G38" s="6" t="s">
        <v>5065</v>
      </c>
      <c r="H38" s="6" t="s">
        <v>5066</v>
      </c>
      <c r="I38">
        <v>1984</v>
      </c>
    </row>
    <row r="39" spans="1:9" x14ac:dyDescent="0.3">
      <c r="A39" s="6" t="s">
        <v>262</v>
      </c>
      <c r="B39" s="1" t="s">
        <v>4512</v>
      </c>
      <c r="C39" s="6" t="s">
        <v>419</v>
      </c>
      <c r="D39" s="6" t="s">
        <v>420</v>
      </c>
      <c r="E39" s="6" t="s">
        <v>422</v>
      </c>
      <c r="F39" s="6" t="s">
        <v>5062</v>
      </c>
      <c r="G39" s="6" t="s">
        <v>5065</v>
      </c>
      <c r="H39" s="6" t="s">
        <v>5066</v>
      </c>
      <c r="I39">
        <v>1984</v>
      </c>
    </row>
    <row r="40" spans="1:9" x14ac:dyDescent="0.3">
      <c r="A40" s="6" t="s">
        <v>262</v>
      </c>
      <c r="B40" s="1" t="s">
        <v>4512</v>
      </c>
      <c r="C40" s="6" t="s">
        <v>419</v>
      </c>
      <c r="D40" s="6" t="s">
        <v>426</v>
      </c>
      <c r="E40" s="6" t="s">
        <v>427</v>
      </c>
      <c r="F40" s="6" t="s">
        <v>5063</v>
      </c>
      <c r="G40" s="6" t="s">
        <v>5065</v>
      </c>
      <c r="H40" s="6" t="s">
        <v>5066</v>
      </c>
      <c r="I40">
        <v>1984</v>
      </c>
    </row>
    <row r="41" spans="1:9" x14ac:dyDescent="0.3">
      <c r="A41" s="6" t="s">
        <v>262</v>
      </c>
      <c r="B41" s="1" t="s">
        <v>4512</v>
      </c>
      <c r="C41" s="6" t="s">
        <v>419</v>
      </c>
      <c r="D41" s="6" t="s">
        <v>430</v>
      </c>
      <c r="E41" s="6" t="s">
        <v>431</v>
      </c>
      <c r="F41" s="6" t="s">
        <v>5064</v>
      </c>
      <c r="G41" s="6" t="s">
        <v>5065</v>
      </c>
      <c r="H41" s="6" t="s">
        <v>5066</v>
      </c>
      <c r="I41">
        <v>1984</v>
      </c>
    </row>
    <row r="42" spans="1:9" x14ac:dyDescent="0.3">
      <c r="A42" s="6" t="s">
        <v>262</v>
      </c>
      <c r="B42" s="1" t="s">
        <v>4512</v>
      </c>
      <c r="C42" s="6" t="s">
        <v>419</v>
      </c>
      <c r="D42" s="6" t="s">
        <v>437</v>
      </c>
      <c r="E42" s="6" t="s">
        <v>438</v>
      </c>
      <c r="F42" s="6" t="s">
        <v>5061</v>
      </c>
      <c r="G42" s="6" t="s">
        <v>5065</v>
      </c>
      <c r="H42" s="6" t="s">
        <v>5066</v>
      </c>
      <c r="I42">
        <v>1984</v>
      </c>
    </row>
    <row r="43" spans="1:9" x14ac:dyDescent="0.3">
      <c r="A43" s="6" t="s">
        <v>262</v>
      </c>
      <c r="B43" s="1" t="s">
        <v>4512</v>
      </c>
      <c r="C43" s="6" t="s">
        <v>419</v>
      </c>
      <c r="D43" s="6" t="s">
        <v>442</v>
      </c>
      <c r="E43" s="6" t="s">
        <v>443</v>
      </c>
      <c r="F43" s="6" t="s">
        <v>5062</v>
      </c>
      <c r="G43" s="6" t="s">
        <v>5065</v>
      </c>
      <c r="H43" s="6" t="s">
        <v>5066</v>
      </c>
      <c r="I43">
        <v>1984</v>
      </c>
    </row>
    <row r="44" spans="1:9" x14ac:dyDescent="0.3">
      <c r="A44" s="6" t="s">
        <v>262</v>
      </c>
      <c r="B44" s="1" t="s">
        <v>4512</v>
      </c>
      <c r="C44" s="6" t="s">
        <v>419</v>
      </c>
      <c r="D44" s="6" t="s">
        <v>447</v>
      </c>
      <c r="E44" s="6" t="s">
        <v>448</v>
      </c>
      <c r="F44" s="6" t="s">
        <v>5063</v>
      </c>
      <c r="G44" s="6" t="s">
        <v>5065</v>
      </c>
      <c r="H44" s="6" t="s">
        <v>5066</v>
      </c>
      <c r="I44">
        <v>1984</v>
      </c>
    </row>
    <row r="45" spans="1:9" x14ac:dyDescent="0.3">
      <c r="A45" s="6" t="s">
        <v>262</v>
      </c>
      <c r="B45" s="1" t="s">
        <v>4512</v>
      </c>
      <c r="C45" s="6" t="s">
        <v>419</v>
      </c>
      <c r="D45" s="6" t="s">
        <v>451</v>
      </c>
      <c r="E45" s="6" t="s">
        <v>452</v>
      </c>
      <c r="F45" s="6" t="s">
        <v>5064</v>
      </c>
      <c r="G45" s="6" t="s">
        <v>5065</v>
      </c>
      <c r="H45" s="6" t="s">
        <v>5066</v>
      </c>
      <c r="I45">
        <v>1984</v>
      </c>
    </row>
    <row r="46" spans="1:9" x14ac:dyDescent="0.3">
      <c r="A46" s="6" t="s">
        <v>262</v>
      </c>
      <c r="B46" s="1" t="s">
        <v>4512</v>
      </c>
      <c r="C46" s="6" t="s">
        <v>419</v>
      </c>
      <c r="D46" s="6" t="s">
        <v>456</v>
      </c>
      <c r="E46" s="6" t="s">
        <v>457</v>
      </c>
      <c r="F46" s="6" t="s">
        <v>5061</v>
      </c>
      <c r="G46" s="6" t="s">
        <v>5065</v>
      </c>
      <c r="H46" s="6" t="s">
        <v>5066</v>
      </c>
      <c r="I46">
        <v>1984</v>
      </c>
    </row>
    <row r="47" spans="1:9" x14ac:dyDescent="0.3">
      <c r="A47" s="6" t="s">
        <v>262</v>
      </c>
      <c r="B47" s="1" t="s">
        <v>4512</v>
      </c>
      <c r="C47" s="6" t="s">
        <v>419</v>
      </c>
      <c r="D47" s="6" t="s">
        <v>463</v>
      </c>
      <c r="E47" s="6" t="s">
        <v>464</v>
      </c>
      <c r="F47" s="6" t="s">
        <v>5062</v>
      </c>
      <c r="G47" s="6" t="s">
        <v>5065</v>
      </c>
      <c r="H47" s="6" t="s">
        <v>5066</v>
      </c>
      <c r="I47">
        <v>1984</v>
      </c>
    </row>
    <row r="48" spans="1:9" x14ac:dyDescent="0.3">
      <c r="A48" s="6" t="s">
        <v>262</v>
      </c>
      <c r="B48" s="1" t="s">
        <v>4512</v>
      </c>
      <c r="C48" s="6" t="s">
        <v>419</v>
      </c>
      <c r="D48" s="6" t="s">
        <v>470</v>
      </c>
      <c r="E48" s="6" t="s">
        <v>471</v>
      </c>
      <c r="F48" s="6" t="s">
        <v>5063</v>
      </c>
      <c r="G48" s="6" t="s">
        <v>5065</v>
      </c>
      <c r="H48" s="6" t="s">
        <v>5066</v>
      </c>
      <c r="I48">
        <v>1984</v>
      </c>
    </row>
    <row r="49" spans="1:9" x14ac:dyDescent="0.3">
      <c r="A49" s="6" t="s">
        <v>262</v>
      </c>
      <c r="B49" s="1" t="s">
        <v>4512</v>
      </c>
      <c r="C49" s="6" t="s">
        <v>419</v>
      </c>
      <c r="D49" s="6" t="s">
        <v>475</v>
      </c>
      <c r="E49" s="6" t="s">
        <v>476</v>
      </c>
      <c r="F49" s="6" t="s">
        <v>5064</v>
      </c>
      <c r="G49" s="6" t="s">
        <v>5065</v>
      </c>
      <c r="H49" s="6" t="s">
        <v>5066</v>
      </c>
      <c r="I49">
        <v>1984</v>
      </c>
    </row>
    <row r="50" spans="1:9" x14ac:dyDescent="0.3">
      <c r="A50" s="6" t="s">
        <v>262</v>
      </c>
      <c r="B50" s="1" t="s">
        <v>4512</v>
      </c>
      <c r="C50" s="6" t="s">
        <v>419</v>
      </c>
      <c r="D50" s="6" t="s">
        <v>479</v>
      </c>
      <c r="E50" s="6" t="s">
        <v>480</v>
      </c>
      <c r="F50" s="6" t="s">
        <v>5061</v>
      </c>
      <c r="G50" s="6" t="s">
        <v>5065</v>
      </c>
      <c r="H50" s="6" t="s">
        <v>5066</v>
      </c>
      <c r="I50">
        <v>1984</v>
      </c>
    </row>
    <row r="51" spans="1:9" x14ac:dyDescent="0.3">
      <c r="A51" s="6" t="s">
        <v>262</v>
      </c>
      <c r="B51" s="1" t="s">
        <v>4512</v>
      </c>
      <c r="C51" s="6" t="s">
        <v>419</v>
      </c>
      <c r="D51" s="6" t="s">
        <v>486</v>
      </c>
      <c r="E51" s="6" t="s">
        <v>487</v>
      </c>
      <c r="F51" s="6" t="s">
        <v>5062</v>
      </c>
      <c r="G51" s="6" t="s">
        <v>5065</v>
      </c>
      <c r="H51" s="6" t="s">
        <v>5066</v>
      </c>
      <c r="I51">
        <v>1984</v>
      </c>
    </row>
    <row r="52" spans="1:9" x14ac:dyDescent="0.3">
      <c r="A52" s="6" t="s">
        <v>262</v>
      </c>
      <c r="B52" s="1" t="s">
        <v>4512</v>
      </c>
      <c r="C52" s="6" t="s">
        <v>419</v>
      </c>
      <c r="D52" s="6" t="s">
        <v>491</v>
      </c>
      <c r="E52" s="6" t="s">
        <v>492</v>
      </c>
      <c r="F52" s="6" t="s">
        <v>5063</v>
      </c>
      <c r="G52" s="6" t="s">
        <v>5065</v>
      </c>
      <c r="H52" s="6" t="s">
        <v>5067</v>
      </c>
      <c r="I52">
        <v>1984</v>
      </c>
    </row>
    <row r="53" spans="1:9" x14ac:dyDescent="0.3">
      <c r="A53" s="6" t="s">
        <v>262</v>
      </c>
      <c r="B53" s="1" t="s">
        <v>4512</v>
      </c>
      <c r="C53" s="6" t="s">
        <v>419</v>
      </c>
      <c r="D53" s="6" t="s">
        <v>494</v>
      </c>
      <c r="E53" s="6" t="s">
        <v>495</v>
      </c>
      <c r="F53" s="6" t="s">
        <v>5064</v>
      </c>
      <c r="G53" s="6" t="s">
        <v>5065</v>
      </c>
      <c r="H53" s="6" t="s">
        <v>5066</v>
      </c>
      <c r="I53">
        <v>1984</v>
      </c>
    </row>
    <row r="54" spans="1:9" x14ac:dyDescent="0.3">
      <c r="A54" s="6" t="s">
        <v>262</v>
      </c>
      <c r="B54" s="1" t="s">
        <v>4512</v>
      </c>
      <c r="C54" s="6" t="s">
        <v>419</v>
      </c>
      <c r="D54" s="6" t="s">
        <v>499</v>
      </c>
      <c r="E54" s="6" t="s">
        <v>500</v>
      </c>
      <c r="F54" s="6" t="s">
        <v>5061</v>
      </c>
      <c r="G54" s="6" t="s">
        <v>5065</v>
      </c>
      <c r="H54" s="6" t="s">
        <v>5067</v>
      </c>
      <c r="I54">
        <v>1984</v>
      </c>
    </row>
    <row r="55" spans="1:9" x14ac:dyDescent="0.3">
      <c r="A55" s="6" t="s">
        <v>262</v>
      </c>
      <c r="B55" s="1" t="s">
        <v>4512</v>
      </c>
      <c r="C55" s="6" t="s">
        <v>419</v>
      </c>
      <c r="D55" s="6" t="s">
        <v>503</v>
      </c>
      <c r="E55" s="6" t="s">
        <v>504</v>
      </c>
      <c r="F55" s="6" t="s">
        <v>5062</v>
      </c>
      <c r="G55" s="6" t="s">
        <v>5065</v>
      </c>
      <c r="H55" s="6" t="s">
        <v>5067</v>
      </c>
      <c r="I55">
        <v>1984</v>
      </c>
    </row>
    <row r="56" spans="1:9" x14ac:dyDescent="0.3">
      <c r="A56" s="6" t="s">
        <v>262</v>
      </c>
      <c r="B56" s="1" t="s">
        <v>4512</v>
      </c>
      <c r="C56" s="6" t="s">
        <v>419</v>
      </c>
      <c r="D56" s="6" t="s">
        <v>508</v>
      </c>
      <c r="E56" s="6" t="s">
        <v>509</v>
      </c>
      <c r="F56" s="6" t="s">
        <v>5063</v>
      </c>
      <c r="G56" s="6" t="s">
        <v>5065</v>
      </c>
      <c r="H56" s="6" t="s">
        <v>5067</v>
      </c>
      <c r="I56">
        <v>1984</v>
      </c>
    </row>
    <row r="57" spans="1:9" x14ac:dyDescent="0.3">
      <c r="A57" s="6" t="s">
        <v>262</v>
      </c>
      <c r="B57" s="1" t="s">
        <v>4512</v>
      </c>
      <c r="C57" s="6" t="s">
        <v>419</v>
      </c>
      <c r="D57" s="6" t="s">
        <v>512</v>
      </c>
      <c r="E57" s="6" t="s">
        <v>513</v>
      </c>
      <c r="F57" s="6" t="s">
        <v>5064</v>
      </c>
      <c r="G57" s="6" t="s">
        <v>5065</v>
      </c>
      <c r="H57" s="6" t="s">
        <v>5066</v>
      </c>
      <c r="I57">
        <v>1984</v>
      </c>
    </row>
    <row r="58" spans="1:9" x14ac:dyDescent="0.3">
      <c r="A58" s="6" t="s">
        <v>262</v>
      </c>
      <c r="B58" s="1" t="s">
        <v>4512</v>
      </c>
      <c r="C58" s="6" t="s">
        <v>419</v>
      </c>
      <c r="D58" s="6" t="s">
        <v>516</v>
      </c>
      <c r="E58" s="6" t="s">
        <v>517</v>
      </c>
      <c r="F58" s="6" t="s">
        <v>5061</v>
      </c>
      <c r="G58" s="6" t="s">
        <v>5065</v>
      </c>
      <c r="H58" s="6" t="s">
        <v>5067</v>
      </c>
      <c r="I58">
        <v>1984</v>
      </c>
    </row>
    <row r="59" spans="1:9" x14ac:dyDescent="0.3">
      <c r="A59" s="6" t="s">
        <v>262</v>
      </c>
      <c r="B59" s="1" t="s">
        <v>4512</v>
      </c>
      <c r="C59" s="6" t="s">
        <v>419</v>
      </c>
      <c r="D59" s="6" t="s">
        <v>521</v>
      </c>
      <c r="E59" s="6" t="s">
        <v>522</v>
      </c>
      <c r="F59" s="6" t="s">
        <v>5062</v>
      </c>
      <c r="G59" s="6" t="s">
        <v>5065</v>
      </c>
      <c r="H59" s="6" t="s">
        <v>5067</v>
      </c>
      <c r="I59">
        <v>1984</v>
      </c>
    </row>
    <row r="60" spans="1:9" x14ac:dyDescent="0.3">
      <c r="A60" s="6" t="s">
        <v>262</v>
      </c>
      <c r="B60" s="1" t="s">
        <v>4512</v>
      </c>
      <c r="C60" s="6" t="s">
        <v>419</v>
      </c>
      <c r="D60" s="6" t="s">
        <v>525</v>
      </c>
      <c r="E60" s="6" t="s">
        <v>526</v>
      </c>
      <c r="F60" s="6" t="s">
        <v>5063</v>
      </c>
      <c r="G60" s="6" t="s">
        <v>5065</v>
      </c>
      <c r="H60" s="6" t="s">
        <v>5066</v>
      </c>
      <c r="I60">
        <v>1984</v>
      </c>
    </row>
    <row r="61" spans="1:9" x14ac:dyDescent="0.3">
      <c r="A61" s="6" t="s">
        <v>262</v>
      </c>
      <c r="B61" s="1" t="s">
        <v>4512</v>
      </c>
      <c r="C61" s="6" t="s">
        <v>419</v>
      </c>
      <c r="D61" s="6" t="s">
        <v>531</v>
      </c>
      <c r="E61" s="6" t="s">
        <v>532</v>
      </c>
      <c r="F61" s="6" t="s">
        <v>5064</v>
      </c>
      <c r="G61" s="6" t="s">
        <v>5065</v>
      </c>
      <c r="H61" s="6" t="s">
        <v>5066</v>
      </c>
      <c r="I61">
        <v>1984</v>
      </c>
    </row>
    <row r="62" spans="1:9" x14ac:dyDescent="0.3">
      <c r="A62" s="6" t="s">
        <v>262</v>
      </c>
      <c r="B62" s="1" t="s">
        <v>4512</v>
      </c>
      <c r="C62" s="6" t="s">
        <v>419</v>
      </c>
      <c r="D62" s="6" t="s">
        <v>538</v>
      </c>
      <c r="E62" s="6" t="s">
        <v>539</v>
      </c>
      <c r="F62" s="6" t="s">
        <v>5061</v>
      </c>
      <c r="G62" s="6" t="s">
        <v>5065</v>
      </c>
      <c r="H62" s="6" t="s">
        <v>5066</v>
      </c>
      <c r="I62">
        <v>1984</v>
      </c>
    </row>
    <row r="63" spans="1:9" x14ac:dyDescent="0.3">
      <c r="A63" s="6" t="s">
        <v>262</v>
      </c>
      <c r="B63" s="1" t="s">
        <v>4512</v>
      </c>
      <c r="C63" s="6" t="s">
        <v>419</v>
      </c>
      <c r="D63" s="6" t="s">
        <v>543</v>
      </c>
      <c r="E63" s="6" t="s">
        <v>544</v>
      </c>
      <c r="F63" s="6" t="s">
        <v>5062</v>
      </c>
      <c r="G63" s="6" t="s">
        <v>5065</v>
      </c>
      <c r="H63" s="6" t="s">
        <v>5066</v>
      </c>
      <c r="I63">
        <v>1984</v>
      </c>
    </row>
    <row r="64" spans="1:9" x14ac:dyDescent="0.3">
      <c r="A64" s="6" t="s">
        <v>270</v>
      </c>
      <c r="B64" s="1" t="s">
        <v>4513</v>
      </c>
      <c r="C64" s="6" t="s">
        <v>548</v>
      </c>
      <c r="D64" s="6" t="s">
        <v>549</v>
      </c>
      <c r="E64" s="6" t="s">
        <v>551</v>
      </c>
      <c r="F64" s="6" t="s">
        <v>5063</v>
      </c>
      <c r="G64" s="6" t="s">
        <v>5065</v>
      </c>
      <c r="H64" s="6" t="s">
        <v>5066</v>
      </c>
      <c r="I64">
        <v>1984</v>
      </c>
    </row>
    <row r="65" spans="1:9" x14ac:dyDescent="0.3">
      <c r="A65" s="6" t="s">
        <v>270</v>
      </c>
      <c r="B65" s="1" t="s">
        <v>4513</v>
      </c>
      <c r="C65" s="6" t="s">
        <v>548</v>
      </c>
      <c r="D65" s="6" t="s">
        <v>555</v>
      </c>
      <c r="E65" s="6" t="s">
        <v>556</v>
      </c>
      <c r="F65" s="6" t="s">
        <v>5064</v>
      </c>
      <c r="G65" s="6" t="s">
        <v>5065</v>
      </c>
      <c r="H65" s="6" t="s">
        <v>5066</v>
      </c>
      <c r="I65">
        <v>1984</v>
      </c>
    </row>
    <row r="66" spans="1:9" x14ac:dyDescent="0.3">
      <c r="A66" s="6" t="s">
        <v>270</v>
      </c>
      <c r="B66" s="1" t="s">
        <v>4513</v>
      </c>
      <c r="C66" s="6" t="s">
        <v>548</v>
      </c>
      <c r="D66" s="6" t="s">
        <v>560</v>
      </c>
      <c r="E66" s="6" t="s">
        <v>561</v>
      </c>
      <c r="F66" s="6" t="s">
        <v>5061</v>
      </c>
      <c r="G66" s="6" t="s">
        <v>5065</v>
      </c>
      <c r="H66" s="6" t="s">
        <v>5066</v>
      </c>
      <c r="I66">
        <v>1984</v>
      </c>
    </row>
    <row r="67" spans="1:9" x14ac:dyDescent="0.3">
      <c r="A67" s="6" t="s">
        <v>270</v>
      </c>
      <c r="B67" s="1" t="s">
        <v>4513</v>
      </c>
      <c r="C67" s="6" t="s">
        <v>548</v>
      </c>
      <c r="D67" s="6" t="s">
        <v>565</v>
      </c>
      <c r="E67" s="6" t="s">
        <v>566</v>
      </c>
      <c r="F67" s="6" t="s">
        <v>5062</v>
      </c>
      <c r="G67" s="6" t="s">
        <v>5065</v>
      </c>
      <c r="H67" s="6" t="s">
        <v>5066</v>
      </c>
      <c r="I67">
        <v>1984</v>
      </c>
    </row>
    <row r="68" spans="1:9" x14ac:dyDescent="0.3">
      <c r="A68" s="6" t="s">
        <v>270</v>
      </c>
      <c r="B68" s="1" t="s">
        <v>4513</v>
      </c>
      <c r="C68" s="6" t="s">
        <v>548</v>
      </c>
      <c r="D68" s="6" t="s">
        <v>570</v>
      </c>
      <c r="E68" s="6" t="s">
        <v>571</v>
      </c>
      <c r="F68" s="6" t="s">
        <v>5063</v>
      </c>
      <c r="G68" s="6" t="s">
        <v>5065</v>
      </c>
      <c r="H68" s="6" t="s">
        <v>5066</v>
      </c>
      <c r="I68">
        <v>1984</v>
      </c>
    </row>
    <row r="69" spans="1:9" x14ac:dyDescent="0.3">
      <c r="A69" s="6" t="s">
        <v>270</v>
      </c>
      <c r="B69" s="1" t="s">
        <v>4513</v>
      </c>
      <c r="C69" s="6" t="s">
        <v>548</v>
      </c>
      <c r="D69" s="6" t="s">
        <v>574</v>
      </c>
      <c r="E69" s="6" t="s">
        <v>575</v>
      </c>
      <c r="F69" s="6" t="s">
        <v>5064</v>
      </c>
      <c r="G69" s="6" t="s">
        <v>5065</v>
      </c>
      <c r="H69" s="6" t="s">
        <v>5066</v>
      </c>
      <c r="I69">
        <v>1984</v>
      </c>
    </row>
    <row r="70" spans="1:9" x14ac:dyDescent="0.3">
      <c r="A70" s="6" t="s">
        <v>270</v>
      </c>
      <c r="B70" s="1" t="s">
        <v>4513</v>
      </c>
      <c r="C70" s="6" t="s">
        <v>548</v>
      </c>
      <c r="D70" s="6" t="s">
        <v>579</v>
      </c>
      <c r="E70" s="6" t="s">
        <v>580</v>
      </c>
      <c r="F70" s="6" t="s">
        <v>5061</v>
      </c>
      <c r="G70" s="6" t="s">
        <v>5065</v>
      </c>
      <c r="H70" s="6" t="s">
        <v>5066</v>
      </c>
      <c r="I70">
        <v>1984</v>
      </c>
    </row>
    <row r="71" spans="1:9" x14ac:dyDescent="0.3">
      <c r="A71" s="6" t="s">
        <v>270</v>
      </c>
      <c r="B71" s="1" t="s">
        <v>4513</v>
      </c>
      <c r="C71" s="6" t="s">
        <v>548</v>
      </c>
      <c r="D71" s="6" t="s">
        <v>585</v>
      </c>
      <c r="E71" s="6" t="s">
        <v>586</v>
      </c>
      <c r="F71" s="6" t="s">
        <v>5062</v>
      </c>
      <c r="G71" s="6" t="s">
        <v>5065</v>
      </c>
      <c r="H71" s="6" t="s">
        <v>5066</v>
      </c>
      <c r="I71">
        <v>1984</v>
      </c>
    </row>
    <row r="72" spans="1:9" x14ac:dyDescent="0.3">
      <c r="A72" s="6" t="s">
        <v>270</v>
      </c>
      <c r="B72" s="1" t="s">
        <v>4513</v>
      </c>
      <c r="C72" s="6" t="s">
        <v>548</v>
      </c>
      <c r="D72" s="6" t="s">
        <v>589</v>
      </c>
      <c r="E72" s="6" t="s">
        <v>590</v>
      </c>
      <c r="F72" s="6" t="s">
        <v>5063</v>
      </c>
      <c r="G72" s="6" t="s">
        <v>5065</v>
      </c>
      <c r="H72" s="6" t="s">
        <v>5066</v>
      </c>
      <c r="I72">
        <v>1984</v>
      </c>
    </row>
    <row r="73" spans="1:9" x14ac:dyDescent="0.3">
      <c r="A73" s="6" t="s">
        <v>270</v>
      </c>
      <c r="B73" s="1" t="s">
        <v>4513</v>
      </c>
      <c r="C73" s="6" t="s">
        <v>548</v>
      </c>
      <c r="D73" s="6" t="s">
        <v>594</v>
      </c>
      <c r="E73" s="6" t="s">
        <v>595</v>
      </c>
      <c r="F73" s="6" t="s">
        <v>5064</v>
      </c>
      <c r="G73" s="6" t="s">
        <v>5065</v>
      </c>
      <c r="H73" s="6" t="s">
        <v>5066</v>
      </c>
      <c r="I73">
        <v>1984</v>
      </c>
    </row>
    <row r="74" spans="1:9" x14ac:dyDescent="0.3">
      <c r="A74" s="6" t="s">
        <v>270</v>
      </c>
      <c r="B74" s="1" t="s">
        <v>4513</v>
      </c>
      <c r="C74" s="6" t="s">
        <v>548</v>
      </c>
      <c r="D74" s="6" t="s">
        <v>598</v>
      </c>
      <c r="E74" s="6" t="s">
        <v>599</v>
      </c>
      <c r="F74" s="6" t="s">
        <v>5061</v>
      </c>
      <c r="G74" s="6" t="s">
        <v>5065</v>
      </c>
      <c r="H74" s="6" t="s">
        <v>5066</v>
      </c>
      <c r="I74">
        <v>1984</v>
      </c>
    </row>
    <row r="75" spans="1:9" x14ac:dyDescent="0.3">
      <c r="A75" s="6" t="s">
        <v>270</v>
      </c>
      <c r="B75" s="1" t="s">
        <v>4513</v>
      </c>
      <c r="C75" s="6" t="s">
        <v>548</v>
      </c>
      <c r="D75" s="6" t="s">
        <v>603</v>
      </c>
      <c r="E75" s="6" t="s">
        <v>604</v>
      </c>
      <c r="F75" s="6" t="s">
        <v>5062</v>
      </c>
      <c r="G75" s="6" t="s">
        <v>5065</v>
      </c>
      <c r="H75" s="6" t="s">
        <v>5066</v>
      </c>
      <c r="I75">
        <v>1984</v>
      </c>
    </row>
    <row r="76" spans="1:9" x14ac:dyDescent="0.3">
      <c r="A76" s="6" t="s">
        <v>270</v>
      </c>
      <c r="B76" s="1" t="s">
        <v>4513</v>
      </c>
      <c r="C76" s="6" t="s">
        <v>548</v>
      </c>
      <c r="D76" s="6" t="s">
        <v>609</v>
      </c>
      <c r="E76" s="6" t="s">
        <v>610</v>
      </c>
      <c r="F76" s="6" t="s">
        <v>5063</v>
      </c>
      <c r="G76" s="6" t="s">
        <v>5065</v>
      </c>
      <c r="H76" s="6" t="s">
        <v>5066</v>
      </c>
      <c r="I76">
        <v>1984</v>
      </c>
    </row>
    <row r="77" spans="1:9" x14ac:dyDescent="0.3">
      <c r="A77" s="6" t="s">
        <v>270</v>
      </c>
      <c r="B77" s="1" t="s">
        <v>4513</v>
      </c>
      <c r="C77" s="6" t="s">
        <v>548</v>
      </c>
      <c r="D77" s="6" t="s">
        <v>613</v>
      </c>
      <c r="E77" s="6" t="s">
        <v>614</v>
      </c>
      <c r="F77" s="6" t="s">
        <v>5064</v>
      </c>
      <c r="G77" s="6" t="s">
        <v>5065</v>
      </c>
      <c r="H77" s="6" t="s">
        <v>5066</v>
      </c>
      <c r="I77">
        <v>1984</v>
      </c>
    </row>
    <row r="78" spans="1:9" x14ac:dyDescent="0.3">
      <c r="A78" s="6" t="s">
        <v>270</v>
      </c>
      <c r="B78" s="1" t="s">
        <v>4513</v>
      </c>
      <c r="C78" s="6" t="s">
        <v>548</v>
      </c>
      <c r="D78" s="6" t="s">
        <v>618</v>
      </c>
      <c r="E78" s="6" t="s">
        <v>619</v>
      </c>
      <c r="F78" s="6" t="s">
        <v>5061</v>
      </c>
      <c r="G78" s="6" t="s">
        <v>5065</v>
      </c>
      <c r="H78" s="6" t="s">
        <v>5066</v>
      </c>
      <c r="I78">
        <v>1984</v>
      </c>
    </row>
    <row r="79" spans="1:9" x14ac:dyDescent="0.3">
      <c r="A79" s="6" t="s">
        <v>270</v>
      </c>
      <c r="B79" s="1" t="s">
        <v>4513</v>
      </c>
      <c r="C79" s="6" t="s">
        <v>548</v>
      </c>
      <c r="D79" s="6" t="s">
        <v>623</v>
      </c>
      <c r="E79" s="6" t="s">
        <v>624</v>
      </c>
      <c r="F79" s="6" t="s">
        <v>5062</v>
      </c>
      <c r="G79" s="6" t="s">
        <v>5065</v>
      </c>
      <c r="H79" s="6" t="s">
        <v>5066</v>
      </c>
      <c r="I79">
        <v>1984</v>
      </c>
    </row>
    <row r="80" spans="1:9" x14ac:dyDescent="0.3">
      <c r="A80" s="6" t="s">
        <v>270</v>
      </c>
      <c r="B80" s="1" t="s">
        <v>4513</v>
      </c>
      <c r="C80" s="6" t="s">
        <v>548</v>
      </c>
      <c r="D80" s="6" t="s">
        <v>628</v>
      </c>
      <c r="E80" s="6" t="s">
        <v>629</v>
      </c>
      <c r="F80" s="6" t="s">
        <v>5063</v>
      </c>
      <c r="G80" s="6" t="s">
        <v>5065</v>
      </c>
      <c r="H80" s="6" t="s">
        <v>5066</v>
      </c>
      <c r="I80">
        <v>1984</v>
      </c>
    </row>
    <row r="81" spans="1:9" x14ac:dyDescent="0.3">
      <c r="A81" s="6" t="s">
        <v>270</v>
      </c>
      <c r="B81" s="1" t="s">
        <v>4513</v>
      </c>
      <c r="C81" s="6" t="s">
        <v>548</v>
      </c>
      <c r="D81" s="6" t="s">
        <v>633</v>
      </c>
      <c r="E81" s="6" t="s">
        <v>634</v>
      </c>
      <c r="F81" s="6" t="s">
        <v>5064</v>
      </c>
      <c r="G81" s="6" t="s">
        <v>5065</v>
      </c>
      <c r="H81" s="6" t="s">
        <v>5066</v>
      </c>
      <c r="I81">
        <v>1984</v>
      </c>
    </row>
    <row r="82" spans="1:9" x14ac:dyDescent="0.3">
      <c r="A82" s="6" t="s">
        <v>270</v>
      </c>
      <c r="B82" s="1" t="s">
        <v>4513</v>
      </c>
      <c r="C82" s="6" t="s">
        <v>548</v>
      </c>
      <c r="D82" s="6" t="s">
        <v>640</v>
      </c>
      <c r="E82" s="6" t="s">
        <v>641</v>
      </c>
      <c r="F82" s="6" t="s">
        <v>5061</v>
      </c>
      <c r="G82" s="6" t="s">
        <v>5065</v>
      </c>
      <c r="H82" s="6" t="s">
        <v>5066</v>
      </c>
      <c r="I82">
        <v>1984</v>
      </c>
    </row>
    <row r="83" spans="1:9" x14ac:dyDescent="0.3">
      <c r="A83" s="6" t="s">
        <v>270</v>
      </c>
      <c r="B83" s="1" t="s">
        <v>4513</v>
      </c>
      <c r="C83" s="6" t="s">
        <v>548</v>
      </c>
      <c r="D83" s="6" t="s">
        <v>644</v>
      </c>
      <c r="E83" s="6" t="s">
        <v>645</v>
      </c>
      <c r="F83" s="6" t="s">
        <v>5062</v>
      </c>
      <c r="G83" s="6" t="s">
        <v>5065</v>
      </c>
      <c r="H83" s="6" t="s">
        <v>5066</v>
      </c>
      <c r="I83">
        <v>1984</v>
      </c>
    </row>
    <row r="84" spans="1:9" x14ac:dyDescent="0.3">
      <c r="A84" s="6" t="s">
        <v>270</v>
      </c>
      <c r="B84" s="1" t="s">
        <v>4513</v>
      </c>
      <c r="C84" s="6" t="s">
        <v>548</v>
      </c>
      <c r="D84" s="6" t="s">
        <v>651</v>
      </c>
      <c r="E84" s="6" t="s">
        <v>652</v>
      </c>
      <c r="F84" s="6" t="s">
        <v>5063</v>
      </c>
      <c r="G84" s="6" t="s">
        <v>5065</v>
      </c>
      <c r="H84" s="6" t="s">
        <v>5066</v>
      </c>
      <c r="I84">
        <v>1984</v>
      </c>
    </row>
    <row r="85" spans="1:9" x14ac:dyDescent="0.3">
      <c r="A85" s="6" t="s">
        <v>270</v>
      </c>
      <c r="B85" s="1" t="s">
        <v>4513</v>
      </c>
      <c r="C85" s="6" t="s">
        <v>548</v>
      </c>
      <c r="D85" s="6" t="s">
        <v>656</v>
      </c>
      <c r="E85" s="6" t="s">
        <v>657</v>
      </c>
      <c r="F85" s="6" t="s">
        <v>5064</v>
      </c>
      <c r="G85" s="6" t="s">
        <v>5065</v>
      </c>
      <c r="H85" s="6" t="s">
        <v>5066</v>
      </c>
      <c r="I85">
        <v>1984</v>
      </c>
    </row>
    <row r="86" spans="1:9" x14ac:dyDescent="0.3">
      <c r="A86" s="6" t="s">
        <v>270</v>
      </c>
      <c r="B86" s="1" t="s">
        <v>4513</v>
      </c>
      <c r="C86" s="6" t="s">
        <v>548</v>
      </c>
      <c r="D86" s="6" t="s">
        <v>661</v>
      </c>
      <c r="E86" s="6" t="s">
        <v>662</v>
      </c>
      <c r="F86" s="6" t="s">
        <v>5061</v>
      </c>
      <c r="G86" s="6" t="s">
        <v>5065</v>
      </c>
      <c r="H86" s="6" t="s">
        <v>5066</v>
      </c>
      <c r="I86">
        <v>1984</v>
      </c>
    </row>
    <row r="87" spans="1:9" x14ac:dyDescent="0.3">
      <c r="A87" s="6" t="s">
        <v>270</v>
      </c>
      <c r="B87" s="1" t="s">
        <v>4513</v>
      </c>
      <c r="C87" s="6" t="s">
        <v>548</v>
      </c>
      <c r="D87" s="6" t="s">
        <v>666</v>
      </c>
      <c r="E87" s="6" t="s">
        <v>667</v>
      </c>
      <c r="F87" s="6" t="s">
        <v>5062</v>
      </c>
      <c r="G87" s="6" t="s">
        <v>5065</v>
      </c>
      <c r="H87" s="6" t="s">
        <v>5066</v>
      </c>
      <c r="I87">
        <v>1984</v>
      </c>
    </row>
    <row r="88" spans="1:9" x14ac:dyDescent="0.3">
      <c r="A88" s="6" t="s">
        <v>270</v>
      </c>
      <c r="B88" s="1" t="s">
        <v>4519</v>
      </c>
      <c r="C88" s="6" t="s">
        <v>673</v>
      </c>
      <c r="D88" s="6" t="s">
        <v>674</v>
      </c>
      <c r="E88" s="6" t="s">
        <v>676</v>
      </c>
      <c r="F88" s="6" t="s">
        <v>5063</v>
      </c>
      <c r="G88" s="6" t="s">
        <v>5065</v>
      </c>
      <c r="H88" s="6" t="s">
        <v>5066</v>
      </c>
      <c r="I88">
        <v>1984</v>
      </c>
    </row>
    <row r="89" spans="1:9" x14ac:dyDescent="0.3">
      <c r="A89" s="6" t="s">
        <v>270</v>
      </c>
      <c r="B89" s="1" t="s">
        <v>4519</v>
      </c>
      <c r="C89" s="6" t="s">
        <v>673</v>
      </c>
      <c r="D89" s="6" t="s">
        <v>679</v>
      </c>
      <c r="E89" s="6" t="s">
        <v>680</v>
      </c>
      <c r="F89" s="6" t="s">
        <v>5064</v>
      </c>
      <c r="G89" s="6" t="s">
        <v>5065</v>
      </c>
      <c r="H89" s="6" t="s">
        <v>5066</v>
      </c>
      <c r="I89">
        <v>1984</v>
      </c>
    </row>
    <row r="90" spans="1:9" x14ac:dyDescent="0.3">
      <c r="A90" s="6" t="s">
        <v>292</v>
      </c>
      <c r="B90" s="1" t="s">
        <v>4515</v>
      </c>
      <c r="C90" s="6" t="s">
        <v>683</v>
      </c>
      <c r="D90" s="6" t="s">
        <v>684</v>
      </c>
      <c r="E90" s="6" t="s">
        <v>686</v>
      </c>
      <c r="F90" s="6" t="s">
        <v>5061</v>
      </c>
      <c r="G90" s="6" t="s">
        <v>5065</v>
      </c>
      <c r="H90" s="6" t="s">
        <v>5066</v>
      </c>
      <c r="I90">
        <v>1984</v>
      </c>
    </row>
    <row r="91" spans="1:9" x14ac:dyDescent="0.3">
      <c r="A91" s="6" t="s">
        <v>292</v>
      </c>
      <c r="B91" s="1" t="s">
        <v>4515</v>
      </c>
      <c r="C91" s="6" t="s">
        <v>683</v>
      </c>
      <c r="D91" s="6" t="s">
        <v>690</v>
      </c>
      <c r="E91" s="6" t="s">
        <v>691</v>
      </c>
      <c r="F91" s="6" t="s">
        <v>5062</v>
      </c>
      <c r="G91" s="6" t="s">
        <v>5065</v>
      </c>
      <c r="H91" s="6" t="s">
        <v>5066</v>
      </c>
      <c r="I91">
        <v>1984</v>
      </c>
    </row>
    <row r="92" spans="1:9" x14ac:dyDescent="0.3">
      <c r="A92" s="6" t="s">
        <v>292</v>
      </c>
      <c r="B92" s="1" t="s">
        <v>4515</v>
      </c>
      <c r="C92" s="6" t="s">
        <v>683</v>
      </c>
      <c r="D92" s="6" t="s">
        <v>695</v>
      </c>
      <c r="E92" s="6" t="s">
        <v>696</v>
      </c>
      <c r="F92" s="6" t="s">
        <v>5063</v>
      </c>
      <c r="G92" s="6" t="s">
        <v>5065</v>
      </c>
      <c r="H92" s="6" t="s">
        <v>5066</v>
      </c>
      <c r="I92">
        <v>1984</v>
      </c>
    </row>
    <row r="93" spans="1:9" x14ac:dyDescent="0.3">
      <c r="A93" s="6" t="s">
        <v>292</v>
      </c>
      <c r="B93" s="1" t="s">
        <v>4515</v>
      </c>
      <c r="C93" s="6" t="s">
        <v>683</v>
      </c>
      <c r="D93" s="6" t="s">
        <v>701</v>
      </c>
      <c r="E93" s="6" t="s">
        <v>702</v>
      </c>
      <c r="F93" s="6" t="s">
        <v>5064</v>
      </c>
      <c r="G93" s="6" t="s">
        <v>5065</v>
      </c>
      <c r="H93" s="6" t="s">
        <v>5066</v>
      </c>
      <c r="I93">
        <v>1984</v>
      </c>
    </row>
    <row r="94" spans="1:9" x14ac:dyDescent="0.3">
      <c r="A94" s="6" t="s">
        <v>292</v>
      </c>
      <c r="B94" s="1" t="s">
        <v>4515</v>
      </c>
      <c r="C94" s="6" t="s">
        <v>683</v>
      </c>
      <c r="D94" s="6" t="s">
        <v>704</v>
      </c>
      <c r="E94" s="6" t="s">
        <v>705</v>
      </c>
      <c r="F94" s="6" t="s">
        <v>5061</v>
      </c>
      <c r="G94" s="6" t="s">
        <v>5065</v>
      </c>
      <c r="H94" s="6" t="s">
        <v>5066</v>
      </c>
      <c r="I94">
        <v>1984</v>
      </c>
    </row>
    <row r="95" spans="1:9" x14ac:dyDescent="0.3">
      <c r="A95" s="6" t="s">
        <v>292</v>
      </c>
      <c r="B95" s="1" t="s">
        <v>4515</v>
      </c>
      <c r="C95" s="6" t="s">
        <v>683</v>
      </c>
      <c r="D95" s="6" t="s">
        <v>710</v>
      </c>
      <c r="E95" s="6" t="s">
        <v>711</v>
      </c>
      <c r="F95" s="6" t="s">
        <v>5062</v>
      </c>
      <c r="G95" s="6" t="s">
        <v>5065</v>
      </c>
      <c r="H95" s="6" t="s">
        <v>5066</v>
      </c>
      <c r="I95">
        <v>1984</v>
      </c>
    </row>
    <row r="96" spans="1:9" x14ac:dyDescent="0.3">
      <c r="A96" s="6" t="s">
        <v>292</v>
      </c>
      <c r="B96" s="1" t="s">
        <v>4515</v>
      </c>
      <c r="C96" s="6" t="s">
        <v>683</v>
      </c>
      <c r="D96" s="6" t="s">
        <v>715</v>
      </c>
      <c r="E96" s="6" t="s">
        <v>716</v>
      </c>
      <c r="F96" s="6" t="s">
        <v>5063</v>
      </c>
      <c r="G96" s="6" t="s">
        <v>5065</v>
      </c>
      <c r="H96" s="6" t="s">
        <v>5066</v>
      </c>
      <c r="I96">
        <v>1984</v>
      </c>
    </row>
    <row r="97" spans="1:9" x14ac:dyDescent="0.3">
      <c r="A97" s="6" t="s">
        <v>292</v>
      </c>
      <c r="B97" s="1" t="s">
        <v>4515</v>
      </c>
      <c r="C97" s="6" t="s">
        <v>683</v>
      </c>
      <c r="D97" s="6" t="s">
        <v>718</v>
      </c>
      <c r="E97" s="6" t="s">
        <v>719</v>
      </c>
      <c r="F97" s="6" t="s">
        <v>5064</v>
      </c>
      <c r="G97" s="6" t="s">
        <v>5065</v>
      </c>
      <c r="H97" s="6" t="s">
        <v>5066</v>
      </c>
      <c r="I97">
        <v>1984</v>
      </c>
    </row>
    <row r="98" spans="1:9" x14ac:dyDescent="0.3">
      <c r="A98" s="6" t="s">
        <v>292</v>
      </c>
      <c r="B98" s="1" t="s">
        <v>4515</v>
      </c>
      <c r="C98" s="6" t="s">
        <v>683</v>
      </c>
      <c r="D98" s="6" t="s">
        <v>724</v>
      </c>
      <c r="E98" s="6" t="s">
        <v>725</v>
      </c>
      <c r="F98" s="6" t="s">
        <v>5061</v>
      </c>
      <c r="G98" s="6" t="s">
        <v>5065</v>
      </c>
      <c r="H98" s="6" t="s">
        <v>5066</v>
      </c>
      <c r="I98">
        <v>1984</v>
      </c>
    </row>
    <row r="99" spans="1:9" x14ac:dyDescent="0.3">
      <c r="A99" s="6" t="s">
        <v>270</v>
      </c>
      <c r="B99" s="1" t="s">
        <v>4516</v>
      </c>
      <c r="C99" s="6" t="s">
        <v>729</v>
      </c>
      <c r="D99" s="6" t="s">
        <v>730</v>
      </c>
      <c r="E99" s="6" t="s">
        <v>731</v>
      </c>
      <c r="F99" s="6" t="s">
        <v>5062</v>
      </c>
      <c r="G99" s="6" t="s">
        <v>5065</v>
      </c>
      <c r="H99" s="6" t="s">
        <v>5066</v>
      </c>
      <c r="I99">
        <v>1984</v>
      </c>
    </row>
    <row r="100" spans="1:9" x14ac:dyDescent="0.3">
      <c r="A100" s="6" t="s">
        <v>270</v>
      </c>
      <c r="B100" s="1" t="s">
        <v>4516</v>
      </c>
      <c r="C100" s="6" t="s">
        <v>729</v>
      </c>
      <c r="D100" s="6" t="s">
        <v>735</v>
      </c>
      <c r="E100" s="6" t="s">
        <v>736</v>
      </c>
      <c r="F100" s="6" t="s">
        <v>5063</v>
      </c>
      <c r="G100" s="6" t="s">
        <v>5065</v>
      </c>
      <c r="H100" s="6" t="s">
        <v>5066</v>
      </c>
      <c r="I100">
        <v>1984</v>
      </c>
    </row>
    <row r="101" spans="1:9" x14ac:dyDescent="0.3">
      <c r="A101" s="6" t="s">
        <v>270</v>
      </c>
      <c r="B101" s="1" t="s">
        <v>4516</v>
      </c>
      <c r="C101" s="6" t="s">
        <v>729</v>
      </c>
      <c r="D101" s="6" t="s">
        <v>740</v>
      </c>
      <c r="E101" s="6" t="s">
        <v>741</v>
      </c>
      <c r="F101" s="6" t="s">
        <v>5064</v>
      </c>
      <c r="G101" s="6" t="s">
        <v>5065</v>
      </c>
      <c r="H101" s="6" t="s">
        <v>5066</v>
      </c>
      <c r="I101">
        <v>1984</v>
      </c>
    </row>
    <row r="102" spans="1:9" x14ac:dyDescent="0.3">
      <c r="A102" s="6" t="s">
        <v>270</v>
      </c>
      <c r="B102" s="1" t="s">
        <v>4516</v>
      </c>
      <c r="C102" s="6" t="s">
        <v>729</v>
      </c>
      <c r="D102" s="6" t="s">
        <v>745</v>
      </c>
      <c r="E102" s="6" t="s">
        <v>746</v>
      </c>
      <c r="F102" s="6" t="s">
        <v>5061</v>
      </c>
      <c r="G102" s="6" t="s">
        <v>5065</v>
      </c>
      <c r="H102" s="6" t="s">
        <v>5066</v>
      </c>
      <c r="I102">
        <v>1984</v>
      </c>
    </row>
    <row r="103" spans="1:9" x14ac:dyDescent="0.3">
      <c r="A103" s="6" t="s">
        <v>270</v>
      </c>
      <c r="B103" s="1" t="s">
        <v>4516</v>
      </c>
      <c r="C103" s="6" t="s">
        <v>729</v>
      </c>
      <c r="D103" s="6" t="s">
        <v>751</v>
      </c>
      <c r="E103" s="6" t="s">
        <v>752</v>
      </c>
      <c r="F103" s="6" t="s">
        <v>5062</v>
      </c>
      <c r="G103" s="6" t="s">
        <v>5065</v>
      </c>
      <c r="H103" s="6" t="s">
        <v>5066</v>
      </c>
      <c r="I103">
        <v>1984</v>
      </c>
    </row>
    <row r="104" spans="1:9" x14ac:dyDescent="0.3">
      <c r="A104" s="6" t="s">
        <v>270</v>
      </c>
      <c r="B104" s="1" t="s">
        <v>4516</v>
      </c>
      <c r="C104" s="6" t="s">
        <v>729</v>
      </c>
      <c r="D104" s="6" t="s">
        <v>756</v>
      </c>
      <c r="E104" s="6" t="s">
        <v>757</v>
      </c>
      <c r="F104" s="6" t="s">
        <v>5063</v>
      </c>
      <c r="G104" s="6" t="s">
        <v>5065</v>
      </c>
      <c r="H104" s="6" t="s">
        <v>5066</v>
      </c>
      <c r="I104">
        <v>1984</v>
      </c>
    </row>
    <row r="105" spans="1:9" x14ac:dyDescent="0.3">
      <c r="A105" s="6" t="s">
        <v>270</v>
      </c>
      <c r="B105" s="1" t="s">
        <v>4516</v>
      </c>
      <c r="C105" s="6" t="s">
        <v>729</v>
      </c>
      <c r="D105" s="6" t="s">
        <v>761</v>
      </c>
      <c r="E105" s="6" t="s">
        <v>762</v>
      </c>
      <c r="F105" s="6" t="s">
        <v>5064</v>
      </c>
      <c r="G105" s="6" t="s">
        <v>5065</v>
      </c>
      <c r="H105" s="6" t="s">
        <v>5066</v>
      </c>
      <c r="I105">
        <v>1984</v>
      </c>
    </row>
    <row r="106" spans="1:9" x14ac:dyDescent="0.3">
      <c r="A106" s="6" t="s">
        <v>270</v>
      </c>
      <c r="B106" s="1" t="s">
        <v>4516</v>
      </c>
      <c r="C106" s="6" t="s">
        <v>729</v>
      </c>
      <c r="D106" s="6" t="s">
        <v>766</v>
      </c>
      <c r="E106" s="6" t="s">
        <v>767</v>
      </c>
      <c r="F106" s="6" t="s">
        <v>5061</v>
      </c>
      <c r="G106" s="6" t="s">
        <v>5065</v>
      </c>
      <c r="H106" s="6" t="s">
        <v>5066</v>
      </c>
      <c r="I106">
        <v>1984</v>
      </c>
    </row>
    <row r="107" spans="1:9" x14ac:dyDescent="0.3">
      <c r="A107" s="6" t="s">
        <v>270</v>
      </c>
      <c r="B107" s="1" t="s">
        <v>4516</v>
      </c>
      <c r="C107" s="6" t="s">
        <v>729</v>
      </c>
      <c r="D107" s="6" t="s">
        <v>769</v>
      </c>
      <c r="E107" s="6" t="s">
        <v>770</v>
      </c>
      <c r="F107" s="6" t="s">
        <v>5062</v>
      </c>
      <c r="G107" s="6" t="s">
        <v>5065</v>
      </c>
      <c r="H107" s="6" t="s">
        <v>5066</v>
      </c>
      <c r="I107">
        <v>1984</v>
      </c>
    </row>
    <row r="108" spans="1:9" x14ac:dyDescent="0.3">
      <c r="A108" s="6" t="s">
        <v>270</v>
      </c>
      <c r="B108" s="1" t="s">
        <v>4516</v>
      </c>
      <c r="C108" s="6" t="s">
        <v>729</v>
      </c>
      <c r="D108" s="6" t="s">
        <v>774</v>
      </c>
      <c r="E108" s="6" t="s">
        <v>775</v>
      </c>
      <c r="F108" s="6" t="s">
        <v>5063</v>
      </c>
      <c r="G108" s="6" t="s">
        <v>5065</v>
      </c>
      <c r="H108" s="6" t="s">
        <v>5066</v>
      </c>
      <c r="I108">
        <v>1984</v>
      </c>
    </row>
    <row r="109" spans="1:9" x14ac:dyDescent="0.3">
      <c r="A109" s="6" t="s">
        <v>270</v>
      </c>
      <c r="B109" s="1" t="s">
        <v>4516</v>
      </c>
      <c r="C109" s="6" t="s">
        <v>729</v>
      </c>
      <c r="D109" s="6" t="s">
        <v>778</v>
      </c>
      <c r="E109" s="6" t="s">
        <v>779</v>
      </c>
      <c r="F109" s="6" t="s">
        <v>5064</v>
      </c>
      <c r="G109" s="6" t="s">
        <v>5065</v>
      </c>
      <c r="H109" s="6" t="s">
        <v>5066</v>
      </c>
      <c r="I109">
        <v>1984</v>
      </c>
    </row>
    <row r="110" spans="1:9" x14ac:dyDescent="0.3">
      <c r="A110" s="6" t="s">
        <v>270</v>
      </c>
      <c r="B110" s="1" t="s">
        <v>4516</v>
      </c>
      <c r="C110" s="6" t="s">
        <v>729</v>
      </c>
      <c r="D110" s="6" t="s">
        <v>783</v>
      </c>
      <c r="E110" s="6" t="s">
        <v>784</v>
      </c>
      <c r="F110" s="6" t="s">
        <v>5061</v>
      </c>
      <c r="G110" s="6" t="s">
        <v>5065</v>
      </c>
      <c r="H110" s="6" t="s">
        <v>5066</v>
      </c>
      <c r="I110">
        <v>1984</v>
      </c>
    </row>
    <row r="111" spans="1:9" x14ac:dyDescent="0.3">
      <c r="A111" s="6" t="s">
        <v>270</v>
      </c>
      <c r="B111" s="1" t="s">
        <v>4516</v>
      </c>
      <c r="C111" s="6" t="s">
        <v>729</v>
      </c>
      <c r="D111" s="6" t="s">
        <v>787</v>
      </c>
      <c r="E111" s="6" t="s">
        <v>788</v>
      </c>
      <c r="F111" s="6" t="s">
        <v>5062</v>
      </c>
      <c r="G111" s="6" t="s">
        <v>5065</v>
      </c>
      <c r="H111" s="6" t="s">
        <v>5066</v>
      </c>
      <c r="I111">
        <v>1984</v>
      </c>
    </row>
    <row r="112" spans="1:9" x14ac:dyDescent="0.3">
      <c r="A112" s="6" t="s">
        <v>270</v>
      </c>
      <c r="B112" s="1" t="s">
        <v>4516</v>
      </c>
      <c r="C112" s="6" t="s">
        <v>729</v>
      </c>
      <c r="D112" s="6" t="s">
        <v>791</v>
      </c>
      <c r="E112" s="6" t="s">
        <v>792</v>
      </c>
      <c r="F112" s="6" t="s">
        <v>5063</v>
      </c>
      <c r="G112" s="6" t="s">
        <v>5065</v>
      </c>
      <c r="H112" s="6" t="s">
        <v>5066</v>
      </c>
      <c r="I112">
        <v>1984</v>
      </c>
    </row>
    <row r="113" spans="1:9" x14ac:dyDescent="0.3">
      <c r="A113" s="6" t="s">
        <v>270</v>
      </c>
      <c r="B113" s="1" t="s">
        <v>4516</v>
      </c>
      <c r="C113" s="6" t="s">
        <v>729</v>
      </c>
      <c r="D113" s="6" t="s">
        <v>798</v>
      </c>
      <c r="E113" s="6" t="s">
        <v>799</v>
      </c>
      <c r="F113" s="6" t="s">
        <v>5064</v>
      </c>
      <c r="G113" s="6" t="s">
        <v>5065</v>
      </c>
      <c r="H113" s="6" t="s">
        <v>5066</v>
      </c>
      <c r="I113">
        <v>1984</v>
      </c>
    </row>
    <row r="114" spans="1:9" x14ac:dyDescent="0.3">
      <c r="A114" s="6" t="s">
        <v>270</v>
      </c>
      <c r="B114" s="1" t="s">
        <v>4516</v>
      </c>
      <c r="C114" s="6" t="s">
        <v>729</v>
      </c>
      <c r="D114" s="6" t="s">
        <v>805</v>
      </c>
      <c r="E114" s="6" t="s">
        <v>806</v>
      </c>
      <c r="F114" s="6" t="s">
        <v>5061</v>
      </c>
      <c r="G114" s="6" t="s">
        <v>5065</v>
      </c>
      <c r="H114" s="6" t="s">
        <v>5066</v>
      </c>
      <c r="I114">
        <v>1984</v>
      </c>
    </row>
    <row r="115" spans="1:9" x14ac:dyDescent="0.3">
      <c r="A115" s="6" t="s">
        <v>270</v>
      </c>
      <c r="B115" s="1" t="s">
        <v>4516</v>
      </c>
      <c r="C115" s="6" t="s">
        <v>729</v>
      </c>
      <c r="D115" s="6" t="s">
        <v>810</v>
      </c>
      <c r="E115" s="6" t="s">
        <v>811</v>
      </c>
      <c r="F115" s="6" t="s">
        <v>5062</v>
      </c>
      <c r="G115" s="6" t="s">
        <v>5065</v>
      </c>
      <c r="H115" s="6" t="s">
        <v>5066</v>
      </c>
      <c r="I115">
        <v>1984</v>
      </c>
    </row>
    <row r="116" spans="1:9" x14ac:dyDescent="0.3">
      <c r="A116" s="6" t="s">
        <v>270</v>
      </c>
      <c r="B116" s="1" t="s">
        <v>4516</v>
      </c>
      <c r="C116" s="6" t="s">
        <v>729</v>
      </c>
      <c r="D116" s="6" t="s">
        <v>815</v>
      </c>
      <c r="E116" s="6" t="s">
        <v>816</v>
      </c>
      <c r="F116" s="6" t="s">
        <v>5063</v>
      </c>
      <c r="G116" s="6" t="s">
        <v>5065</v>
      </c>
      <c r="H116" s="6" t="s">
        <v>5066</v>
      </c>
      <c r="I116">
        <v>1984</v>
      </c>
    </row>
    <row r="117" spans="1:9" x14ac:dyDescent="0.3">
      <c r="A117" s="6" t="s">
        <v>270</v>
      </c>
      <c r="B117" s="1" t="s">
        <v>4516</v>
      </c>
      <c r="C117" s="6" t="s">
        <v>729</v>
      </c>
      <c r="D117" s="6" t="s">
        <v>820</v>
      </c>
      <c r="E117" s="6" t="s">
        <v>821</v>
      </c>
      <c r="F117" s="6" t="s">
        <v>5064</v>
      </c>
      <c r="G117" s="6" t="s">
        <v>5065</v>
      </c>
      <c r="H117" s="6" t="s">
        <v>5066</v>
      </c>
      <c r="I117">
        <v>1984</v>
      </c>
    </row>
    <row r="118" spans="1:9" x14ac:dyDescent="0.3">
      <c r="A118" s="6" t="s">
        <v>270</v>
      </c>
      <c r="B118" s="1" t="s">
        <v>4516</v>
      </c>
      <c r="C118" s="6" t="s">
        <v>729</v>
      </c>
      <c r="D118" s="6" t="s">
        <v>824</v>
      </c>
      <c r="E118" s="6" t="s">
        <v>825</v>
      </c>
      <c r="F118" s="6" t="s">
        <v>5061</v>
      </c>
      <c r="G118" s="6" t="s">
        <v>5065</v>
      </c>
      <c r="H118" s="6" t="s">
        <v>5066</v>
      </c>
      <c r="I118">
        <v>1984</v>
      </c>
    </row>
    <row r="119" spans="1:9" x14ac:dyDescent="0.3">
      <c r="A119" s="6" t="s">
        <v>270</v>
      </c>
      <c r="B119" s="1" t="s">
        <v>4516</v>
      </c>
      <c r="C119" s="6" t="s">
        <v>729</v>
      </c>
      <c r="D119" s="6" t="s">
        <v>828</v>
      </c>
      <c r="E119" s="6" t="s">
        <v>829</v>
      </c>
      <c r="F119" s="6" t="s">
        <v>5062</v>
      </c>
      <c r="G119" s="6" t="s">
        <v>5065</v>
      </c>
      <c r="H119" s="6" t="s">
        <v>5066</v>
      </c>
      <c r="I119">
        <v>1984</v>
      </c>
    </row>
    <row r="120" spans="1:9" x14ac:dyDescent="0.3">
      <c r="A120" s="6" t="s">
        <v>270</v>
      </c>
      <c r="B120" s="1" t="s">
        <v>4516</v>
      </c>
      <c r="C120" s="6" t="s">
        <v>729</v>
      </c>
      <c r="D120" s="6" t="s">
        <v>833</v>
      </c>
      <c r="E120" s="6" t="s">
        <v>834</v>
      </c>
      <c r="F120" s="6" t="s">
        <v>5063</v>
      </c>
      <c r="G120" s="6" t="s">
        <v>5065</v>
      </c>
      <c r="H120" s="6" t="s">
        <v>5066</v>
      </c>
      <c r="I120">
        <v>1984</v>
      </c>
    </row>
    <row r="121" spans="1:9" x14ac:dyDescent="0.3">
      <c r="A121" s="6" t="s">
        <v>270</v>
      </c>
      <c r="B121" s="1" t="s">
        <v>4516</v>
      </c>
      <c r="C121" s="6" t="s">
        <v>729</v>
      </c>
      <c r="D121" s="6" t="s">
        <v>839</v>
      </c>
      <c r="E121" s="6" t="s">
        <v>840</v>
      </c>
      <c r="F121" s="6" t="s">
        <v>5064</v>
      </c>
      <c r="G121" s="6" t="s">
        <v>5065</v>
      </c>
      <c r="H121" s="6" t="s">
        <v>5066</v>
      </c>
      <c r="I121">
        <v>1984</v>
      </c>
    </row>
    <row r="122" spans="1:9" x14ac:dyDescent="0.3">
      <c r="A122" s="6" t="s">
        <v>270</v>
      </c>
      <c r="B122" s="1" t="s">
        <v>4516</v>
      </c>
      <c r="C122" s="6" t="s">
        <v>729</v>
      </c>
      <c r="D122" s="6" t="s">
        <v>843</v>
      </c>
      <c r="E122" s="6" t="s">
        <v>844</v>
      </c>
      <c r="F122" s="6" t="s">
        <v>5061</v>
      </c>
      <c r="G122" s="6" t="s">
        <v>5065</v>
      </c>
      <c r="H122" s="6" t="s">
        <v>5066</v>
      </c>
      <c r="I122">
        <v>1984</v>
      </c>
    </row>
    <row r="123" spans="1:9" x14ac:dyDescent="0.3">
      <c r="A123" s="6" t="s">
        <v>270</v>
      </c>
      <c r="B123" s="1" t="s">
        <v>4516</v>
      </c>
      <c r="C123" s="6" t="s">
        <v>729</v>
      </c>
      <c r="D123" s="6" t="s">
        <v>848</v>
      </c>
      <c r="E123" s="6" t="s">
        <v>849</v>
      </c>
      <c r="F123" s="6" t="s">
        <v>5062</v>
      </c>
      <c r="G123" s="6" t="s">
        <v>5065</v>
      </c>
      <c r="H123" s="6" t="s">
        <v>5066</v>
      </c>
      <c r="I123">
        <v>1984</v>
      </c>
    </row>
    <row r="124" spans="1:9" x14ac:dyDescent="0.3">
      <c r="A124" s="6" t="s">
        <v>270</v>
      </c>
      <c r="B124" s="1" t="s">
        <v>4516</v>
      </c>
      <c r="C124" s="6" t="s">
        <v>729</v>
      </c>
      <c r="D124" s="6" t="s">
        <v>854</v>
      </c>
      <c r="E124" s="6" t="s">
        <v>855</v>
      </c>
      <c r="F124" s="6" t="s">
        <v>5063</v>
      </c>
      <c r="G124" s="6" t="s">
        <v>5065</v>
      </c>
      <c r="H124" s="6" t="s">
        <v>5066</v>
      </c>
      <c r="I124">
        <v>1984</v>
      </c>
    </row>
    <row r="125" spans="1:9" x14ac:dyDescent="0.3">
      <c r="A125" s="6" t="s">
        <v>270</v>
      </c>
      <c r="B125" s="1" t="s">
        <v>4516</v>
      </c>
      <c r="C125" s="6" t="s">
        <v>729</v>
      </c>
      <c r="D125" s="6" t="s">
        <v>859</v>
      </c>
      <c r="E125" s="6" t="s">
        <v>860</v>
      </c>
      <c r="F125" s="6" t="s">
        <v>5064</v>
      </c>
      <c r="G125" s="6" t="s">
        <v>5065</v>
      </c>
      <c r="H125" s="6" t="s">
        <v>5066</v>
      </c>
      <c r="I125">
        <v>1984</v>
      </c>
    </row>
    <row r="126" spans="1:9" x14ac:dyDescent="0.3">
      <c r="A126" s="6" t="s">
        <v>270</v>
      </c>
      <c r="B126" s="1" t="s">
        <v>4516</v>
      </c>
      <c r="C126" s="6" t="s">
        <v>861</v>
      </c>
      <c r="D126" s="6" t="s">
        <v>862</v>
      </c>
      <c r="E126" s="6" t="s">
        <v>864</v>
      </c>
      <c r="F126" s="6" t="s">
        <v>5061</v>
      </c>
      <c r="G126" s="6" t="s">
        <v>5065</v>
      </c>
      <c r="H126" s="6" t="s">
        <v>5066</v>
      </c>
      <c r="I126">
        <v>1984</v>
      </c>
    </row>
    <row r="127" spans="1:9" x14ac:dyDescent="0.3">
      <c r="A127" s="6" t="s">
        <v>270</v>
      </c>
      <c r="B127" s="1" t="s">
        <v>4516</v>
      </c>
      <c r="C127" s="6" t="s">
        <v>861</v>
      </c>
      <c r="D127" s="6" t="s">
        <v>869</v>
      </c>
      <c r="E127" s="6" t="s">
        <v>870</v>
      </c>
      <c r="F127" s="6" t="s">
        <v>5062</v>
      </c>
      <c r="G127" s="6" t="s">
        <v>5065</v>
      </c>
      <c r="H127" s="6" t="s">
        <v>5066</v>
      </c>
      <c r="I127">
        <v>1984</v>
      </c>
    </row>
    <row r="128" spans="1:9" x14ac:dyDescent="0.3">
      <c r="A128" s="6" t="s">
        <v>270</v>
      </c>
      <c r="B128" s="1" t="s">
        <v>4516</v>
      </c>
      <c r="C128" s="6" t="s">
        <v>871</v>
      </c>
      <c r="D128" s="6" t="s">
        <v>872</v>
      </c>
      <c r="E128" s="6" t="s">
        <v>874</v>
      </c>
      <c r="F128" s="6" t="s">
        <v>5063</v>
      </c>
      <c r="G128" s="6" t="s">
        <v>5065</v>
      </c>
      <c r="H128" s="6" t="s">
        <v>5066</v>
      </c>
      <c r="I128">
        <v>1984</v>
      </c>
    </row>
    <row r="129" spans="1:9" x14ac:dyDescent="0.3">
      <c r="A129" s="6" t="s">
        <v>270</v>
      </c>
      <c r="B129" s="1" t="s">
        <v>4516</v>
      </c>
      <c r="C129" s="6" t="s">
        <v>871</v>
      </c>
      <c r="D129" s="6" t="s">
        <v>878</v>
      </c>
      <c r="E129" s="6" t="s">
        <v>879</v>
      </c>
      <c r="F129" s="6" t="s">
        <v>5064</v>
      </c>
      <c r="G129" s="6" t="s">
        <v>5065</v>
      </c>
      <c r="H129" s="6" t="s">
        <v>5066</v>
      </c>
      <c r="I129">
        <v>1984</v>
      </c>
    </row>
    <row r="130" spans="1:9" x14ac:dyDescent="0.3">
      <c r="A130" s="6" t="s">
        <v>270</v>
      </c>
      <c r="B130" s="1" t="s">
        <v>4516</v>
      </c>
      <c r="C130" s="6" t="s">
        <v>871</v>
      </c>
      <c r="D130" s="6" t="s">
        <v>882</v>
      </c>
      <c r="E130" s="6" t="s">
        <v>883</v>
      </c>
      <c r="F130" s="6" t="s">
        <v>5061</v>
      </c>
      <c r="G130" s="6" t="s">
        <v>5065</v>
      </c>
      <c r="H130" s="6" t="s">
        <v>5066</v>
      </c>
      <c r="I130">
        <v>1984</v>
      </c>
    </row>
    <row r="131" spans="1:9" x14ac:dyDescent="0.3">
      <c r="A131" s="6" t="s">
        <v>262</v>
      </c>
      <c r="B131" s="1" t="s">
        <v>4517</v>
      </c>
      <c r="C131" s="6" t="s">
        <v>887</v>
      </c>
      <c r="D131" s="6" t="s">
        <v>888</v>
      </c>
      <c r="E131" s="6" t="s">
        <v>890</v>
      </c>
      <c r="F131" s="6" t="s">
        <v>5062</v>
      </c>
      <c r="G131" s="6" t="s">
        <v>5065</v>
      </c>
      <c r="H131" s="6" t="s">
        <v>5066</v>
      </c>
      <c r="I131">
        <v>1984</v>
      </c>
    </row>
    <row r="132" spans="1:9" x14ac:dyDescent="0.3">
      <c r="A132" s="6" t="s">
        <v>262</v>
      </c>
      <c r="B132" s="1" t="s">
        <v>4517</v>
      </c>
      <c r="C132" s="6" t="s">
        <v>887</v>
      </c>
      <c r="D132" s="6" t="s">
        <v>894</v>
      </c>
      <c r="E132" s="6" t="s">
        <v>895</v>
      </c>
      <c r="F132" s="6" t="s">
        <v>5063</v>
      </c>
      <c r="G132" s="6" t="s">
        <v>5065</v>
      </c>
      <c r="H132" s="6" t="s">
        <v>5066</v>
      </c>
      <c r="I132">
        <v>1984</v>
      </c>
    </row>
    <row r="133" spans="1:9" x14ac:dyDescent="0.3">
      <c r="A133" s="6" t="s">
        <v>270</v>
      </c>
      <c r="B133" s="1" t="s">
        <v>4516</v>
      </c>
      <c r="C133" s="6" t="s">
        <v>897</v>
      </c>
      <c r="D133" s="6" t="s">
        <v>898</v>
      </c>
      <c r="E133" s="6" t="s">
        <v>900</v>
      </c>
      <c r="F133" s="6" t="s">
        <v>5064</v>
      </c>
      <c r="G133" s="6" t="s">
        <v>5065</v>
      </c>
      <c r="H133" s="6" t="s">
        <v>5066</v>
      </c>
      <c r="I133">
        <v>1984</v>
      </c>
    </row>
    <row r="134" spans="1:9" x14ac:dyDescent="0.3">
      <c r="A134" s="6" t="s">
        <v>270</v>
      </c>
      <c r="B134" s="1" t="s">
        <v>4516</v>
      </c>
      <c r="C134" s="6" t="s">
        <v>897</v>
      </c>
      <c r="D134" s="6" t="s">
        <v>904</v>
      </c>
      <c r="E134" s="6" t="s">
        <v>905</v>
      </c>
      <c r="F134" s="6" t="s">
        <v>5061</v>
      </c>
      <c r="G134" s="6" t="s">
        <v>5065</v>
      </c>
      <c r="H134" s="6" t="s">
        <v>5066</v>
      </c>
      <c r="I134">
        <v>1984</v>
      </c>
    </row>
    <row r="135" spans="1:9" x14ac:dyDescent="0.3">
      <c r="A135" s="6" t="s">
        <v>270</v>
      </c>
      <c r="B135" s="1" t="s">
        <v>4516</v>
      </c>
      <c r="C135" s="6" t="s">
        <v>897</v>
      </c>
      <c r="D135" s="6" t="s">
        <v>909</v>
      </c>
      <c r="E135" s="6" t="s">
        <v>910</v>
      </c>
      <c r="F135" s="6" t="s">
        <v>5062</v>
      </c>
      <c r="G135" s="6" t="s">
        <v>5065</v>
      </c>
      <c r="H135" s="6" t="s">
        <v>5066</v>
      </c>
      <c r="I135">
        <v>1984</v>
      </c>
    </row>
    <row r="136" spans="1:9" x14ac:dyDescent="0.3">
      <c r="A136" s="6" t="s">
        <v>270</v>
      </c>
      <c r="B136" s="1" t="s">
        <v>4516</v>
      </c>
      <c r="C136" s="6" t="s">
        <v>897</v>
      </c>
      <c r="D136" s="6" t="s">
        <v>914</v>
      </c>
      <c r="E136" s="6" t="s">
        <v>915</v>
      </c>
      <c r="F136" s="6" t="s">
        <v>5063</v>
      </c>
      <c r="G136" s="6" t="s">
        <v>5065</v>
      </c>
      <c r="H136" s="6" t="s">
        <v>5066</v>
      </c>
      <c r="I136">
        <v>1984</v>
      </c>
    </row>
    <row r="137" spans="1:9" x14ac:dyDescent="0.3">
      <c r="A137" s="6" t="s">
        <v>292</v>
      </c>
      <c r="B137" s="1" t="s">
        <v>4515</v>
      </c>
      <c r="C137" s="6" t="s">
        <v>919</v>
      </c>
      <c r="D137" s="6" t="s">
        <v>920</v>
      </c>
      <c r="E137" s="6" t="s">
        <v>922</v>
      </c>
      <c r="F137" s="6" t="s">
        <v>5064</v>
      </c>
      <c r="G137" s="6" t="s">
        <v>5065</v>
      </c>
      <c r="H137" s="6" t="s">
        <v>5066</v>
      </c>
      <c r="I137">
        <v>1984</v>
      </c>
    </row>
    <row r="138" spans="1:9" x14ac:dyDescent="0.3">
      <c r="A138" s="6" t="s">
        <v>292</v>
      </c>
      <c r="B138" s="1" t="s">
        <v>4515</v>
      </c>
      <c r="C138" s="6" t="s">
        <v>919</v>
      </c>
      <c r="D138" s="6" t="s">
        <v>926</v>
      </c>
      <c r="E138" s="6" t="s">
        <v>927</v>
      </c>
      <c r="F138" s="6" t="s">
        <v>5061</v>
      </c>
      <c r="G138" s="6" t="s">
        <v>5065</v>
      </c>
      <c r="H138" s="6" t="s">
        <v>5066</v>
      </c>
      <c r="I138">
        <v>1984</v>
      </c>
    </row>
    <row r="139" spans="1:9" x14ac:dyDescent="0.3">
      <c r="A139" s="6" t="s">
        <v>292</v>
      </c>
      <c r="B139" s="1" t="s">
        <v>4515</v>
      </c>
      <c r="C139" s="6" t="s">
        <v>919</v>
      </c>
      <c r="D139" s="6" t="s">
        <v>930</v>
      </c>
      <c r="E139" s="6" t="s">
        <v>931</v>
      </c>
      <c r="F139" s="6" t="s">
        <v>5062</v>
      </c>
      <c r="G139" s="6" t="s">
        <v>5065</v>
      </c>
      <c r="H139" s="6" t="s">
        <v>5066</v>
      </c>
      <c r="I139">
        <v>1984</v>
      </c>
    </row>
    <row r="140" spans="1:9" x14ac:dyDescent="0.3">
      <c r="A140" s="6" t="s">
        <v>292</v>
      </c>
      <c r="B140" s="1" t="s">
        <v>4515</v>
      </c>
      <c r="C140" s="6" t="s">
        <v>919</v>
      </c>
      <c r="D140" s="6" t="s">
        <v>937</v>
      </c>
      <c r="E140" s="6" t="s">
        <v>938</v>
      </c>
      <c r="F140" s="6" t="s">
        <v>5063</v>
      </c>
      <c r="G140" s="6" t="s">
        <v>5065</v>
      </c>
      <c r="H140" s="6" t="s">
        <v>5066</v>
      </c>
      <c r="I140">
        <v>1984</v>
      </c>
    </row>
    <row r="141" spans="1:9" x14ac:dyDescent="0.3">
      <c r="A141" s="6" t="s">
        <v>292</v>
      </c>
      <c r="B141" s="1" t="s">
        <v>4515</v>
      </c>
      <c r="C141" s="6" t="s">
        <v>919</v>
      </c>
      <c r="D141" s="6" t="s">
        <v>942</v>
      </c>
      <c r="E141" s="6" t="s">
        <v>943</v>
      </c>
      <c r="F141" s="6" t="s">
        <v>5064</v>
      </c>
      <c r="G141" s="6" t="s">
        <v>5065</v>
      </c>
      <c r="H141" s="6" t="s">
        <v>5066</v>
      </c>
      <c r="I141">
        <v>1984</v>
      </c>
    </row>
    <row r="142" spans="1:9" x14ac:dyDescent="0.3">
      <c r="A142" s="6" t="s">
        <v>292</v>
      </c>
      <c r="B142" s="1" t="s">
        <v>4515</v>
      </c>
      <c r="C142" s="6" t="s">
        <v>919</v>
      </c>
      <c r="D142" s="6" t="s">
        <v>946</v>
      </c>
      <c r="E142" s="6" t="s">
        <v>947</v>
      </c>
      <c r="F142" s="6" t="s">
        <v>5061</v>
      </c>
      <c r="G142" s="6" t="s">
        <v>5065</v>
      </c>
      <c r="H142" s="6" t="s">
        <v>5066</v>
      </c>
      <c r="I142">
        <v>1984</v>
      </c>
    </row>
    <row r="143" spans="1:9" x14ac:dyDescent="0.3">
      <c r="A143" s="6" t="s">
        <v>292</v>
      </c>
      <c r="B143" s="1" t="s">
        <v>4515</v>
      </c>
      <c r="C143" s="6" t="s">
        <v>919</v>
      </c>
      <c r="D143" s="6" t="s">
        <v>952</v>
      </c>
      <c r="E143" s="6" t="s">
        <v>953</v>
      </c>
      <c r="F143" s="6" t="s">
        <v>5062</v>
      </c>
      <c r="G143" s="6" t="s">
        <v>5065</v>
      </c>
      <c r="H143" s="6" t="s">
        <v>5066</v>
      </c>
      <c r="I143">
        <v>1984</v>
      </c>
    </row>
    <row r="144" spans="1:9" x14ac:dyDescent="0.3">
      <c r="A144" s="6" t="s">
        <v>292</v>
      </c>
      <c r="B144" s="1" t="s">
        <v>4515</v>
      </c>
      <c r="C144" s="6" t="s">
        <v>919</v>
      </c>
      <c r="D144" s="6" t="s">
        <v>956</v>
      </c>
      <c r="E144" s="6" t="s">
        <v>957</v>
      </c>
      <c r="F144" s="6" t="s">
        <v>5063</v>
      </c>
      <c r="G144" s="6" t="s">
        <v>5065</v>
      </c>
      <c r="H144" s="6" t="s">
        <v>5066</v>
      </c>
      <c r="I144">
        <v>1984</v>
      </c>
    </row>
    <row r="145" spans="1:9" x14ac:dyDescent="0.3">
      <c r="A145" s="6" t="s">
        <v>292</v>
      </c>
      <c r="B145" s="1" t="s">
        <v>4515</v>
      </c>
      <c r="C145" s="6" t="s">
        <v>961</v>
      </c>
      <c r="D145" s="6" t="s">
        <v>962</v>
      </c>
      <c r="E145" s="6" t="s">
        <v>964</v>
      </c>
      <c r="F145" s="6" t="s">
        <v>5064</v>
      </c>
      <c r="G145" s="6" t="s">
        <v>5065</v>
      </c>
      <c r="H145" s="6" t="s">
        <v>5066</v>
      </c>
      <c r="I145">
        <v>1984</v>
      </c>
    </row>
    <row r="146" spans="1:9" x14ac:dyDescent="0.3">
      <c r="A146" s="6" t="s">
        <v>292</v>
      </c>
      <c r="B146" s="1" t="s">
        <v>4515</v>
      </c>
      <c r="C146" s="6" t="s">
        <v>961</v>
      </c>
      <c r="D146" s="6" t="s">
        <v>969</v>
      </c>
      <c r="E146" s="6" t="s">
        <v>970</v>
      </c>
      <c r="F146" s="6" t="s">
        <v>5061</v>
      </c>
      <c r="G146" s="6" t="s">
        <v>5065</v>
      </c>
      <c r="H146" s="6" t="s">
        <v>5066</v>
      </c>
      <c r="I146">
        <v>1984</v>
      </c>
    </row>
    <row r="147" spans="1:9" x14ac:dyDescent="0.3">
      <c r="A147" s="6" t="s">
        <v>292</v>
      </c>
      <c r="B147" s="1" t="s">
        <v>4515</v>
      </c>
      <c r="C147" s="6" t="s">
        <v>961</v>
      </c>
      <c r="D147" s="6" t="s">
        <v>973</v>
      </c>
      <c r="E147" s="6" t="s">
        <v>974</v>
      </c>
      <c r="F147" s="6" t="s">
        <v>5062</v>
      </c>
      <c r="G147" s="6" t="s">
        <v>5065</v>
      </c>
      <c r="H147" s="6" t="s">
        <v>5066</v>
      </c>
      <c r="I147">
        <v>1984</v>
      </c>
    </row>
    <row r="148" spans="1:9" x14ac:dyDescent="0.3">
      <c r="A148" s="6" t="s">
        <v>292</v>
      </c>
      <c r="B148" s="1" t="s">
        <v>4515</v>
      </c>
      <c r="C148" s="6" t="s">
        <v>961</v>
      </c>
      <c r="D148" s="6" t="s">
        <v>976</v>
      </c>
      <c r="E148" s="6" t="s">
        <v>977</v>
      </c>
      <c r="F148" s="6" t="s">
        <v>5063</v>
      </c>
      <c r="G148" s="6" t="s">
        <v>5065</v>
      </c>
      <c r="H148" s="6" t="s">
        <v>5066</v>
      </c>
      <c r="I148">
        <v>1984</v>
      </c>
    </row>
    <row r="149" spans="1:9" x14ac:dyDescent="0.3">
      <c r="A149" s="6" t="s">
        <v>292</v>
      </c>
      <c r="B149" s="1" t="s">
        <v>4515</v>
      </c>
      <c r="C149" s="6" t="s">
        <v>961</v>
      </c>
      <c r="D149" s="6" t="s">
        <v>981</v>
      </c>
      <c r="E149" s="6" t="s">
        <v>982</v>
      </c>
      <c r="F149" s="6" t="s">
        <v>5064</v>
      </c>
      <c r="G149" s="6" t="s">
        <v>5065</v>
      </c>
      <c r="H149" s="6" t="s">
        <v>5066</v>
      </c>
      <c r="I149">
        <v>1984</v>
      </c>
    </row>
    <row r="150" spans="1:9" x14ac:dyDescent="0.3">
      <c r="A150" s="6" t="s">
        <v>292</v>
      </c>
      <c r="B150" s="1" t="s">
        <v>4515</v>
      </c>
      <c r="C150" s="6" t="s">
        <v>961</v>
      </c>
      <c r="D150" s="6" t="s">
        <v>985</v>
      </c>
      <c r="E150" s="6" t="s">
        <v>986</v>
      </c>
      <c r="F150" s="6" t="s">
        <v>5061</v>
      </c>
      <c r="G150" s="6" t="s">
        <v>5065</v>
      </c>
      <c r="H150" s="6" t="s">
        <v>5066</v>
      </c>
      <c r="I150">
        <v>1984</v>
      </c>
    </row>
    <row r="151" spans="1:9" x14ac:dyDescent="0.3">
      <c r="A151" s="6" t="s">
        <v>292</v>
      </c>
      <c r="B151" s="1" t="s">
        <v>4515</v>
      </c>
      <c r="C151" s="6" t="s">
        <v>961</v>
      </c>
      <c r="D151" s="6" t="s">
        <v>991</v>
      </c>
      <c r="E151" s="6" t="s">
        <v>992</v>
      </c>
      <c r="F151" s="6" t="s">
        <v>5062</v>
      </c>
      <c r="G151" s="6" t="s">
        <v>5065</v>
      </c>
      <c r="H151" s="6" t="s">
        <v>5066</v>
      </c>
      <c r="I151">
        <v>1984</v>
      </c>
    </row>
    <row r="152" spans="1:9" x14ac:dyDescent="0.3">
      <c r="A152" s="6" t="s">
        <v>292</v>
      </c>
      <c r="B152" s="1" t="s">
        <v>4515</v>
      </c>
      <c r="C152" s="6" t="s">
        <v>961</v>
      </c>
      <c r="D152" s="6" t="s">
        <v>995</v>
      </c>
      <c r="E152" s="6" t="s">
        <v>996</v>
      </c>
      <c r="F152" s="6" t="s">
        <v>5063</v>
      </c>
      <c r="G152" s="6" t="s">
        <v>5065</v>
      </c>
      <c r="H152" s="6" t="s">
        <v>5066</v>
      </c>
      <c r="I152">
        <v>1984</v>
      </c>
    </row>
    <row r="153" spans="1:9" x14ac:dyDescent="0.3">
      <c r="A153" s="6" t="s">
        <v>292</v>
      </c>
      <c r="B153" s="1" t="s">
        <v>4515</v>
      </c>
      <c r="C153" s="6" t="s">
        <v>961</v>
      </c>
      <c r="D153" s="6" t="s">
        <v>1000</v>
      </c>
      <c r="E153" s="6" t="s">
        <v>1001</v>
      </c>
      <c r="F153" s="6" t="s">
        <v>5064</v>
      </c>
      <c r="G153" s="6" t="s">
        <v>5065</v>
      </c>
      <c r="H153" s="6" t="s">
        <v>5066</v>
      </c>
      <c r="I153">
        <v>1984</v>
      </c>
    </row>
    <row r="154" spans="1:9" x14ac:dyDescent="0.3">
      <c r="A154" s="6" t="s">
        <v>292</v>
      </c>
      <c r="B154" s="1" t="s">
        <v>4515</v>
      </c>
      <c r="C154" s="6" t="s">
        <v>961</v>
      </c>
      <c r="D154" s="6" t="s">
        <v>1004</v>
      </c>
      <c r="E154" s="6" t="s">
        <v>1005</v>
      </c>
      <c r="F154" s="6" t="s">
        <v>5061</v>
      </c>
      <c r="G154" s="6" t="s">
        <v>5065</v>
      </c>
      <c r="H154" s="6" t="s">
        <v>5066</v>
      </c>
      <c r="I154">
        <v>1984</v>
      </c>
    </row>
    <row r="155" spans="1:9" x14ac:dyDescent="0.3">
      <c r="A155" s="6" t="s">
        <v>292</v>
      </c>
      <c r="B155" s="1" t="s">
        <v>4515</v>
      </c>
      <c r="C155" s="6" t="s">
        <v>1008</v>
      </c>
      <c r="D155" s="6" t="s">
        <v>1009</v>
      </c>
      <c r="E155" s="6" t="s">
        <v>1011</v>
      </c>
      <c r="F155" s="6" t="s">
        <v>5062</v>
      </c>
      <c r="G155" s="6" t="s">
        <v>5065</v>
      </c>
      <c r="H155" s="6" t="s">
        <v>5066</v>
      </c>
      <c r="I155">
        <v>1984</v>
      </c>
    </row>
    <row r="156" spans="1:9" x14ac:dyDescent="0.3">
      <c r="A156" s="6" t="s">
        <v>292</v>
      </c>
      <c r="B156" s="1" t="s">
        <v>4515</v>
      </c>
      <c r="C156" s="6" t="s">
        <v>1008</v>
      </c>
      <c r="D156" s="6" t="s">
        <v>1014</v>
      </c>
      <c r="E156" s="6" t="s">
        <v>1015</v>
      </c>
      <c r="F156" s="6" t="s">
        <v>5063</v>
      </c>
      <c r="G156" s="6" t="s">
        <v>5065</v>
      </c>
      <c r="H156" s="6" t="s">
        <v>5066</v>
      </c>
      <c r="I156">
        <v>1984</v>
      </c>
    </row>
    <row r="157" spans="1:9" x14ac:dyDescent="0.3">
      <c r="A157" s="6" t="s">
        <v>292</v>
      </c>
      <c r="B157" s="1" t="s">
        <v>4515</v>
      </c>
      <c r="C157" s="6" t="s">
        <v>1008</v>
      </c>
      <c r="D157" s="6" t="s">
        <v>1019</v>
      </c>
      <c r="E157" s="6" t="s">
        <v>1020</v>
      </c>
      <c r="F157" s="6" t="s">
        <v>5064</v>
      </c>
      <c r="G157" s="6" t="s">
        <v>5065</v>
      </c>
      <c r="H157" s="6" t="s">
        <v>5066</v>
      </c>
      <c r="I157">
        <v>1984</v>
      </c>
    </row>
    <row r="158" spans="1:9" x14ac:dyDescent="0.3">
      <c r="A158" s="6" t="s">
        <v>292</v>
      </c>
      <c r="B158" s="1" t="s">
        <v>4515</v>
      </c>
      <c r="C158" s="6" t="s">
        <v>1008</v>
      </c>
      <c r="D158" s="6" t="s">
        <v>1024</v>
      </c>
      <c r="E158" s="6" t="s">
        <v>1025</v>
      </c>
      <c r="F158" s="6" t="s">
        <v>5061</v>
      </c>
      <c r="G158" s="6" t="s">
        <v>5065</v>
      </c>
      <c r="H158" s="6" t="s">
        <v>5066</v>
      </c>
      <c r="I158">
        <v>1984</v>
      </c>
    </row>
    <row r="159" spans="1:9" x14ac:dyDescent="0.3">
      <c r="A159" s="6" t="s">
        <v>292</v>
      </c>
      <c r="B159" s="1" t="s">
        <v>4515</v>
      </c>
      <c r="C159" s="6" t="s">
        <v>1008</v>
      </c>
      <c r="D159" s="6" t="s">
        <v>1029</v>
      </c>
      <c r="E159" s="6" t="s">
        <v>1030</v>
      </c>
      <c r="F159" s="6" t="s">
        <v>5062</v>
      </c>
      <c r="G159" s="6" t="s">
        <v>5065</v>
      </c>
      <c r="H159" s="6" t="s">
        <v>5066</v>
      </c>
      <c r="I159">
        <v>1984</v>
      </c>
    </row>
    <row r="160" spans="1:9" x14ac:dyDescent="0.3">
      <c r="A160" s="6" t="s">
        <v>292</v>
      </c>
      <c r="B160" s="1" t="s">
        <v>4515</v>
      </c>
      <c r="C160" s="6" t="s">
        <v>1008</v>
      </c>
      <c r="D160" s="6" t="s">
        <v>1034</v>
      </c>
      <c r="E160" s="6" t="s">
        <v>1035</v>
      </c>
      <c r="F160" s="6" t="s">
        <v>5063</v>
      </c>
      <c r="G160" s="6" t="s">
        <v>5065</v>
      </c>
      <c r="H160" s="6" t="s">
        <v>5066</v>
      </c>
      <c r="I160">
        <v>1984</v>
      </c>
    </row>
    <row r="161" spans="1:9" x14ac:dyDescent="0.3">
      <c r="A161" s="6" t="s">
        <v>292</v>
      </c>
      <c r="B161" s="1" t="s">
        <v>4515</v>
      </c>
      <c r="C161" s="6" t="s">
        <v>1008</v>
      </c>
      <c r="D161" s="6" t="s">
        <v>1039</v>
      </c>
      <c r="E161" s="6" t="s">
        <v>1040</v>
      </c>
      <c r="F161" s="6" t="s">
        <v>5064</v>
      </c>
      <c r="G161" s="6" t="s">
        <v>5065</v>
      </c>
      <c r="H161" s="6" t="s">
        <v>5066</v>
      </c>
      <c r="I161">
        <v>1984</v>
      </c>
    </row>
    <row r="162" spans="1:9" x14ac:dyDescent="0.3">
      <c r="A162" s="6" t="s">
        <v>292</v>
      </c>
      <c r="B162" s="1" t="s">
        <v>4515</v>
      </c>
      <c r="C162" s="6" t="s">
        <v>1008</v>
      </c>
      <c r="D162" s="6" t="s">
        <v>1043</v>
      </c>
      <c r="E162" s="6" t="s">
        <v>1044</v>
      </c>
      <c r="F162" s="6" t="s">
        <v>5061</v>
      </c>
      <c r="G162" s="6" t="s">
        <v>5065</v>
      </c>
      <c r="H162" s="6" t="s">
        <v>5066</v>
      </c>
      <c r="I162">
        <v>1984</v>
      </c>
    </row>
    <row r="163" spans="1:9" x14ac:dyDescent="0.3">
      <c r="A163" s="6" t="s">
        <v>292</v>
      </c>
      <c r="B163" s="1" t="s">
        <v>4515</v>
      </c>
      <c r="C163" s="6" t="s">
        <v>1008</v>
      </c>
      <c r="D163" s="6" t="s">
        <v>1049</v>
      </c>
      <c r="E163" s="6" t="s">
        <v>1050</v>
      </c>
      <c r="F163" s="6" t="s">
        <v>5062</v>
      </c>
      <c r="G163" s="6" t="s">
        <v>5065</v>
      </c>
      <c r="H163" s="6" t="s">
        <v>5066</v>
      </c>
      <c r="I163">
        <v>1984</v>
      </c>
    </row>
    <row r="164" spans="1:9" x14ac:dyDescent="0.3">
      <c r="A164" s="6" t="s">
        <v>292</v>
      </c>
      <c r="B164" s="1" t="s">
        <v>4515</v>
      </c>
      <c r="C164" s="6" t="s">
        <v>1008</v>
      </c>
      <c r="D164" s="6" t="s">
        <v>1052</v>
      </c>
      <c r="E164" s="6" t="s">
        <v>1053</v>
      </c>
      <c r="F164" s="6" t="s">
        <v>5063</v>
      </c>
      <c r="G164" s="6" t="s">
        <v>5065</v>
      </c>
      <c r="H164" s="6" t="s">
        <v>5066</v>
      </c>
      <c r="I164">
        <v>1984</v>
      </c>
    </row>
    <row r="165" spans="1:9" x14ac:dyDescent="0.3">
      <c r="A165" s="6" t="s">
        <v>292</v>
      </c>
      <c r="B165" s="1" t="s">
        <v>4521</v>
      </c>
      <c r="C165" s="6" t="s">
        <v>1059</v>
      </c>
      <c r="D165" s="6" t="s">
        <v>1060</v>
      </c>
      <c r="E165" s="6" t="s">
        <v>1062</v>
      </c>
      <c r="F165" s="6" t="s">
        <v>5064</v>
      </c>
      <c r="G165" s="6" t="s">
        <v>5065</v>
      </c>
      <c r="H165" s="6" t="s">
        <v>5066</v>
      </c>
      <c r="I165">
        <v>1984</v>
      </c>
    </row>
    <row r="166" spans="1:9" x14ac:dyDescent="0.3">
      <c r="A166" s="6" t="s">
        <v>292</v>
      </c>
      <c r="B166" s="1" t="s">
        <v>4521</v>
      </c>
      <c r="C166" s="6" t="s">
        <v>1059</v>
      </c>
      <c r="D166" s="6" t="s">
        <v>1068</v>
      </c>
      <c r="E166" s="6" t="s">
        <v>1069</v>
      </c>
      <c r="F166" s="6" t="s">
        <v>5061</v>
      </c>
      <c r="G166" s="6" t="s">
        <v>5065</v>
      </c>
      <c r="H166" s="6" t="s">
        <v>5066</v>
      </c>
      <c r="I166">
        <v>1984</v>
      </c>
    </row>
    <row r="167" spans="1:9" x14ac:dyDescent="0.3">
      <c r="A167" s="6" t="s">
        <v>292</v>
      </c>
      <c r="B167" s="1" t="s">
        <v>4522</v>
      </c>
      <c r="C167" s="6" t="s">
        <v>1073</v>
      </c>
      <c r="D167" s="6" t="s">
        <v>1074</v>
      </c>
      <c r="E167" s="6" t="s">
        <v>1075</v>
      </c>
      <c r="F167" s="6" t="s">
        <v>5062</v>
      </c>
      <c r="G167" s="6" t="s">
        <v>5065</v>
      </c>
      <c r="H167" s="6" t="s">
        <v>5066</v>
      </c>
      <c r="I167">
        <v>1984</v>
      </c>
    </row>
    <row r="168" spans="1:9" x14ac:dyDescent="0.3">
      <c r="A168" s="6" t="s">
        <v>292</v>
      </c>
      <c r="B168" s="1" t="s">
        <v>4522</v>
      </c>
      <c r="C168" s="6" t="s">
        <v>1073</v>
      </c>
      <c r="D168" s="6" t="s">
        <v>1078</v>
      </c>
      <c r="E168" s="6" t="s">
        <v>1079</v>
      </c>
      <c r="F168" s="6" t="s">
        <v>5063</v>
      </c>
      <c r="G168" s="6" t="s">
        <v>5065</v>
      </c>
      <c r="H168" s="6" t="s">
        <v>5066</v>
      </c>
      <c r="I168">
        <v>1984</v>
      </c>
    </row>
    <row r="169" spans="1:9" x14ac:dyDescent="0.3">
      <c r="A169" s="6" t="s">
        <v>292</v>
      </c>
      <c r="B169" s="1" t="s">
        <v>4522</v>
      </c>
      <c r="C169" s="6" t="s">
        <v>1073</v>
      </c>
      <c r="D169" s="6" t="s">
        <v>1084</v>
      </c>
      <c r="E169" s="6" t="s">
        <v>1085</v>
      </c>
      <c r="F169" s="6" t="s">
        <v>5064</v>
      </c>
      <c r="G169" s="6" t="s">
        <v>5065</v>
      </c>
      <c r="H169" s="6" t="s">
        <v>5066</v>
      </c>
      <c r="I169">
        <v>1984</v>
      </c>
    </row>
    <row r="170" spans="1:9" x14ac:dyDescent="0.3">
      <c r="A170" s="6" t="s">
        <v>292</v>
      </c>
      <c r="B170" s="1" t="s">
        <v>4522</v>
      </c>
      <c r="C170" s="6" t="s">
        <v>1073</v>
      </c>
      <c r="D170" s="6" t="s">
        <v>1088</v>
      </c>
      <c r="E170" s="6" t="s">
        <v>1089</v>
      </c>
      <c r="F170" s="6" t="s">
        <v>5061</v>
      </c>
      <c r="G170" s="6" t="s">
        <v>5065</v>
      </c>
      <c r="H170" s="6" t="s">
        <v>5066</v>
      </c>
      <c r="I170">
        <v>1984</v>
      </c>
    </row>
    <row r="171" spans="1:9" x14ac:dyDescent="0.3">
      <c r="A171" s="6" t="s">
        <v>292</v>
      </c>
      <c r="B171" s="1" t="s">
        <v>4522</v>
      </c>
      <c r="C171" s="6" t="s">
        <v>1073</v>
      </c>
      <c r="D171" s="6" t="s">
        <v>1093</v>
      </c>
      <c r="E171" s="6" t="s">
        <v>1094</v>
      </c>
      <c r="F171" s="6" t="s">
        <v>5062</v>
      </c>
      <c r="G171" s="6" t="s">
        <v>5065</v>
      </c>
      <c r="H171" s="6" t="s">
        <v>5066</v>
      </c>
      <c r="I171">
        <v>1984</v>
      </c>
    </row>
    <row r="172" spans="1:9" x14ac:dyDescent="0.3">
      <c r="A172" s="6" t="s">
        <v>292</v>
      </c>
      <c r="B172" s="1" t="s">
        <v>4522</v>
      </c>
      <c r="C172" s="6" t="s">
        <v>1073</v>
      </c>
      <c r="D172" s="6" t="s">
        <v>1098</v>
      </c>
      <c r="E172" s="6" t="s">
        <v>1099</v>
      </c>
      <c r="F172" s="6" t="s">
        <v>5063</v>
      </c>
      <c r="G172" s="6" t="s">
        <v>5065</v>
      </c>
      <c r="H172" s="6" t="s">
        <v>5066</v>
      </c>
      <c r="I172">
        <v>1984</v>
      </c>
    </row>
    <row r="173" spans="1:9" x14ac:dyDescent="0.3">
      <c r="A173" s="6" t="s">
        <v>292</v>
      </c>
      <c r="B173" s="1" t="s">
        <v>4522</v>
      </c>
      <c r="C173" s="6" t="s">
        <v>1073</v>
      </c>
      <c r="D173" s="6" t="s">
        <v>1102</v>
      </c>
      <c r="E173" s="6" t="s">
        <v>1103</v>
      </c>
      <c r="F173" s="6" t="s">
        <v>5064</v>
      </c>
      <c r="G173" s="6" t="s">
        <v>5065</v>
      </c>
      <c r="H173" s="6" t="s">
        <v>5066</v>
      </c>
      <c r="I173">
        <v>1984</v>
      </c>
    </row>
    <row r="174" spans="1:9" x14ac:dyDescent="0.3">
      <c r="A174" s="6" t="s">
        <v>292</v>
      </c>
      <c r="B174" s="1" t="s">
        <v>4522</v>
      </c>
      <c r="C174" s="6" t="s">
        <v>1073</v>
      </c>
      <c r="D174" s="6" t="s">
        <v>1105</v>
      </c>
      <c r="E174" s="6" t="s">
        <v>1106</v>
      </c>
      <c r="F174" s="6" t="s">
        <v>5061</v>
      </c>
      <c r="G174" s="6" t="s">
        <v>5065</v>
      </c>
      <c r="H174" s="6" t="s">
        <v>5066</v>
      </c>
      <c r="I174">
        <v>1984</v>
      </c>
    </row>
    <row r="175" spans="1:9" x14ac:dyDescent="0.3">
      <c r="A175" s="6" t="s">
        <v>292</v>
      </c>
      <c r="B175" s="1" t="s">
        <v>4522</v>
      </c>
      <c r="C175" s="6" t="s">
        <v>1073</v>
      </c>
      <c r="D175" s="6" t="s">
        <v>1111</v>
      </c>
      <c r="E175" s="6" t="s">
        <v>1112</v>
      </c>
      <c r="F175" s="6" t="s">
        <v>5062</v>
      </c>
      <c r="G175" s="6" t="s">
        <v>5065</v>
      </c>
      <c r="H175" s="6" t="s">
        <v>5066</v>
      </c>
      <c r="I175">
        <v>1984</v>
      </c>
    </row>
    <row r="176" spans="1:9" x14ac:dyDescent="0.3">
      <c r="A176" s="6" t="s">
        <v>292</v>
      </c>
      <c r="B176" s="1" t="s">
        <v>4522</v>
      </c>
      <c r="C176" s="6" t="s">
        <v>1073</v>
      </c>
      <c r="D176" s="6" t="s">
        <v>1115</v>
      </c>
      <c r="E176" s="6" t="s">
        <v>1116</v>
      </c>
      <c r="F176" s="6" t="s">
        <v>5063</v>
      </c>
      <c r="G176" s="6" t="s">
        <v>5065</v>
      </c>
      <c r="H176" s="6" t="s">
        <v>5066</v>
      </c>
      <c r="I176">
        <v>1984</v>
      </c>
    </row>
    <row r="177" spans="1:9" x14ac:dyDescent="0.3">
      <c r="A177" s="6" t="s">
        <v>292</v>
      </c>
      <c r="B177" s="1" t="s">
        <v>4522</v>
      </c>
      <c r="C177" s="6" t="s">
        <v>1073</v>
      </c>
      <c r="D177" s="6" t="s">
        <v>1119</v>
      </c>
      <c r="E177" s="6" t="s">
        <v>1120</v>
      </c>
      <c r="F177" s="6" t="s">
        <v>5064</v>
      </c>
      <c r="G177" s="6" t="s">
        <v>5065</v>
      </c>
      <c r="H177" s="6" t="s">
        <v>5066</v>
      </c>
      <c r="I177">
        <v>1984</v>
      </c>
    </row>
    <row r="178" spans="1:9" x14ac:dyDescent="0.3">
      <c r="A178" s="6" t="s">
        <v>292</v>
      </c>
      <c r="B178" s="1" t="s">
        <v>4522</v>
      </c>
      <c r="C178" s="6" t="s">
        <v>1073</v>
      </c>
      <c r="D178" s="6" t="s">
        <v>1125</v>
      </c>
      <c r="E178" s="6" t="s">
        <v>1126</v>
      </c>
      <c r="F178" s="6" t="s">
        <v>5061</v>
      </c>
      <c r="G178" s="6" t="s">
        <v>5065</v>
      </c>
      <c r="H178" s="6" t="s">
        <v>5066</v>
      </c>
      <c r="I178">
        <v>1984</v>
      </c>
    </row>
    <row r="179" spans="1:9" x14ac:dyDescent="0.3">
      <c r="A179" s="6" t="s">
        <v>292</v>
      </c>
      <c r="B179" s="1" t="s">
        <v>4522</v>
      </c>
      <c r="C179" s="6" t="s">
        <v>1073</v>
      </c>
      <c r="D179" s="6" t="s">
        <v>1128</v>
      </c>
      <c r="E179" s="6" t="s">
        <v>1129</v>
      </c>
      <c r="F179" s="6" t="s">
        <v>5062</v>
      </c>
      <c r="G179" s="6" t="s">
        <v>5065</v>
      </c>
      <c r="H179" s="6" t="s">
        <v>5066</v>
      </c>
      <c r="I179">
        <v>1984</v>
      </c>
    </row>
    <row r="180" spans="1:9" x14ac:dyDescent="0.3">
      <c r="A180" s="6" t="s">
        <v>292</v>
      </c>
      <c r="B180" s="1" t="s">
        <v>4522</v>
      </c>
      <c r="C180" s="6" t="s">
        <v>1073</v>
      </c>
      <c r="D180" s="6" t="s">
        <v>1132</v>
      </c>
      <c r="E180" s="6" t="s">
        <v>1133</v>
      </c>
      <c r="F180" s="6" t="s">
        <v>5063</v>
      </c>
      <c r="G180" s="6" t="s">
        <v>5065</v>
      </c>
      <c r="H180" s="6" t="s">
        <v>5066</v>
      </c>
      <c r="I180">
        <v>1984</v>
      </c>
    </row>
    <row r="181" spans="1:9" x14ac:dyDescent="0.3">
      <c r="A181" s="6" t="s">
        <v>292</v>
      </c>
      <c r="B181" s="1" t="s">
        <v>4522</v>
      </c>
      <c r="C181" s="6" t="s">
        <v>1073</v>
      </c>
      <c r="D181" s="6" t="s">
        <v>1137</v>
      </c>
      <c r="E181" s="6" t="s">
        <v>1138</v>
      </c>
      <c r="F181" s="6" t="s">
        <v>5064</v>
      </c>
      <c r="G181" s="6" t="s">
        <v>5065</v>
      </c>
      <c r="H181" s="6" t="s">
        <v>5066</v>
      </c>
      <c r="I181">
        <v>1984</v>
      </c>
    </row>
    <row r="182" spans="1:9" x14ac:dyDescent="0.3">
      <c r="A182" s="6" t="s">
        <v>292</v>
      </c>
      <c r="B182" s="1" t="s">
        <v>4522</v>
      </c>
      <c r="C182" s="6" t="s">
        <v>1073</v>
      </c>
      <c r="D182" s="6" t="s">
        <v>1141</v>
      </c>
      <c r="E182" s="6" t="s">
        <v>1142</v>
      </c>
      <c r="F182" s="6" t="s">
        <v>5061</v>
      </c>
      <c r="G182" s="6" t="s">
        <v>5065</v>
      </c>
      <c r="H182" s="6" t="s">
        <v>5066</v>
      </c>
      <c r="I182">
        <v>1984</v>
      </c>
    </row>
    <row r="183" spans="1:9" x14ac:dyDescent="0.3">
      <c r="A183" s="6" t="s">
        <v>292</v>
      </c>
      <c r="B183" s="1" t="s">
        <v>4522</v>
      </c>
      <c r="C183" s="6" t="s">
        <v>1073</v>
      </c>
      <c r="D183" s="6" t="s">
        <v>1146</v>
      </c>
      <c r="E183" s="6" t="s">
        <v>1147</v>
      </c>
      <c r="F183" s="6" t="s">
        <v>5062</v>
      </c>
      <c r="G183" s="6" t="s">
        <v>5065</v>
      </c>
      <c r="H183" s="6" t="s">
        <v>5066</v>
      </c>
      <c r="I183">
        <v>1984</v>
      </c>
    </row>
    <row r="184" spans="1:9" x14ac:dyDescent="0.3">
      <c r="A184" s="6" t="s">
        <v>292</v>
      </c>
      <c r="B184" s="1" t="s">
        <v>4522</v>
      </c>
      <c r="C184" s="6" t="s">
        <v>1073</v>
      </c>
      <c r="D184" s="6" t="s">
        <v>1151</v>
      </c>
      <c r="E184" s="6" t="s">
        <v>1152</v>
      </c>
      <c r="F184" s="6" t="s">
        <v>5063</v>
      </c>
      <c r="G184" s="6" t="s">
        <v>5065</v>
      </c>
      <c r="H184" s="6" t="s">
        <v>5066</v>
      </c>
      <c r="I184">
        <v>1984</v>
      </c>
    </row>
    <row r="185" spans="1:9" x14ac:dyDescent="0.3">
      <c r="A185" s="6" t="s">
        <v>292</v>
      </c>
      <c r="B185" s="1" t="s">
        <v>4522</v>
      </c>
      <c r="C185" s="6" t="s">
        <v>1073</v>
      </c>
      <c r="D185" s="6" t="s">
        <v>1156</v>
      </c>
      <c r="E185" s="6" t="s">
        <v>1157</v>
      </c>
      <c r="F185" s="6" t="s">
        <v>5064</v>
      </c>
      <c r="G185" s="6" t="s">
        <v>5065</v>
      </c>
      <c r="H185" s="6" t="s">
        <v>5066</v>
      </c>
      <c r="I185">
        <v>1984</v>
      </c>
    </row>
    <row r="186" spans="1:9" x14ac:dyDescent="0.3">
      <c r="A186" s="6" t="s">
        <v>292</v>
      </c>
      <c r="B186" s="1" t="s">
        <v>4522</v>
      </c>
      <c r="C186" s="6" t="s">
        <v>1073</v>
      </c>
      <c r="D186" s="6" t="s">
        <v>1161</v>
      </c>
      <c r="E186" s="6" t="s">
        <v>1162</v>
      </c>
      <c r="F186" s="6" t="s">
        <v>5061</v>
      </c>
      <c r="G186" s="6" t="s">
        <v>5065</v>
      </c>
      <c r="H186" s="6" t="s">
        <v>5066</v>
      </c>
      <c r="I186">
        <v>1984</v>
      </c>
    </row>
    <row r="187" spans="1:9" x14ac:dyDescent="0.3">
      <c r="A187" s="6" t="s">
        <v>292</v>
      </c>
      <c r="B187" s="1" t="s">
        <v>4522</v>
      </c>
      <c r="C187" s="6" t="s">
        <v>1073</v>
      </c>
      <c r="D187" s="6" t="s">
        <v>1166</v>
      </c>
      <c r="E187" s="6" t="s">
        <v>1167</v>
      </c>
      <c r="F187" s="6" t="s">
        <v>5062</v>
      </c>
      <c r="G187" s="6" t="s">
        <v>5065</v>
      </c>
      <c r="H187" s="6" t="s">
        <v>5066</v>
      </c>
      <c r="I187">
        <v>1984</v>
      </c>
    </row>
    <row r="188" spans="1:9" x14ac:dyDescent="0.3">
      <c r="A188" s="6" t="s">
        <v>292</v>
      </c>
      <c r="B188" s="1" t="s">
        <v>4522</v>
      </c>
      <c r="C188" s="6" t="s">
        <v>1073</v>
      </c>
      <c r="D188" s="6" t="s">
        <v>1171</v>
      </c>
      <c r="E188" s="6" t="s">
        <v>1172</v>
      </c>
      <c r="F188" s="6" t="s">
        <v>5063</v>
      </c>
      <c r="G188" s="6" t="s">
        <v>5065</v>
      </c>
      <c r="H188" s="6" t="s">
        <v>5066</v>
      </c>
      <c r="I188">
        <v>1984</v>
      </c>
    </row>
    <row r="189" spans="1:9" x14ac:dyDescent="0.3">
      <c r="A189" s="6" t="s">
        <v>292</v>
      </c>
      <c r="B189" s="1" t="s">
        <v>4522</v>
      </c>
      <c r="C189" s="6" t="s">
        <v>1073</v>
      </c>
      <c r="D189" s="6" t="s">
        <v>1176</v>
      </c>
      <c r="E189" s="6" t="s">
        <v>1177</v>
      </c>
      <c r="F189" s="6" t="s">
        <v>5064</v>
      </c>
      <c r="G189" s="6" t="s">
        <v>5065</v>
      </c>
      <c r="H189" s="6" t="s">
        <v>5066</v>
      </c>
      <c r="I189">
        <v>1984</v>
      </c>
    </row>
    <row r="190" spans="1:9" x14ac:dyDescent="0.3">
      <c r="A190" s="6" t="s">
        <v>292</v>
      </c>
      <c r="B190" s="1" t="s">
        <v>4522</v>
      </c>
      <c r="C190" s="6" t="s">
        <v>1073</v>
      </c>
      <c r="D190" s="6" t="s">
        <v>1179</v>
      </c>
      <c r="E190" s="6" t="s">
        <v>1180</v>
      </c>
      <c r="F190" s="6" t="s">
        <v>5061</v>
      </c>
      <c r="G190" s="6" t="s">
        <v>5065</v>
      </c>
      <c r="H190" s="6" t="s">
        <v>5066</v>
      </c>
      <c r="I190">
        <v>1984</v>
      </c>
    </row>
    <row r="191" spans="1:9" x14ac:dyDescent="0.3">
      <c r="A191" s="6" t="s">
        <v>292</v>
      </c>
      <c r="B191" s="1" t="s">
        <v>4522</v>
      </c>
      <c r="C191" s="6" t="s">
        <v>1073</v>
      </c>
      <c r="D191" s="6" t="s">
        <v>1184</v>
      </c>
      <c r="E191" s="6" t="s">
        <v>1185</v>
      </c>
      <c r="F191" s="6" t="s">
        <v>5062</v>
      </c>
      <c r="G191" s="6" t="s">
        <v>5065</v>
      </c>
      <c r="H191" s="6" t="s">
        <v>5066</v>
      </c>
      <c r="I191">
        <v>1984</v>
      </c>
    </row>
    <row r="192" spans="1:9" x14ac:dyDescent="0.3">
      <c r="A192" s="6" t="s">
        <v>292</v>
      </c>
      <c r="B192" s="1" t="s">
        <v>4522</v>
      </c>
      <c r="C192" s="6" t="s">
        <v>1073</v>
      </c>
      <c r="D192" s="6" t="s">
        <v>1190</v>
      </c>
      <c r="E192" s="6" t="s">
        <v>1191</v>
      </c>
      <c r="F192" s="6" t="s">
        <v>5063</v>
      </c>
      <c r="G192" s="6" t="s">
        <v>5065</v>
      </c>
      <c r="H192" s="6" t="s">
        <v>5066</v>
      </c>
      <c r="I192">
        <v>1984</v>
      </c>
    </row>
    <row r="193" spans="1:9" x14ac:dyDescent="0.3">
      <c r="A193" s="6" t="s">
        <v>292</v>
      </c>
      <c r="B193" s="1" t="s">
        <v>4522</v>
      </c>
      <c r="C193" s="6" t="s">
        <v>1073</v>
      </c>
      <c r="D193" s="6" t="s">
        <v>1195</v>
      </c>
      <c r="E193" s="6" t="s">
        <v>1196</v>
      </c>
      <c r="F193" s="6" t="s">
        <v>5064</v>
      </c>
      <c r="G193" s="6" t="s">
        <v>5065</v>
      </c>
      <c r="H193" s="6" t="s">
        <v>5066</v>
      </c>
      <c r="I193">
        <v>1984</v>
      </c>
    </row>
    <row r="194" spans="1:9" x14ac:dyDescent="0.3">
      <c r="A194" s="6" t="s">
        <v>292</v>
      </c>
      <c r="B194" s="1" t="s">
        <v>4522</v>
      </c>
      <c r="C194" s="6" t="s">
        <v>1073</v>
      </c>
      <c r="D194" s="6" t="s">
        <v>1199</v>
      </c>
      <c r="E194" s="6" t="s">
        <v>1200</v>
      </c>
      <c r="F194" s="6" t="s">
        <v>5061</v>
      </c>
      <c r="G194" s="6" t="s">
        <v>5065</v>
      </c>
      <c r="H194" s="6" t="s">
        <v>5066</v>
      </c>
      <c r="I194">
        <v>1984</v>
      </c>
    </row>
    <row r="195" spans="1:9" x14ac:dyDescent="0.3">
      <c r="A195" s="6" t="s">
        <v>292</v>
      </c>
      <c r="B195" s="1" t="s">
        <v>4522</v>
      </c>
      <c r="C195" s="6" t="s">
        <v>1073</v>
      </c>
      <c r="D195" s="6" t="s">
        <v>1204</v>
      </c>
      <c r="E195" s="6" t="s">
        <v>1205</v>
      </c>
      <c r="F195" s="6" t="s">
        <v>5062</v>
      </c>
      <c r="G195" s="6" t="s">
        <v>5065</v>
      </c>
      <c r="H195" s="6" t="s">
        <v>5066</v>
      </c>
      <c r="I195">
        <v>1984</v>
      </c>
    </row>
    <row r="196" spans="1:9" x14ac:dyDescent="0.3">
      <c r="A196" s="6" t="s">
        <v>292</v>
      </c>
      <c r="B196" s="1" t="s">
        <v>4522</v>
      </c>
      <c r="C196" s="6" t="s">
        <v>1073</v>
      </c>
      <c r="D196" s="6" t="s">
        <v>1210</v>
      </c>
      <c r="E196" s="6" t="s">
        <v>1211</v>
      </c>
      <c r="F196" s="6" t="s">
        <v>5063</v>
      </c>
      <c r="G196" s="6" t="s">
        <v>5065</v>
      </c>
      <c r="H196" s="6" t="s">
        <v>5066</v>
      </c>
      <c r="I196">
        <v>1982</v>
      </c>
    </row>
    <row r="197" spans="1:9" x14ac:dyDescent="0.3">
      <c r="A197" s="6" t="s">
        <v>292</v>
      </c>
      <c r="B197" s="1" t="s">
        <v>4522</v>
      </c>
      <c r="C197" s="6" t="s">
        <v>1073</v>
      </c>
      <c r="D197" s="6" t="s">
        <v>1215</v>
      </c>
      <c r="E197" s="6" t="s">
        <v>1216</v>
      </c>
      <c r="F197" s="6" t="s">
        <v>5064</v>
      </c>
      <c r="G197" s="6" t="s">
        <v>5065</v>
      </c>
      <c r="H197" s="6" t="s">
        <v>5066</v>
      </c>
      <c r="I197">
        <v>1982</v>
      </c>
    </row>
    <row r="198" spans="1:9" x14ac:dyDescent="0.3">
      <c r="A198" s="6" t="s">
        <v>292</v>
      </c>
      <c r="B198" s="1" t="s">
        <v>4522</v>
      </c>
      <c r="C198" s="6" t="s">
        <v>1073</v>
      </c>
      <c r="D198" s="6" t="s">
        <v>1221</v>
      </c>
      <c r="E198" s="6" t="s">
        <v>1222</v>
      </c>
      <c r="F198" s="6" t="s">
        <v>5061</v>
      </c>
      <c r="G198" s="6" t="s">
        <v>5065</v>
      </c>
      <c r="H198" s="6" t="s">
        <v>5066</v>
      </c>
      <c r="I198">
        <v>1982</v>
      </c>
    </row>
    <row r="199" spans="1:9" x14ac:dyDescent="0.3">
      <c r="A199" s="6" t="s">
        <v>292</v>
      </c>
      <c r="B199" s="1" t="s">
        <v>4522</v>
      </c>
      <c r="C199" s="6" t="s">
        <v>1073</v>
      </c>
      <c r="D199" s="6" t="s">
        <v>1224</v>
      </c>
      <c r="E199" s="6" t="s">
        <v>1225</v>
      </c>
      <c r="F199" s="6" t="s">
        <v>5062</v>
      </c>
      <c r="G199" s="6" t="s">
        <v>5065</v>
      </c>
      <c r="H199" s="6" t="s">
        <v>5066</v>
      </c>
      <c r="I199">
        <v>1982</v>
      </c>
    </row>
    <row r="200" spans="1:9" x14ac:dyDescent="0.3">
      <c r="A200" s="6" t="s">
        <v>292</v>
      </c>
      <c r="B200" s="1" t="s">
        <v>4522</v>
      </c>
      <c r="C200" s="6" t="s">
        <v>1073</v>
      </c>
      <c r="D200" s="6" t="s">
        <v>1230</v>
      </c>
      <c r="E200" s="6" t="s">
        <v>1231</v>
      </c>
      <c r="F200" s="6" t="s">
        <v>5063</v>
      </c>
      <c r="G200" s="6" t="s">
        <v>5065</v>
      </c>
      <c r="H200" s="6" t="s">
        <v>5066</v>
      </c>
      <c r="I200">
        <v>1982</v>
      </c>
    </row>
    <row r="201" spans="1:9" x14ac:dyDescent="0.3">
      <c r="A201" s="6" t="s">
        <v>292</v>
      </c>
      <c r="B201" s="1" t="s">
        <v>4522</v>
      </c>
      <c r="C201" s="6" t="s">
        <v>1073</v>
      </c>
      <c r="D201" s="6" t="s">
        <v>1235</v>
      </c>
      <c r="E201" s="6" t="s">
        <v>1236</v>
      </c>
      <c r="F201" s="6" t="s">
        <v>5064</v>
      </c>
      <c r="G201" s="6" t="s">
        <v>5065</v>
      </c>
      <c r="H201" s="6" t="s">
        <v>5066</v>
      </c>
      <c r="I201">
        <v>1982</v>
      </c>
    </row>
    <row r="202" spans="1:9" x14ac:dyDescent="0.3">
      <c r="A202" s="6" t="s">
        <v>292</v>
      </c>
      <c r="B202" s="1" t="s">
        <v>4522</v>
      </c>
      <c r="C202" s="6" t="s">
        <v>1073</v>
      </c>
      <c r="D202" s="6" t="s">
        <v>1240</v>
      </c>
      <c r="E202" s="6" t="s">
        <v>1241</v>
      </c>
      <c r="F202" s="6" t="s">
        <v>5061</v>
      </c>
      <c r="G202" s="6" t="s">
        <v>5065</v>
      </c>
      <c r="H202" s="6" t="s">
        <v>5066</v>
      </c>
      <c r="I202">
        <v>1982</v>
      </c>
    </row>
    <row r="203" spans="1:9" x14ac:dyDescent="0.3">
      <c r="A203" s="6" t="s">
        <v>292</v>
      </c>
      <c r="B203" s="1" t="s">
        <v>4522</v>
      </c>
      <c r="C203" s="6" t="s">
        <v>1073</v>
      </c>
      <c r="D203" s="6" t="s">
        <v>1244</v>
      </c>
      <c r="E203" s="6" t="s">
        <v>1245</v>
      </c>
      <c r="F203" s="6" t="s">
        <v>5062</v>
      </c>
      <c r="G203" s="6" t="s">
        <v>5065</v>
      </c>
      <c r="H203" s="6" t="s">
        <v>5066</v>
      </c>
      <c r="I203">
        <v>1982</v>
      </c>
    </row>
    <row r="204" spans="1:9" x14ac:dyDescent="0.3">
      <c r="A204" s="6" t="s">
        <v>292</v>
      </c>
      <c r="B204" s="1" t="s">
        <v>4522</v>
      </c>
      <c r="C204" s="6" t="s">
        <v>1073</v>
      </c>
      <c r="D204" s="6" t="s">
        <v>1249</v>
      </c>
      <c r="E204" s="6" t="s">
        <v>1250</v>
      </c>
      <c r="F204" s="6" t="s">
        <v>5063</v>
      </c>
      <c r="G204" s="6" t="s">
        <v>5065</v>
      </c>
      <c r="H204" s="6" t="s">
        <v>5066</v>
      </c>
      <c r="I204">
        <v>1982</v>
      </c>
    </row>
    <row r="205" spans="1:9" x14ac:dyDescent="0.3">
      <c r="A205" s="6" t="s">
        <v>292</v>
      </c>
      <c r="B205" s="1" t="s">
        <v>4522</v>
      </c>
      <c r="C205" s="6" t="s">
        <v>1073</v>
      </c>
      <c r="D205" s="6" t="s">
        <v>1254</v>
      </c>
      <c r="E205" s="6" t="s">
        <v>1255</v>
      </c>
      <c r="F205" s="6" t="s">
        <v>5064</v>
      </c>
      <c r="G205" s="6" t="s">
        <v>5065</v>
      </c>
      <c r="H205" s="6" t="s">
        <v>5066</v>
      </c>
      <c r="I205">
        <v>1982</v>
      </c>
    </row>
    <row r="206" spans="1:9" x14ac:dyDescent="0.3">
      <c r="A206" s="6" t="s">
        <v>292</v>
      </c>
      <c r="B206" s="1" t="s">
        <v>4522</v>
      </c>
      <c r="C206" s="6" t="s">
        <v>1073</v>
      </c>
      <c r="D206" s="6" t="s">
        <v>1259</v>
      </c>
      <c r="E206" s="6" t="s">
        <v>1260</v>
      </c>
      <c r="F206" s="6" t="s">
        <v>5061</v>
      </c>
      <c r="G206" s="6" t="s">
        <v>5065</v>
      </c>
      <c r="H206" s="6" t="s">
        <v>5066</v>
      </c>
      <c r="I206">
        <v>1982</v>
      </c>
    </row>
    <row r="207" spans="1:9" x14ac:dyDescent="0.3">
      <c r="A207" s="6" t="s">
        <v>292</v>
      </c>
      <c r="B207" s="1" t="s">
        <v>4522</v>
      </c>
      <c r="C207" s="6" t="s">
        <v>1073</v>
      </c>
      <c r="D207" s="6" t="s">
        <v>1261</v>
      </c>
      <c r="E207" s="6" t="s">
        <v>1262</v>
      </c>
      <c r="F207" s="6" t="s">
        <v>5062</v>
      </c>
      <c r="G207" s="6" t="s">
        <v>5065</v>
      </c>
      <c r="H207" s="6" t="s">
        <v>5066</v>
      </c>
      <c r="I207">
        <v>1982</v>
      </c>
    </row>
    <row r="208" spans="1:9" x14ac:dyDescent="0.3">
      <c r="A208" s="6" t="s">
        <v>292</v>
      </c>
      <c r="B208" s="1" t="s">
        <v>4522</v>
      </c>
      <c r="C208" s="6" t="s">
        <v>1073</v>
      </c>
      <c r="D208" s="6" t="s">
        <v>1266</v>
      </c>
      <c r="E208" s="6" t="s">
        <v>1267</v>
      </c>
      <c r="F208" s="6" t="s">
        <v>5063</v>
      </c>
      <c r="G208" s="6" t="s">
        <v>5065</v>
      </c>
      <c r="H208" s="6" t="s">
        <v>5066</v>
      </c>
      <c r="I208">
        <v>1982</v>
      </c>
    </row>
    <row r="209" spans="1:9" x14ac:dyDescent="0.3">
      <c r="A209" s="6" t="s">
        <v>292</v>
      </c>
      <c r="B209" s="1" t="s">
        <v>4522</v>
      </c>
      <c r="C209" s="6" t="s">
        <v>1073</v>
      </c>
      <c r="D209" s="6" t="s">
        <v>1271</v>
      </c>
      <c r="E209" s="6" t="s">
        <v>1272</v>
      </c>
      <c r="F209" s="6" t="s">
        <v>5064</v>
      </c>
      <c r="G209" s="6" t="s">
        <v>5065</v>
      </c>
      <c r="H209" s="6" t="s">
        <v>5066</v>
      </c>
      <c r="I209">
        <v>1982</v>
      </c>
    </row>
    <row r="210" spans="1:9" x14ac:dyDescent="0.3">
      <c r="A210" s="6" t="s">
        <v>292</v>
      </c>
      <c r="B210" s="1" t="s">
        <v>4522</v>
      </c>
      <c r="C210" s="6" t="s">
        <v>1073</v>
      </c>
      <c r="D210" s="6" t="s">
        <v>1277</v>
      </c>
      <c r="E210" s="6" t="s">
        <v>1278</v>
      </c>
      <c r="F210" s="6" t="s">
        <v>5061</v>
      </c>
      <c r="G210" s="6" t="s">
        <v>5065</v>
      </c>
      <c r="H210" s="6" t="s">
        <v>5066</v>
      </c>
      <c r="I210">
        <v>1982</v>
      </c>
    </row>
    <row r="211" spans="1:9" x14ac:dyDescent="0.3">
      <c r="A211" s="6" t="s">
        <v>292</v>
      </c>
      <c r="B211" s="1" t="s">
        <v>4522</v>
      </c>
      <c r="C211" s="6" t="s">
        <v>1073</v>
      </c>
      <c r="D211" s="6" t="s">
        <v>1283</v>
      </c>
      <c r="E211" s="6" t="s">
        <v>1284</v>
      </c>
      <c r="F211" s="6" t="s">
        <v>5062</v>
      </c>
      <c r="G211" s="6" t="s">
        <v>5065</v>
      </c>
      <c r="H211" s="6" t="s">
        <v>5066</v>
      </c>
      <c r="I211">
        <v>1982</v>
      </c>
    </row>
    <row r="212" spans="1:9" x14ac:dyDescent="0.3">
      <c r="A212" s="6" t="s">
        <v>202</v>
      </c>
      <c r="B212" s="1" t="s">
        <v>4510</v>
      </c>
      <c r="C212" s="6" t="s">
        <v>1288</v>
      </c>
      <c r="D212" s="6" t="s">
        <v>1289</v>
      </c>
      <c r="E212" s="6" t="s">
        <v>1291</v>
      </c>
      <c r="F212" s="6" t="s">
        <v>5063</v>
      </c>
      <c r="G212" s="6" t="s">
        <v>5065</v>
      </c>
      <c r="H212" s="6" t="s">
        <v>5066</v>
      </c>
      <c r="I212">
        <v>1982</v>
      </c>
    </row>
    <row r="213" spans="1:9" x14ac:dyDescent="0.3">
      <c r="A213" s="6" t="s">
        <v>202</v>
      </c>
      <c r="B213" s="1" t="s">
        <v>4510</v>
      </c>
      <c r="C213" s="6" t="s">
        <v>1288</v>
      </c>
      <c r="D213" s="6" t="s">
        <v>1294</v>
      </c>
      <c r="E213" s="6" t="s">
        <v>1295</v>
      </c>
      <c r="F213" s="6" t="s">
        <v>5064</v>
      </c>
      <c r="G213" s="6" t="s">
        <v>5065</v>
      </c>
      <c r="H213" s="6" t="s">
        <v>5066</v>
      </c>
      <c r="I213">
        <v>1982</v>
      </c>
    </row>
    <row r="214" spans="1:9" x14ac:dyDescent="0.3">
      <c r="A214" s="6" t="s">
        <v>202</v>
      </c>
      <c r="B214" s="1" t="s">
        <v>4510</v>
      </c>
      <c r="C214" s="6" t="s">
        <v>1288</v>
      </c>
      <c r="D214" s="6" t="s">
        <v>1300</v>
      </c>
      <c r="E214" s="6" t="s">
        <v>1301</v>
      </c>
      <c r="F214" s="6" t="s">
        <v>5061</v>
      </c>
      <c r="G214" s="6" t="s">
        <v>5065</v>
      </c>
      <c r="H214" s="6" t="s">
        <v>5066</v>
      </c>
      <c r="I214">
        <v>1982</v>
      </c>
    </row>
    <row r="215" spans="1:9" x14ac:dyDescent="0.3">
      <c r="A215" s="6" t="s">
        <v>202</v>
      </c>
      <c r="B215" s="1" t="s">
        <v>4510</v>
      </c>
      <c r="C215" s="6" t="s">
        <v>1288</v>
      </c>
      <c r="D215" s="6" t="s">
        <v>1305</v>
      </c>
      <c r="E215" s="6" t="s">
        <v>1306</v>
      </c>
      <c r="F215" s="6" t="s">
        <v>5062</v>
      </c>
      <c r="G215" s="6" t="s">
        <v>5065</v>
      </c>
      <c r="H215" s="6" t="s">
        <v>5066</v>
      </c>
      <c r="I215">
        <v>1982</v>
      </c>
    </row>
    <row r="216" spans="1:9" x14ac:dyDescent="0.3">
      <c r="A216" s="6" t="s">
        <v>202</v>
      </c>
      <c r="B216" s="1" t="s">
        <v>4510</v>
      </c>
      <c r="C216" s="6" t="s">
        <v>1288</v>
      </c>
      <c r="D216" s="6" t="s">
        <v>1309</v>
      </c>
      <c r="E216" s="6" t="s">
        <v>1310</v>
      </c>
      <c r="F216" s="6" t="s">
        <v>5063</v>
      </c>
      <c r="G216" s="6" t="s">
        <v>5065</v>
      </c>
      <c r="H216" s="6" t="s">
        <v>5066</v>
      </c>
      <c r="I216">
        <v>1982</v>
      </c>
    </row>
    <row r="217" spans="1:9" x14ac:dyDescent="0.3">
      <c r="A217" s="6" t="s">
        <v>202</v>
      </c>
      <c r="B217" s="1" t="s">
        <v>4510</v>
      </c>
      <c r="C217" s="6" t="s">
        <v>1288</v>
      </c>
      <c r="D217" s="6" t="s">
        <v>1312</v>
      </c>
      <c r="E217" s="6" t="s">
        <v>1313</v>
      </c>
      <c r="F217" s="6" t="s">
        <v>5064</v>
      </c>
      <c r="G217" s="6" t="s">
        <v>5065</v>
      </c>
      <c r="H217" s="6" t="s">
        <v>5066</v>
      </c>
      <c r="I217">
        <v>1982</v>
      </c>
    </row>
    <row r="218" spans="1:9" x14ac:dyDescent="0.3">
      <c r="A218" s="6" t="s">
        <v>202</v>
      </c>
      <c r="B218" s="1" t="s">
        <v>4510</v>
      </c>
      <c r="C218" s="6" t="s">
        <v>1288</v>
      </c>
      <c r="D218" s="6" t="s">
        <v>1317</v>
      </c>
      <c r="E218" s="6" t="s">
        <v>1318</v>
      </c>
      <c r="F218" s="6" t="s">
        <v>5061</v>
      </c>
      <c r="G218" s="6" t="s">
        <v>5065</v>
      </c>
      <c r="H218" s="6" t="s">
        <v>5067</v>
      </c>
      <c r="I218">
        <v>1982</v>
      </c>
    </row>
    <row r="219" spans="1:9" x14ac:dyDescent="0.3">
      <c r="A219" s="6" t="s">
        <v>202</v>
      </c>
      <c r="B219" s="1" t="s">
        <v>4510</v>
      </c>
      <c r="C219" s="6" t="s">
        <v>1288</v>
      </c>
      <c r="D219" s="6" t="s">
        <v>1322</v>
      </c>
      <c r="E219" s="6" t="s">
        <v>1323</v>
      </c>
      <c r="F219" s="6" t="s">
        <v>5062</v>
      </c>
      <c r="G219" s="6" t="s">
        <v>5065</v>
      </c>
      <c r="H219" s="6" t="s">
        <v>5067</v>
      </c>
      <c r="I219">
        <v>1982</v>
      </c>
    </row>
    <row r="220" spans="1:9" x14ac:dyDescent="0.3">
      <c r="A220" s="6" t="s">
        <v>202</v>
      </c>
      <c r="B220" s="1" t="s">
        <v>4510</v>
      </c>
      <c r="C220" s="6" t="s">
        <v>1288</v>
      </c>
      <c r="D220" s="6" t="s">
        <v>1327</v>
      </c>
      <c r="E220" s="6" t="s">
        <v>1328</v>
      </c>
      <c r="F220" s="6" t="s">
        <v>5063</v>
      </c>
      <c r="G220" s="6" t="s">
        <v>5065</v>
      </c>
      <c r="H220" s="6" t="s">
        <v>5067</v>
      </c>
      <c r="I220">
        <v>1982</v>
      </c>
    </row>
    <row r="221" spans="1:9" x14ac:dyDescent="0.3">
      <c r="A221" s="6" t="s">
        <v>202</v>
      </c>
      <c r="B221" s="1" t="s">
        <v>4510</v>
      </c>
      <c r="C221" s="6" t="s">
        <v>1288</v>
      </c>
      <c r="D221" s="6" t="s">
        <v>1332</v>
      </c>
      <c r="E221" s="6" t="s">
        <v>1333</v>
      </c>
      <c r="F221" s="6" t="s">
        <v>5064</v>
      </c>
      <c r="G221" s="6" t="s">
        <v>5065</v>
      </c>
      <c r="H221" s="6" t="s">
        <v>5067</v>
      </c>
      <c r="I221">
        <v>1982</v>
      </c>
    </row>
    <row r="222" spans="1:9" x14ac:dyDescent="0.3">
      <c r="A222" s="6" t="s">
        <v>202</v>
      </c>
      <c r="B222" s="1" t="s">
        <v>4510</v>
      </c>
      <c r="C222" s="6" t="s">
        <v>1288</v>
      </c>
      <c r="D222" s="6" t="s">
        <v>1336</v>
      </c>
      <c r="E222" s="6" t="s">
        <v>1337</v>
      </c>
      <c r="F222" s="6" t="s">
        <v>5061</v>
      </c>
      <c r="G222" s="6" t="s">
        <v>5065</v>
      </c>
      <c r="H222" s="6" t="s">
        <v>5067</v>
      </c>
      <c r="I222">
        <v>1982</v>
      </c>
    </row>
    <row r="223" spans="1:9" x14ac:dyDescent="0.3">
      <c r="A223" s="6" t="s">
        <v>202</v>
      </c>
      <c r="B223" s="1" t="s">
        <v>4510</v>
      </c>
      <c r="C223" s="6" t="s">
        <v>1288</v>
      </c>
      <c r="D223" s="6" t="s">
        <v>1341</v>
      </c>
      <c r="E223" s="6" t="s">
        <v>1342</v>
      </c>
      <c r="F223" s="6" t="s">
        <v>5062</v>
      </c>
      <c r="G223" s="6" t="s">
        <v>5065</v>
      </c>
      <c r="H223" s="6" t="s">
        <v>5067</v>
      </c>
      <c r="I223">
        <v>1982</v>
      </c>
    </row>
    <row r="224" spans="1:9" x14ac:dyDescent="0.3">
      <c r="A224" s="6" t="s">
        <v>202</v>
      </c>
      <c r="B224" s="1" t="s">
        <v>4510</v>
      </c>
      <c r="C224" s="6" t="s">
        <v>1288</v>
      </c>
      <c r="D224" s="6" t="s">
        <v>1345</v>
      </c>
      <c r="E224" s="6" t="s">
        <v>1346</v>
      </c>
      <c r="F224" s="6" t="s">
        <v>5063</v>
      </c>
      <c r="G224" s="6" t="s">
        <v>5065</v>
      </c>
      <c r="H224" s="6" t="s">
        <v>5067</v>
      </c>
      <c r="I224">
        <v>1982</v>
      </c>
    </row>
    <row r="225" spans="1:9" x14ac:dyDescent="0.3">
      <c r="A225" s="6" t="s">
        <v>202</v>
      </c>
      <c r="B225" s="1" t="s">
        <v>4510</v>
      </c>
      <c r="C225" s="6" t="s">
        <v>1288</v>
      </c>
      <c r="D225" s="6" t="s">
        <v>1350</v>
      </c>
      <c r="E225" s="6" t="s">
        <v>1351</v>
      </c>
      <c r="F225" s="6" t="s">
        <v>5064</v>
      </c>
      <c r="G225" s="6" t="s">
        <v>5065</v>
      </c>
      <c r="H225" s="6" t="s">
        <v>5067</v>
      </c>
      <c r="I225">
        <v>1982</v>
      </c>
    </row>
    <row r="226" spans="1:9" x14ac:dyDescent="0.3">
      <c r="A226" s="6" t="s">
        <v>202</v>
      </c>
      <c r="B226" s="1" t="s">
        <v>4510</v>
      </c>
      <c r="C226" s="6" t="s">
        <v>1288</v>
      </c>
      <c r="D226" s="6" t="s">
        <v>1354</v>
      </c>
      <c r="E226" s="6" t="s">
        <v>1355</v>
      </c>
      <c r="F226" s="6" t="s">
        <v>5061</v>
      </c>
      <c r="G226" s="6" t="s">
        <v>5065</v>
      </c>
      <c r="H226" s="6" t="s">
        <v>5067</v>
      </c>
      <c r="I226">
        <v>1982</v>
      </c>
    </row>
    <row r="227" spans="1:9" x14ac:dyDescent="0.3">
      <c r="A227" s="6" t="s">
        <v>202</v>
      </c>
      <c r="B227" s="1" t="s">
        <v>4510</v>
      </c>
      <c r="C227" s="6" t="s">
        <v>1288</v>
      </c>
      <c r="D227" s="6" t="s">
        <v>1358</v>
      </c>
      <c r="E227" s="6" t="s">
        <v>1359</v>
      </c>
      <c r="F227" s="6" t="s">
        <v>5062</v>
      </c>
      <c r="G227" s="6" t="s">
        <v>5065</v>
      </c>
      <c r="H227" s="6" t="s">
        <v>5067</v>
      </c>
      <c r="I227">
        <v>1982</v>
      </c>
    </row>
    <row r="228" spans="1:9" x14ac:dyDescent="0.3">
      <c r="A228" s="6" t="s">
        <v>202</v>
      </c>
      <c r="B228" s="1" t="s">
        <v>4510</v>
      </c>
      <c r="C228" s="6" t="s">
        <v>1288</v>
      </c>
      <c r="D228" s="6" t="s">
        <v>1365</v>
      </c>
      <c r="E228" s="6" t="s">
        <v>1366</v>
      </c>
      <c r="F228" s="6" t="s">
        <v>5063</v>
      </c>
      <c r="G228" s="6" t="s">
        <v>5065</v>
      </c>
      <c r="H228" s="6" t="s">
        <v>5067</v>
      </c>
      <c r="I228">
        <v>1982</v>
      </c>
    </row>
    <row r="229" spans="1:9" x14ac:dyDescent="0.3">
      <c r="A229" s="6" t="s">
        <v>202</v>
      </c>
      <c r="B229" s="1" t="s">
        <v>4510</v>
      </c>
      <c r="C229" s="6" t="s">
        <v>1288</v>
      </c>
      <c r="D229" s="6" t="s">
        <v>1369</v>
      </c>
      <c r="E229" s="6" t="s">
        <v>1370</v>
      </c>
      <c r="F229" s="6" t="s">
        <v>5064</v>
      </c>
      <c r="G229" s="6" t="s">
        <v>5065</v>
      </c>
      <c r="H229" s="6" t="s">
        <v>5067</v>
      </c>
      <c r="I229">
        <v>1982</v>
      </c>
    </row>
    <row r="230" spans="1:9" x14ac:dyDescent="0.3">
      <c r="A230" s="6" t="s">
        <v>202</v>
      </c>
      <c r="B230" s="1" t="s">
        <v>4510</v>
      </c>
      <c r="C230" s="6" t="s">
        <v>1288</v>
      </c>
      <c r="D230" s="6" t="s">
        <v>1372</v>
      </c>
      <c r="E230" s="6" t="s">
        <v>1373</v>
      </c>
      <c r="F230" s="6" t="s">
        <v>5061</v>
      </c>
      <c r="G230" s="6" t="s">
        <v>5065</v>
      </c>
      <c r="H230" s="6" t="s">
        <v>5067</v>
      </c>
      <c r="I230">
        <v>1982</v>
      </c>
    </row>
    <row r="231" spans="1:9" x14ac:dyDescent="0.3">
      <c r="A231" s="6" t="s">
        <v>202</v>
      </c>
      <c r="B231" s="1" t="s">
        <v>4510</v>
      </c>
      <c r="C231" s="6" t="s">
        <v>1288</v>
      </c>
      <c r="D231" s="6" t="s">
        <v>1377</v>
      </c>
      <c r="E231" s="6" t="s">
        <v>1378</v>
      </c>
      <c r="F231" s="6" t="s">
        <v>5062</v>
      </c>
      <c r="G231" s="6" t="s">
        <v>5065</v>
      </c>
      <c r="H231" s="6" t="s">
        <v>5067</v>
      </c>
      <c r="I231">
        <v>1982</v>
      </c>
    </row>
    <row r="232" spans="1:9" x14ac:dyDescent="0.3">
      <c r="A232" s="6" t="s">
        <v>202</v>
      </c>
      <c r="B232" s="1" t="s">
        <v>4510</v>
      </c>
      <c r="C232" s="6" t="s">
        <v>1288</v>
      </c>
      <c r="D232" s="6" t="s">
        <v>1381</v>
      </c>
      <c r="E232" s="6" t="s">
        <v>1382</v>
      </c>
      <c r="F232" s="6" t="s">
        <v>5063</v>
      </c>
      <c r="G232" s="6" t="s">
        <v>5065</v>
      </c>
      <c r="H232" s="6" t="s">
        <v>5067</v>
      </c>
      <c r="I232">
        <v>1982</v>
      </c>
    </row>
    <row r="233" spans="1:9" x14ac:dyDescent="0.3">
      <c r="A233" s="6" t="s">
        <v>202</v>
      </c>
      <c r="B233" s="1" t="s">
        <v>4510</v>
      </c>
      <c r="C233" s="6" t="s">
        <v>1288</v>
      </c>
      <c r="D233" s="6" t="s">
        <v>1386</v>
      </c>
      <c r="E233" s="6" t="s">
        <v>1387</v>
      </c>
      <c r="F233" s="6" t="s">
        <v>5064</v>
      </c>
      <c r="G233" s="6" t="s">
        <v>5065</v>
      </c>
      <c r="H233" s="6" t="s">
        <v>5067</v>
      </c>
      <c r="I233">
        <v>1982</v>
      </c>
    </row>
    <row r="234" spans="1:9" x14ac:dyDescent="0.3">
      <c r="A234" s="6" t="s">
        <v>202</v>
      </c>
      <c r="B234" s="1" t="s">
        <v>4510</v>
      </c>
      <c r="C234" s="6" t="s">
        <v>1288</v>
      </c>
      <c r="D234" s="6" t="s">
        <v>1390</v>
      </c>
      <c r="E234" s="6" t="s">
        <v>1391</v>
      </c>
      <c r="F234" s="6" t="s">
        <v>5061</v>
      </c>
      <c r="G234" s="6" t="s">
        <v>5065</v>
      </c>
      <c r="H234" s="6" t="s">
        <v>5067</v>
      </c>
      <c r="I234">
        <v>1982</v>
      </c>
    </row>
    <row r="235" spans="1:9" x14ac:dyDescent="0.3">
      <c r="A235" s="6" t="s">
        <v>202</v>
      </c>
      <c r="B235" s="1" t="s">
        <v>4510</v>
      </c>
      <c r="C235" s="6" t="s">
        <v>1288</v>
      </c>
      <c r="D235" s="6" t="s">
        <v>1394</v>
      </c>
      <c r="E235" s="6" t="s">
        <v>1395</v>
      </c>
      <c r="F235" s="6" t="s">
        <v>5062</v>
      </c>
      <c r="G235" s="6" t="s">
        <v>5065</v>
      </c>
      <c r="H235" s="6" t="s">
        <v>5067</v>
      </c>
      <c r="I235">
        <v>1982</v>
      </c>
    </row>
    <row r="236" spans="1:9" x14ac:dyDescent="0.3">
      <c r="A236" s="6" t="s">
        <v>202</v>
      </c>
      <c r="B236" s="1" t="s">
        <v>4510</v>
      </c>
      <c r="C236" s="6" t="s">
        <v>1288</v>
      </c>
      <c r="D236" s="6" t="s">
        <v>1398</v>
      </c>
      <c r="E236" s="6" t="s">
        <v>1399</v>
      </c>
      <c r="F236" s="6" t="s">
        <v>5063</v>
      </c>
      <c r="G236" s="6" t="s">
        <v>5065</v>
      </c>
      <c r="H236" s="6" t="s">
        <v>5067</v>
      </c>
      <c r="I236">
        <v>1982</v>
      </c>
    </row>
    <row r="237" spans="1:9" x14ac:dyDescent="0.3">
      <c r="A237" s="6" t="s">
        <v>202</v>
      </c>
      <c r="B237" s="1" t="s">
        <v>4510</v>
      </c>
      <c r="C237" s="6" t="s">
        <v>1288</v>
      </c>
      <c r="D237" s="6" t="s">
        <v>1404</v>
      </c>
      <c r="E237" s="6" t="s">
        <v>1405</v>
      </c>
      <c r="F237" s="6" t="s">
        <v>5064</v>
      </c>
      <c r="G237" s="6" t="s">
        <v>5065</v>
      </c>
      <c r="H237" s="6" t="s">
        <v>5067</v>
      </c>
      <c r="I237">
        <v>1982</v>
      </c>
    </row>
    <row r="238" spans="1:9" x14ac:dyDescent="0.3">
      <c r="A238" s="6" t="s">
        <v>202</v>
      </c>
      <c r="B238" s="1" t="s">
        <v>4510</v>
      </c>
      <c r="C238" s="6" t="s">
        <v>1288</v>
      </c>
      <c r="D238" s="6" t="s">
        <v>1410</v>
      </c>
      <c r="E238" s="6" t="s">
        <v>1411</v>
      </c>
      <c r="F238" s="6" t="s">
        <v>5061</v>
      </c>
      <c r="G238" s="6" t="s">
        <v>5065</v>
      </c>
      <c r="H238" s="6" t="s">
        <v>5067</v>
      </c>
      <c r="I238">
        <v>1982</v>
      </c>
    </row>
    <row r="239" spans="1:9" x14ac:dyDescent="0.3">
      <c r="A239" s="6" t="s">
        <v>202</v>
      </c>
      <c r="B239" s="1" t="s">
        <v>4510</v>
      </c>
      <c r="C239" s="6" t="s">
        <v>1288</v>
      </c>
      <c r="D239" s="6" t="s">
        <v>1415</v>
      </c>
      <c r="E239" s="6" t="s">
        <v>1416</v>
      </c>
      <c r="F239" s="6" t="s">
        <v>5062</v>
      </c>
      <c r="G239" s="6" t="s">
        <v>5065</v>
      </c>
      <c r="H239" s="6" t="s">
        <v>5067</v>
      </c>
      <c r="I239">
        <v>1982</v>
      </c>
    </row>
    <row r="240" spans="1:9" x14ac:dyDescent="0.3">
      <c r="A240" s="6" t="s">
        <v>202</v>
      </c>
      <c r="B240" s="1" t="s">
        <v>4510</v>
      </c>
      <c r="C240" s="6" t="s">
        <v>1288</v>
      </c>
      <c r="D240" s="6" t="s">
        <v>1419</v>
      </c>
      <c r="E240" s="6" t="s">
        <v>1420</v>
      </c>
      <c r="F240" s="6" t="s">
        <v>5063</v>
      </c>
      <c r="G240" s="6" t="s">
        <v>5065</v>
      </c>
      <c r="H240" s="6" t="s">
        <v>5067</v>
      </c>
      <c r="I240">
        <v>1982</v>
      </c>
    </row>
    <row r="241" spans="1:9" x14ac:dyDescent="0.3">
      <c r="A241" s="6" t="s">
        <v>202</v>
      </c>
      <c r="B241" s="1" t="s">
        <v>4510</v>
      </c>
      <c r="C241" s="6" t="s">
        <v>1288</v>
      </c>
      <c r="D241" s="6" t="s">
        <v>1423</v>
      </c>
      <c r="E241" s="6" t="s">
        <v>1424</v>
      </c>
      <c r="F241" s="6" t="s">
        <v>5064</v>
      </c>
      <c r="G241" s="6" t="s">
        <v>5065</v>
      </c>
      <c r="H241" s="6" t="s">
        <v>5067</v>
      </c>
      <c r="I241">
        <v>1982</v>
      </c>
    </row>
    <row r="242" spans="1:9" x14ac:dyDescent="0.3">
      <c r="A242" s="6" t="s">
        <v>202</v>
      </c>
      <c r="B242" s="1" t="s">
        <v>4510</v>
      </c>
      <c r="C242" s="6" t="s">
        <v>1288</v>
      </c>
      <c r="D242" s="6" t="s">
        <v>1427</v>
      </c>
      <c r="E242" s="6" t="s">
        <v>1428</v>
      </c>
      <c r="F242" s="6" t="s">
        <v>5061</v>
      </c>
      <c r="G242" s="6" t="s">
        <v>5065</v>
      </c>
      <c r="H242" s="6" t="s">
        <v>5067</v>
      </c>
      <c r="I242">
        <v>1982</v>
      </c>
    </row>
    <row r="243" spans="1:9" x14ac:dyDescent="0.3">
      <c r="A243" s="6" t="s">
        <v>202</v>
      </c>
      <c r="B243" s="1" t="s">
        <v>4510</v>
      </c>
      <c r="C243" s="6" t="s">
        <v>1288</v>
      </c>
      <c r="D243" s="6" t="s">
        <v>1430</v>
      </c>
      <c r="E243" s="6" t="s">
        <v>1431</v>
      </c>
      <c r="F243" s="6" t="s">
        <v>5062</v>
      </c>
      <c r="G243" s="6" t="s">
        <v>5065</v>
      </c>
      <c r="H243" s="6" t="s">
        <v>5067</v>
      </c>
      <c r="I243">
        <v>1982</v>
      </c>
    </row>
    <row r="244" spans="1:9" x14ac:dyDescent="0.3">
      <c r="A244" s="6" t="s">
        <v>202</v>
      </c>
      <c r="B244" s="1" t="s">
        <v>4510</v>
      </c>
      <c r="C244" s="6" t="s">
        <v>1288</v>
      </c>
      <c r="D244" s="6" t="s">
        <v>1436</v>
      </c>
      <c r="E244" s="6" t="s">
        <v>1437</v>
      </c>
      <c r="F244" s="6" t="s">
        <v>5063</v>
      </c>
      <c r="G244" s="6" t="s">
        <v>5065</v>
      </c>
      <c r="H244" s="6" t="s">
        <v>5067</v>
      </c>
      <c r="I244">
        <v>1982</v>
      </c>
    </row>
    <row r="245" spans="1:9" x14ac:dyDescent="0.3">
      <c r="A245" s="6" t="s">
        <v>202</v>
      </c>
      <c r="B245" s="1" t="s">
        <v>4510</v>
      </c>
      <c r="C245" s="6" t="s">
        <v>1288</v>
      </c>
      <c r="D245" s="6" t="s">
        <v>1441</v>
      </c>
      <c r="E245" s="6" t="s">
        <v>1442</v>
      </c>
      <c r="F245" s="6" t="s">
        <v>5064</v>
      </c>
      <c r="G245" s="6" t="s">
        <v>5065</v>
      </c>
      <c r="H245" s="6" t="s">
        <v>5067</v>
      </c>
      <c r="I245">
        <v>1982</v>
      </c>
    </row>
    <row r="246" spans="1:9" x14ac:dyDescent="0.3">
      <c r="A246" s="6" t="s">
        <v>202</v>
      </c>
      <c r="B246" s="1" t="s">
        <v>4510</v>
      </c>
      <c r="C246" s="6" t="s">
        <v>1288</v>
      </c>
      <c r="D246" s="6" t="s">
        <v>1445</v>
      </c>
      <c r="E246" s="6" t="s">
        <v>1446</v>
      </c>
      <c r="F246" s="6" t="s">
        <v>5061</v>
      </c>
      <c r="G246" s="6" t="s">
        <v>5065</v>
      </c>
      <c r="H246" s="6" t="s">
        <v>5067</v>
      </c>
      <c r="I246">
        <v>1982</v>
      </c>
    </row>
    <row r="247" spans="1:9" x14ac:dyDescent="0.3">
      <c r="A247" s="6" t="s">
        <v>202</v>
      </c>
      <c r="B247" s="1" t="s">
        <v>4510</v>
      </c>
      <c r="C247" s="6" t="s">
        <v>1288</v>
      </c>
      <c r="D247" s="6" t="s">
        <v>1450</v>
      </c>
      <c r="E247" s="6" t="s">
        <v>1451</v>
      </c>
      <c r="F247" s="6" t="s">
        <v>5062</v>
      </c>
      <c r="G247" s="6" t="s">
        <v>5065</v>
      </c>
      <c r="H247" s="6" t="s">
        <v>5067</v>
      </c>
      <c r="I247">
        <v>1982</v>
      </c>
    </row>
    <row r="248" spans="1:9" x14ac:dyDescent="0.3">
      <c r="A248" s="6" t="s">
        <v>202</v>
      </c>
      <c r="B248" s="1" t="s">
        <v>4510</v>
      </c>
      <c r="C248" s="6" t="s">
        <v>1288</v>
      </c>
      <c r="D248" s="6" t="s">
        <v>1454</v>
      </c>
      <c r="E248" s="6" t="s">
        <v>1455</v>
      </c>
      <c r="F248" s="6" t="s">
        <v>5063</v>
      </c>
      <c r="G248" s="6" t="s">
        <v>5065</v>
      </c>
      <c r="H248" s="6" t="s">
        <v>5067</v>
      </c>
      <c r="I248">
        <v>1982</v>
      </c>
    </row>
    <row r="249" spans="1:9" x14ac:dyDescent="0.3">
      <c r="A249" s="6" t="s">
        <v>202</v>
      </c>
      <c r="B249" s="1" t="s">
        <v>4510</v>
      </c>
      <c r="C249" s="6" t="s">
        <v>1288</v>
      </c>
      <c r="D249" s="6" t="s">
        <v>1459</v>
      </c>
      <c r="E249" s="6" t="s">
        <v>1460</v>
      </c>
      <c r="F249" s="6" t="s">
        <v>5064</v>
      </c>
      <c r="G249" s="6" t="s">
        <v>5065</v>
      </c>
      <c r="H249" s="6" t="s">
        <v>5067</v>
      </c>
      <c r="I249">
        <v>1982</v>
      </c>
    </row>
    <row r="250" spans="1:9" x14ac:dyDescent="0.3">
      <c r="A250" s="6" t="s">
        <v>202</v>
      </c>
      <c r="B250" s="1" t="s">
        <v>4510</v>
      </c>
      <c r="C250" s="6" t="s">
        <v>1288</v>
      </c>
      <c r="D250" s="6" t="s">
        <v>1464</v>
      </c>
      <c r="E250" s="6" t="s">
        <v>1465</v>
      </c>
      <c r="F250" s="6" t="s">
        <v>5061</v>
      </c>
      <c r="G250" s="6" t="s">
        <v>5065</v>
      </c>
      <c r="H250" s="6" t="s">
        <v>5067</v>
      </c>
      <c r="I250">
        <v>1982</v>
      </c>
    </row>
    <row r="251" spans="1:9" x14ac:dyDescent="0.3">
      <c r="A251" s="6" t="s">
        <v>202</v>
      </c>
      <c r="B251" s="1" t="s">
        <v>4510</v>
      </c>
      <c r="C251" s="6" t="s">
        <v>1288</v>
      </c>
      <c r="D251" s="6" t="s">
        <v>1469</v>
      </c>
      <c r="E251" s="6" t="s">
        <v>1470</v>
      </c>
      <c r="F251" s="6" t="s">
        <v>5062</v>
      </c>
      <c r="G251" s="6" t="s">
        <v>5065</v>
      </c>
      <c r="H251" s="6" t="s">
        <v>5067</v>
      </c>
      <c r="I251">
        <v>1982</v>
      </c>
    </row>
    <row r="252" spans="1:9" x14ac:dyDescent="0.3">
      <c r="A252" s="6" t="s">
        <v>202</v>
      </c>
      <c r="B252" s="1" t="s">
        <v>4510</v>
      </c>
      <c r="C252" s="6" t="s">
        <v>1472</v>
      </c>
      <c r="D252" s="6" t="s">
        <v>1473</v>
      </c>
      <c r="E252" s="6" t="s">
        <v>1475</v>
      </c>
      <c r="F252" s="6" t="s">
        <v>5063</v>
      </c>
      <c r="G252" s="6" t="s">
        <v>5065</v>
      </c>
      <c r="H252" s="6" t="s">
        <v>5067</v>
      </c>
      <c r="I252">
        <v>1982</v>
      </c>
    </row>
    <row r="253" spans="1:9" x14ac:dyDescent="0.3">
      <c r="A253" s="6" t="s">
        <v>202</v>
      </c>
      <c r="B253" s="1" t="s">
        <v>4510</v>
      </c>
      <c r="C253" s="6" t="s">
        <v>1472</v>
      </c>
      <c r="D253" s="6" t="s">
        <v>1481</v>
      </c>
      <c r="E253" s="6" t="s">
        <v>1482</v>
      </c>
      <c r="F253" s="6" t="s">
        <v>5064</v>
      </c>
      <c r="G253" s="6" t="s">
        <v>5065</v>
      </c>
      <c r="H253" s="6" t="s">
        <v>5067</v>
      </c>
      <c r="I253">
        <v>1982</v>
      </c>
    </row>
    <row r="254" spans="1:9" x14ac:dyDescent="0.3">
      <c r="A254" s="6" t="s">
        <v>202</v>
      </c>
      <c r="B254" s="1" t="s">
        <v>4510</v>
      </c>
      <c r="C254" s="6" t="s">
        <v>1472</v>
      </c>
      <c r="D254" s="6" t="s">
        <v>1486</v>
      </c>
      <c r="E254" s="6" t="s">
        <v>1487</v>
      </c>
      <c r="F254" s="6" t="s">
        <v>5061</v>
      </c>
      <c r="G254" s="6" t="s">
        <v>5065</v>
      </c>
      <c r="H254" s="6" t="s">
        <v>5067</v>
      </c>
      <c r="I254">
        <v>1982</v>
      </c>
    </row>
    <row r="255" spans="1:9" x14ac:dyDescent="0.3">
      <c r="A255" s="6" t="s">
        <v>202</v>
      </c>
      <c r="B255" s="1" t="s">
        <v>4510</v>
      </c>
      <c r="C255" s="6" t="s">
        <v>1472</v>
      </c>
      <c r="D255" s="6" t="s">
        <v>1490</v>
      </c>
      <c r="E255" s="6" t="s">
        <v>1491</v>
      </c>
      <c r="F255" s="6" t="s">
        <v>5062</v>
      </c>
      <c r="G255" s="6" t="s">
        <v>5065</v>
      </c>
      <c r="H255" s="6" t="s">
        <v>5067</v>
      </c>
      <c r="I255">
        <v>1982</v>
      </c>
    </row>
    <row r="256" spans="1:9" x14ac:dyDescent="0.3">
      <c r="A256" s="6" t="s">
        <v>202</v>
      </c>
      <c r="B256" s="1" t="s">
        <v>4510</v>
      </c>
      <c r="C256" s="6" t="s">
        <v>1472</v>
      </c>
      <c r="D256" s="6" t="s">
        <v>1494</v>
      </c>
      <c r="E256" s="6" t="s">
        <v>1495</v>
      </c>
      <c r="F256" s="6" t="s">
        <v>5063</v>
      </c>
      <c r="G256" s="6" t="s">
        <v>5065</v>
      </c>
      <c r="H256" s="6" t="s">
        <v>5067</v>
      </c>
      <c r="I256">
        <v>1982</v>
      </c>
    </row>
    <row r="257" spans="1:9" x14ac:dyDescent="0.3">
      <c r="A257" s="6" t="s">
        <v>202</v>
      </c>
      <c r="B257" s="1" t="s">
        <v>4510</v>
      </c>
      <c r="C257" s="6" t="s">
        <v>1472</v>
      </c>
      <c r="D257" s="6" t="s">
        <v>1497</v>
      </c>
      <c r="E257" s="6" t="s">
        <v>1498</v>
      </c>
      <c r="F257" s="6" t="s">
        <v>5064</v>
      </c>
      <c r="G257" s="6" t="s">
        <v>5065</v>
      </c>
      <c r="H257" s="6" t="s">
        <v>5067</v>
      </c>
      <c r="I257">
        <v>1982</v>
      </c>
    </row>
    <row r="258" spans="1:9" x14ac:dyDescent="0.3">
      <c r="A258" s="6" t="s">
        <v>202</v>
      </c>
      <c r="B258" s="1" t="s">
        <v>4510</v>
      </c>
      <c r="C258" s="6" t="s">
        <v>1472</v>
      </c>
      <c r="D258" s="6" t="s">
        <v>1502</v>
      </c>
      <c r="E258" s="6" t="s">
        <v>1503</v>
      </c>
      <c r="F258" s="6" t="s">
        <v>5061</v>
      </c>
      <c r="G258" s="6" t="s">
        <v>5065</v>
      </c>
      <c r="H258" s="6" t="s">
        <v>5067</v>
      </c>
      <c r="I258">
        <v>1982</v>
      </c>
    </row>
    <row r="259" spans="1:9" x14ac:dyDescent="0.3">
      <c r="A259" s="6" t="s">
        <v>202</v>
      </c>
      <c r="B259" s="1" t="s">
        <v>4510</v>
      </c>
      <c r="C259" s="6" t="s">
        <v>1472</v>
      </c>
      <c r="D259" s="6" t="s">
        <v>1507</v>
      </c>
      <c r="E259" s="6" t="s">
        <v>1508</v>
      </c>
      <c r="F259" s="6" t="s">
        <v>5062</v>
      </c>
      <c r="G259" s="6" t="s">
        <v>5065</v>
      </c>
      <c r="H259" s="6" t="s">
        <v>5067</v>
      </c>
      <c r="I259">
        <v>1982</v>
      </c>
    </row>
    <row r="260" spans="1:9" x14ac:dyDescent="0.3">
      <c r="A260" s="6" t="s">
        <v>202</v>
      </c>
      <c r="B260" s="1" t="s">
        <v>4510</v>
      </c>
      <c r="C260" s="6" t="s">
        <v>1472</v>
      </c>
      <c r="D260" s="6" t="s">
        <v>1512</v>
      </c>
      <c r="E260" s="6" t="s">
        <v>1513</v>
      </c>
      <c r="F260" s="6" t="s">
        <v>5063</v>
      </c>
      <c r="G260" s="6" t="s">
        <v>5065</v>
      </c>
      <c r="H260" s="6" t="s">
        <v>5067</v>
      </c>
      <c r="I260">
        <v>1982</v>
      </c>
    </row>
    <row r="261" spans="1:9" x14ac:dyDescent="0.3">
      <c r="A261" s="6" t="s">
        <v>202</v>
      </c>
      <c r="B261" s="1" t="s">
        <v>4510</v>
      </c>
      <c r="C261" s="6" t="s">
        <v>1472</v>
      </c>
      <c r="D261" s="6" t="s">
        <v>1517</v>
      </c>
      <c r="E261" s="6" t="s">
        <v>1518</v>
      </c>
      <c r="F261" s="6" t="s">
        <v>5064</v>
      </c>
      <c r="G261" s="6" t="s">
        <v>5065</v>
      </c>
      <c r="H261" s="6" t="s">
        <v>5067</v>
      </c>
      <c r="I261">
        <v>1982</v>
      </c>
    </row>
    <row r="262" spans="1:9" x14ac:dyDescent="0.3">
      <c r="A262" s="6" t="s">
        <v>202</v>
      </c>
      <c r="B262" s="1" t="s">
        <v>4510</v>
      </c>
      <c r="C262" s="6" t="s">
        <v>1472</v>
      </c>
      <c r="D262" s="6" t="s">
        <v>1521</v>
      </c>
      <c r="E262" s="6" t="s">
        <v>1522</v>
      </c>
      <c r="F262" s="6" t="s">
        <v>5061</v>
      </c>
      <c r="G262" s="6" t="s">
        <v>5065</v>
      </c>
      <c r="H262" s="6" t="s">
        <v>5067</v>
      </c>
      <c r="I262">
        <v>1982</v>
      </c>
    </row>
    <row r="263" spans="1:9" x14ac:dyDescent="0.3">
      <c r="A263" s="6" t="s">
        <v>202</v>
      </c>
      <c r="B263" s="1" t="s">
        <v>4510</v>
      </c>
      <c r="C263" s="6" t="s">
        <v>1472</v>
      </c>
      <c r="D263" s="6" t="s">
        <v>1527</v>
      </c>
      <c r="E263" s="6" t="s">
        <v>1528</v>
      </c>
      <c r="F263" s="6" t="s">
        <v>5062</v>
      </c>
      <c r="G263" s="6" t="s">
        <v>5065</v>
      </c>
      <c r="H263" s="6" t="s">
        <v>5067</v>
      </c>
      <c r="I263">
        <v>1982</v>
      </c>
    </row>
    <row r="264" spans="1:9" x14ac:dyDescent="0.3">
      <c r="A264" s="6" t="s">
        <v>202</v>
      </c>
      <c r="B264" s="1" t="s">
        <v>4510</v>
      </c>
      <c r="C264" s="6" t="s">
        <v>1472</v>
      </c>
      <c r="D264" s="6" t="s">
        <v>1530</v>
      </c>
      <c r="E264" s="6" t="s">
        <v>1531</v>
      </c>
      <c r="F264" s="6" t="s">
        <v>5063</v>
      </c>
      <c r="G264" s="6" t="s">
        <v>5065</v>
      </c>
      <c r="H264" s="6" t="s">
        <v>5067</v>
      </c>
      <c r="I264">
        <v>1982</v>
      </c>
    </row>
    <row r="265" spans="1:9" x14ac:dyDescent="0.3">
      <c r="A265" s="6" t="s">
        <v>202</v>
      </c>
      <c r="B265" s="1" t="s">
        <v>4510</v>
      </c>
      <c r="C265" s="6" t="s">
        <v>1472</v>
      </c>
      <c r="D265" s="6" t="s">
        <v>1535</v>
      </c>
      <c r="E265" s="6" t="s">
        <v>1536</v>
      </c>
      <c r="F265" s="6" t="s">
        <v>5064</v>
      </c>
      <c r="G265" s="6" t="s">
        <v>5065</v>
      </c>
      <c r="H265" s="6" t="s">
        <v>5067</v>
      </c>
      <c r="I265">
        <v>1982</v>
      </c>
    </row>
    <row r="266" spans="1:9" x14ac:dyDescent="0.3">
      <c r="A266" s="6" t="s">
        <v>202</v>
      </c>
      <c r="B266" s="1" t="s">
        <v>4510</v>
      </c>
      <c r="C266" s="6" t="s">
        <v>1472</v>
      </c>
      <c r="D266" s="6" t="s">
        <v>1540</v>
      </c>
      <c r="E266" s="6" t="s">
        <v>1541</v>
      </c>
      <c r="F266" s="6" t="s">
        <v>5061</v>
      </c>
      <c r="G266" s="6" t="s">
        <v>5065</v>
      </c>
      <c r="H266" s="6" t="s">
        <v>5067</v>
      </c>
      <c r="I266">
        <v>1982</v>
      </c>
    </row>
    <row r="267" spans="1:9" x14ac:dyDescent="0.3">
      <c r="A267" s="6" t="s">
        <v>202</v>
      </c>
      <c r="B267" s="1" t="s">
        <v>4510</v>
      </c>
      <c r="C267" s="6" t="s">
        <v>1472</v>
      </c>
      <c r="D267" s="6" t="s">
        <v>1544</v>
      </c>
      <c r="E267" s="6" t="s">
        <v>1545</v>
      </c>
      <c r="F267" s="6" t="s">
        <v>5062</v>
      </c>
      <c r="G267" s="6" t="s">
        <v>5065</v>
      </c>
      <c r="H267" s="6" t="s">
        <v>5067</v>
      </c>
      <c r="I267">
        <v>1982</v>
      </c>
    </row>
    <row r="268" spans="1:9" x14ac:dyDescent="0.3">
      <c r="A268" s="6" t="s">
        <v>202</v>
      </c>
      <c r="B268" s="1" t="s">
        <v>4510</v>
      </c>
      <c r="C268" s="6" t="s">
        <v>1472</v>
      </c>
      <c r="D268" s="6" t="s">
        <v>1550</v>
      </c>
      <c r="E268" s="6" t="s">
        <v>1551</v>
      </c>
      <c r="F268" s="6" t="s">
        <v>5063</v>
      </c>
      <c r="G268" s="6" t="s">
        <v>5065</v>
      </c>
      <c r="H268" s="6" t="s">
        <v>5067</v>
      </c>
      <c r="I268">
        <v>1982</v>
      </c>
    </row>
    <row r="269" spans="1:9" x14ac:dyDescent="0.3">
      <c r="A269" s="6" t="s">
        <v>202</v>
      </c>
      <c r="B269" s="1" t="s">
        <v>4510</v>
      </c>
      <c r="C269" s="6" t="s">
        <v>1472</v>
      </c>
      <c r="D269" s="6" t="s">
        <v>1554</v>
      </c>
      <c r="E269" s="6" t="s">
        <v>1555</v>
      </c>
      <c r="F269" s="6" t="s">
        <v>5064</v>
      </c>
      <c r="G269" s="6" t="s">
        <v>5065</v>
      </c>
      <c r="H269" s="6" t="s">
        <v>5067</v>
      </c>
      <c r="I269">
        <v>1982</v>
      </c>
    </row>
    <row r="270" spans="1:9" x14ac:dyDescent="0.3">
      <c r="A270" s="6" t="s">
        <v>202</v>
      </c>
      <c r="B270" s="1" t="s">
        <v>4510</v>
      </c>
      <c r="C270" s="6" t="s">
        <v>1472</v>
      </c>
      <c r="D270" s="6" t="s">
        <v>1558</v>
      </c>
      <c r="E270" s="6" t="s">
        <v>1559</v>
      </c>
      <c r="F270" s="6" t="s">
        <v>5061</v>
      </c>
      <c r="G270" s="6" t="s">
        <v>5065</v>
      </c>
      <c r="H270" s="6" t="s">
        <v>5067</v>
      </c>
      <c r="I270">
        <v>1982</v>
      </c>
    </row>
    <row r="271" spans="1:9" x14ac:dyDescent="0.3">
      <c r="A271" s="6" t="s">
        <v>202</v>
      </c>
      <c r="B271" s="1" t="s">
        <v>4510</v>
      </c>
      <c r="C271" s="6" t="s">
        <v>1472</v>
      </c>
      <c r="D271" s="6" t="s">
        <v>1560</v>
      </c>
      <c r="E271" s="6" t="s">
        <v>1561</v>
      </c>
      <c r="F271" s="6" t="s">
        <v>5062</v>
      </c>
      <c r="G271" s="6" t="s">
        <v>5065</v>
      </c>
      <c r="H271" s="6" t="s">
        <v>5067</v>
      </c>
      <c r="I271">
        <v>1982</v>
      </c>
    </row>
    <row r="272" spans="1:9" x14ac:dyDescent="0.3">
      <c r="A272" s="6" t="s">
        <v>202</v>
      </c>
      <c r="B272" s="1" t="s">
        <v>4510</v>
      </c>
      <c r="C272" s="6" t="s">
        <v>1564</v>
      </c>
      <c r="D272" s="6" t="s">
        <v>1565</v>
      </c>
      <c r="E272" s="6" t="s">
        <v>1567</v>
      </c>
      <c r="F272" s="6" t="s">
        <v>5063</v>
      </c>
      <c r="G272" s="6" t="s">
        <v>5065</v>
      </c>
      <c r="H272" s="6" t="s">
        <v>5067</v>
      </c>
      <c r="I272">
        <v>1982</v>
      </c>
    </row>
    <row r="273" spans="1:9" x14ac:dyDescent="0.3">
      <c r="A273" s="6" t="s">
        <v>202</v>
      </c>
      <c r="B273" s="1" t="s">
        <v>4510</v>
      </c>
      <c r="C273" s="6" t="s">
        <v>1564</v>
      </c>
      <c r="D273" s="6" t="s">
        <v>1571</v>
      </c>
      <c r="E273" s="6" t="s">
        <v>1572</v>
      </c>
      <c r="F273" s="6" t="s">
        <v>5064</v>
      </c>
      <c r="G273" s="6" t="s">
        <v>5065</v>
      </c>
      <c r="H273" s="6" t="s">
        <v>5067</v>
      </c>
      <c r="I273">
        <v>1982</v>
      </c>
    </row>
    <row r="274" spans="1:9" x14ac:dyDescent="0.3">
      <c r="A274" s="6" t="s">
        <v>202</v>
      </c>
      <c r="B274" s="1" t="s">
        <v>4510</v>
      </c>
      <c r="C274" s="6" t="s">
        <v>1564</v>
      </c>
      <c r="D274" s="6" t="s">
        <v>1576</v>
      </c>
      <c r="E274" s="6" t="s">
        <v>1577</v>
      </c>
      <c r="F274" s="6" t="s">
        <v>5061</v>
      </c>
      <c r="G274" s="6" t="s">
        <v>5065</v>
      </c>
      <c r="H274" s="6" t="s">
        <v>5067</v>
      </c>
      <c r="I274">
        <v>1982</v>
      </c>
    </row>
    <row r="275" spans="1:9" x14ac:dyDescent="0.3">
      <c r="A275" s="6" t="s">
        <v>202</v>
      </c>
      <c r="B275" s="1" t="s">
        <v>4510</v>
      </c>
      <c r="C275" s="6" t="s">
        <v>1564</v>
      </c>
      <c r="D275" s="6" t="s">
        <v>1581</v>
      </c>
      <c r="E275" s="6" t="s">
        <v>1582</v>
      </c>
      <c r="F275" s="6" t="s">
        <v>5062</v>
      </c>
      <c r="G275" s="6" t="s">
        <v>5065</v>
      </c>
      <c r="H275" s="6" t="s">
        <v>5067</v>
      </c>
      <c r="I275">
        <v>1982</v>
      </c>
    </row>
    <row r="276" spans="1:9" x14ac:dyDescent="0.3">
      <c r="A276" s="6" t="s">
        <v>202</v>
      </c>
      <c r="B276" s="1" t="s">
        <v>4510</v>
      </c>
      <c r="C276" s="6" t="s">
        <v>1564</v>
      </c>
      <c r="D276" s="6" t="s">
        <v>1585</v>
      </c>
      <c r="E276" s="6" t="s">
        <v>1586</v>
      </c>
      <c r="F276" s="6" t="s">
        <v>5063</v>
      </c>
      <c r="G276" s="6" t="s">
        <v>5065</v>
      </c>
      <c r="H276" s="6" t="s">
        <v>5067</v>
      </c>
      <c r="I276">
        <v>1982</v>
      </c>
    </row>
    <row r="277" spans="1:9" x14ac:dyDescent="0.3">
      <c r="A277" s="6" t="s">
        <v>202</v>
      </c>
      <c r="B277" s="1" t="s">
        <v>4510</v>
      </c>
      <c r="C277" s="6" t="s">
        <v>1564</v>
      </c>
      <c r="D277" s="6" t="s">
        <v>1589</v>
      </c>
      <c r="E277" s="6" t="s">
        <v>1590</v>
      </c>
      <c r="F277" s="6" t="s">
        <v>5064</v>
      </c>
      <c r="G277" s="6" t="s">
        <v>5065</v>
      </c>
      <c r="H277" s="6" t="s">
        <v>5067</v>
      </c>
      <c r="I277">
        <v>1982</v>
      </c>
    </row>
    <row r="278" spans="1:9" x14ac:dyDescent="0.3">
      <c r="A278" s="6" t="s">
        <v>202</v>
      </c>
      <c r="B278" s="1" t="s">
        <v>4510</v>
      </c>
      <c r="C278" s="6" t="s">
        <v>1564</v>
      </c>
      <c r="D278" s="6" t="s">
        <v>1593</v>
      </c>
      <c r="E278" s="6" t="s">
        <v>1594</v>
      </c>
      <c r="F278" s="6" t="s">
        <v>5061</v>
      </c>
      <c r="G278" s="6" t="s">
        <v>5065</v>
      </c>
      <c r="H278" s="6" t="s">
        <v>5067</v>
      </c>
      <c r="I278">
        <v>1982</v>
      </c>
    </row>
    <row r="279" spans="1:9" x14ac:dyDescent="0.3">
      <c r="A279" s="6" t="s">
        <v>202</v>
      </c>
      <c r="B279" s="1" t="s">
        <v>4510</v>
      </c>
      <c r="C279" s="6" t="s">
        <v>1564</v>
      </c>
      <c r="D279" s="6" t="s">
        <v>1597</v>
      </c>
      <c r="E279" s="6" t="s">
        <v>1598</v>
      </c>
      <c r="F279" s="6" t="s">
        <v>5062</v>
      </c>
      <c r="G279" s="6" t="s">
        <v>5065</v>
      </c>
      <c r="H279" s="6" t="s">
        <v>5067</v>
      </c>
      <c r="I279">
        <v>1982</v>
      </c>
    </row>
    <row r="280" spans="1:9" x14ac:dyDescent="0.3">
      <c r="A280" s="6" t="s">
        <v>202</v>
      </c>
      <c r="B280" s="1" t="s">
        <v>4510</v>
      </c>
      <c r="C280" s="6" t="s">
        <v>1564</v>
      </c>
      <c r="D280" s="6" t="s">
        <v>1602</v>
      </c>
      <c r="E280" s="6" t="s">
        <v>1603</v>
      </c>
      <c r="F280" s="6" t="s">
        <v>5063</v>
      </c>
      <c r="G280" s="6" t="s">
        <v>5065</v>
      </c>
      <c r="H280" s="6" t="s">
        <v>5067</v>
      </c>
      <c r="I280">
        <v>1982</v>
      </c>
    </row>
    <row r="281" spans="1:9" x14ac:dyDescent="0.3">
      <c r="A281" s="6" t="s">
        <v>202</v>
      </c>
      <c r="B281" s="1" t="s">
        <v>4510</v>
      </c>
      <c r="C281" s="6" t="s">
        <v>1564</v>
      </c>
      <c r="D281" s="6" t="s">
        <v>1605</v>
      </c>
      <c r="E281" s="6" t="s">
        <v>1606</v>
      </c>
      <c r="F281" s="6" t="s">
        <v>5064</v>
      </c>
      <c r="G281" s="6" t="s">
        <v>5065</v>
      </c>
      <c r="H281" s="6" t="s">
        <v>5067</v>
      </c>
      <c r="I281">
        <v>1982</v>
      </c>
    </row>
    <row r="282" spans="1:9" x14ac:dyDescent="0.3">
      <c r="A282" s="6" t="s">
        <v>202</v>
      </c>
      <c r="B282" s="1" t="s">
        <v>4510</v>
      </c>
      <c r="C282" s="6" t="s">
        <v>1564</v>
      </c>
      <c r="D282" s="6" t="s">
        <v>1610</v>
      </c>
      <c r="E282" s="6" t="s">
        <v>1611</v>
      </c>
      <c r="F282" s="6" t="s">
        <v>5061</v>
      </c>
      <c r="G282" s="6" t="s">
        <v>5065</v>
      </c>
      <c r="H282" s="6" t="s">
        <v>5067</v>
      </c>
      <c r="I282">
        <v>1982</v>
      </c>
    </row>
    <row r="283" spans="1:9" x14ac:dyDescent="0.3">
      <c r="A283" s="6" t="s">
        <v>202</v>
      </c>
      <c r="B283" s="1" t="s">
        <v>4510</v>
      </c>
      <c r="C283" s="6" t="s">
        <v>1564</v>
      </c>
      <c r="D283" s="6" t="s">
        <v>1614</v>
      </c>
      <c r="E283" s="6" t="s">
        <v>1615</v>
      </c>
      <c r="F283" s="6" t="s">
        <v>5062</v>
      </c>
      <c r="G283" s="6" t="s">
        <v>5065</v>
      </c>
      <c r="H283" s="6" t="s">
        <v>5067</v>
      </c>
      <c r="I283">
        <v>1982</v>
      </c>
    </row>
    <row r="284" spans="1:9" x14ac:dyDescent="0.3">
      <c r="A284" s="6" t="s">
        <v>202</v>
      </c>
      <c r="B284" s="1" t="s">
        <v>4510</v>
      </c>
      <c r="C284" s="6" t="s">
        <v>1564</v>
      </c>
      <c r="D284" s="6" t="s">
        <v>1617</v>
      </c>
      <c r="E284" s="6" t="s">
        <v>1618</v>
      </c>
      <c r="F284" s="6" t="s">
        <v>5063</v>
      </c>
      <c r="G284" s="6" t="s">
        <v>5065</v>
      </c>
      <c r="H284" s="6" t="s">
        <v>5067</v>
      </c>
      <c r="I284">
        <v>1982</v>
      </c>
    </row>
    <row r="285" spans="1:9" x14ac:dyDescent="0.3">
      <c r="A285" s="6" t="s">
        <v>202</v>
      </c>
      <c r="B285" s="1" t="s">
        <v>4510</v>
      </c>
      <c r="C285" s="6" t="s">
        <v>1564</v>
      </c>
      <c r="D285" s="6" t="s">
        <v>1623</v>
      </c>
      <c r="E285" s="6" t="s">
        <v>1624</v>
      </c>
      <c r="F285" s="6" t="s">
        <v>5064</v>
      </c>
      <c r="G285" s="6" t="s">
        <v>5065</v>
      </c>
      <c r="H285" s="6" t="s">
        <v>5067</v>
      </c>
      <c r="I285">
        <v>1982</v>
      </c>
    </row>
    <row r="286" spans="1:9" x14ac:dyDescent="0.3">
      <c r="A286" s="6" t="s">
        <v>202</v>
      </c>
      <c r="B286" s="1" t="s">
        <v>4510</v>
      </c>
      <c r="C286" s="6" t="s">
        <v>1564</v>
      </c>
      <c r="D286" s="6" t="s">
        <v>1626</v>
      </c>
      <c r="E286" s="6" t="s">
        <v>1627</v>
      </c>
      <c r="F286" s="6" t="s">
        <v>5061</v>
      </c>
      <c r="G286" s="6" t="s">
        <v>5065</v>
      </c>
      <c r="H286" s="6" t="s">
        <v>5067</v>
      </c>
      <c r="I286">
        <v>1982</v>
      </c>
    </row>
    <row r="287" spans="1:9" x14ac:dyDescent="0.3">
      <c r="A287" s="6" t="s">
        <v>202</v>
      </c>
      <c r="B287" s="1" t="s">
        <v>4510</v>
      </c>
      <c r="C287" s="6" t="s">
        <v>1564</v>
      </c>
      <c r="D287" s="6" t="s">
        <v>1630</v>
      </c>
      <c r="E287" s="6" t="s">
        <v>1631</v>
      </c>
      <c r="F287" s="6" t="s">
        <v>5062</v>
      </c>
      <c r="G287" s="6" t="s">
        <v>5065</v>
      </c>
      <c r="H287" s="6" t="s">
        <v>5067</v>
      </c>
      <c r="I287">
        <v>1982</v>
      </c>
    </row>
    <row r="288" spans="1:9" x14ac:dyDescent="0.3">
      <c r="A288" s="6" t="s">
        <v>202</v>
      </c>
      <c r="B288" s="1" t="s">
        <v>4510</v>
      </c>
      <c r="C288" s="6" t="s">
        <v>1564</v>
      </c>
      <c r="D288" s="6" t="s">
        <v>1636</v>
      </c>
      <c r="E288" s="6" t="s">
        <v>1637</v>
      </c>
      <c r="F288" s="6" t="s">
        <v>5063</v>
      </c>
      <c r="G288" s="6" t="s">
        <v>5065</v>
      </c>
      <c r="H288" s="6" t="s">
        <v>5067</v>
      </c>
      <c r="I288">
        <v>1982</v>
      </c>
    </row>
    <row r="289" spans="1:9" x14ac:dyDescent="0.3">
      <c r="A289" s="6" t="s">
        <v>202</v>
      </c>
      <c r="B289" s="1" t="s">
        <v>4510</v>
      </c>
      <c r="C289" s="6" t="s">
        <v>1564</v>
      </c>
      <c r="D289" s="6" t="s">
        <v>1641</v>
      </c>
      <c r="E289" s="6" t="s">
        <v>1642</v>
      </c>
      <c r="F289" s="6" t="s">
        <v>5064</v>
      </c>
      <c r="G289" s="6" t="s">
        <v>5065</v>
      </c>
      <c r="H289" s="6" t="s">
        <v>5067</v>
      </c>
      <c r="I289">
        <v>1982</v>
      </c>
    </row>
    <row r="290" spans="1:9" x14ac:dyDescent="0.3">
      <c r="A290" s="6" t="s">
        <v>202</v>
      </c>
      <c r="B290" s="1" t="s">
        <v>4510</v>
      </c>
      <c r="C290" s="6" t="s">
        <v>1564</v>
      </c>
      <c r="D290" s="6" t="s">
        <v>1645</v>
      </c>
      <c r="E290" s="6" t="s">
        <v>1646</v>
      </c>
      <c r="F290" s="6" t="s">
        <v>5061</v>
      </c>
      <c r="G290" s="6" t="s">
        <v>5065</v>
      </c>
      <c r="H290" s="6" t="s">
        <v>5067</v>
      </c>
      <c r="I290">
        <v>1982</v>
      </c>
    </row>
    <row r="291" spans="1:9" x14ac:dyDescent="0.3">
      <c r="A291" s="6" t="s">
        <v>202</v>
      </c>
      <c r="B291" s="1" t="s">
        <v>4510</v>
      </c>
      <c r="C291" s="6" t="s">
        <v>1564</v>
      </c>
      <c r="D291" s="6" t="s">
        <v>1651</v>
      </c>
      <c r="E291" s="6" t="s">
        <v>1652</v>
      </c>
      <c r="F291" s="6" t="s">
        <v>5062</v>
      </c>
      <c r="G291" s="6" t="s">
        <v>5065</v>
      </c>
      <c r="H291" s="6" t="s">
        <v>5067</v>
      </c>
      <c r="I291">
        <v>1982</v>
      </c>
    </row>
    <row r="292" spans="1:9" x14ac:dyDescent="0.3">
      <c r="A292" s="6" t="s">
        <v>202</v>
      </c>
      <c r="B292" s="1" t="s">
        <v>4510</v>
      </c>
      <c r="C292" s="6" t="s">
        <v>1564</v>
      </c>
      <c r="D292" s="6" t="s">
        <v>1655</v>
      </c>
      <c r="E292" s="6" t="s">
        <v>1656</v>
      </c>
      <c r="F292" s="6" t="s">
        <v>5063</v>
      </c>
      <c r="G292" s="6" t="s">
        <v>5065</v>
      </c>
      <c r="H292" s="6" t="s">
        <v>5067</v>
      </c>
      <c r="I292">
        <v>1982</v>
      </c>
    </row>
    <row r="293" spans="1:9" x14ac:dyDescent="0.3">
      <c r="A293" s="6" t="s">
        <v>202</v>
      </c>
      <c r="B293" s="1" t="s">
        <v>4510</v>
      </c>
      <c r="C293" s="6" t="s">
        <v>1564</v>
      </c>
      <c r="D293" s="6" t="s">
        <v>1659</v>
      </c>
      <c r="E293" s="6" t="s">
        <v>1660</v>
      </c>
      <c r="F293" s="6" t="s">
        <v>5064</v>
      </c>
      <c r="G293" s="6" t="s">
        <v>5065</v>
      </c>
      <c r="H293" s="6" t="s">
        <v>5067</v>
      </c>
      <c r="I293">
        <v>1982</v>
      </c>
    </row>
    <row r="294" spans="1:9" x14ac:dyDescent="0.3">
      <c r="A294" s="6" t="s">
        <v>202</v>
      </c>
      <c r="B294" s="1" t="s">
        <v>4510</v>
      </c>
      <c r="C294" s="6" t="s">
        <v>1564</v>
      </c>
      <c r="D294" s="6" t="s">
        <v>1665</v>
      </c>
      <c r="E294" s="6" t="s">
        <v>1666</v>
      </c>
      <c r="F294" s="6" t="s">
        <v>5061</v>
      </c>
      <c r="G294" s="6" t="s">
        <v>5065</v>
      </c>
      <c r="H294" s="6" t="s">
        <v>5067</v>
      </c>
      <c r="I294">
        <v>1982</v>
      </c>
    </row>
    <row r="295" spans="1:9" x14ac:dyDescent="0.3">
      <c r="A295" s="6" t="s">
        <v>202</v>
      </c>
      <c r="B295" s="1" t="s">
        <v>4510</v>
      </c>
      <c r="C295" s="6" t="s">
        <v>1564</v>
      </c>
      <c r="D295" s="6" t="s">
        <v>1670</v>
      </c>
      <c r="E295" s="6" t="s">
        <v>1671</v>
      </c>
      <c r="F295" s="6" t="s">
        <v>5062</v>
      </c>
      <c r="G295" s="6" t="s">
        <v>5065</v>
      </c>
      <c r="H295" s="6" t="s">
        <v>5067</v>
      </c>
      <c r="I295">
        <v>1982</v>
      </c>
    </row>
    <row r="296" spans="1:9" x14ac:dyDescent="0.3">
      <c r="A296" s="6" t="s">
        <v>202</v>
      </c>
      <c r="B296" s="1" t="s">
        <v>4510</v>
      </c>
      <c r="C296" s="6" t="s">
        <v>1564</v>
      </c>
      <c r="D296" s="6" t="s">
        <v>1675</v>
      </c>
      <c r="E296" s="6" t="s">
        <v>1676</v>
      </c>
      <c r="F296" s="6" t="s">
        <v>5063</v>
      </c>
      <c r="G296" s="6" t="s">
        <v>5065</v>
      </c>
      <c r="H296" s="6" t="s">
        <v>5067</v>
      </c>
      <c r="I296">
        <v>1982</v>
      </c>
    </row>
    <row r="297" spans="1:9" x14ac:dyDescent="0.3">
      <c r="A297" s="6" t="s">
        <v>202</v>
      </c>
      <c r="B297" s="1" t="s">
        <v>4510</v>
      </c>
      <c r="C297" s="6" t="s">
        <v>1564</v>
      </c>
      <c r="D297" s="6" t="s">
        <v>1681</v>
      </c>
      <c r="E297" s="6" t="s">
        <v>1682</v>
      </c>
      <c r="F297" s="6" t="s">
        <v>5064</v>
      </c>
      <c r="G297" s="6" t="s">
        <v>5065</v>
      </c>
      <c r="H297" s="6" t="s">
        <v>5067</v>
      </c>
      <c r="I297">
        <v>1982</v>
      </c>
    </row>
    <row r="298" spans="1:9" x14ac:dyDescent="0.3">
      <c r="A298" s="6" t="s">
        <v>202</v>
      </c>
      <c r="B298" s="1" t="s">
        <v>4510</v>
      </c>
      <c r="C298" s="6" t="s">
        <v>1564</v>
      </c>
      <c r="D298" s="6" t="s">
        <v>1686</v>
      </c>
      <c r="E298" s="6" t="s">
        <v>1687</v>
      </c>
      <c r="F298" s="6" t="s">
        <v>5061</v>
      </c>
      <c r="G298" s="6" t="s">
        <v>5065</v>
      </c>
      <c r="H298" s="6" t="s">
        <v>5067</v>
      </c>
      <c r="I298">
        <v>1982</v>
      </c>
    </row>
    <row r="299" spans="1:9" x14ac:dyDescent="0.3">
      <c r="A299" s="6" t="s">
        <v>202</v>
      </c>
      <c r="B299" s="1" t="s">
        <v>4510</v>
      </c>
      <c r="C299" s="6" t="s">
        <v>1564</v>
      </c>
      <c r="D299" s="6" t="s">
        <v>1692</v>
      </c>
      <c r="E299" s="6" t="s">
        <v>1693</v>
      </c>
      <c r="F299" s="6" t="s">
        <v>5062</v>
      </c>
      <c r="G299" s="6" t="s">
        <v>5065</v>
      </c>
      <c r="H299" s="6" t="s">
        <v>5067</v>
      </c>
      <c r="I299">
        <v>1982</v>
      </c>
    </row>
    <row r="300" spans="1:9" x14ac:dyDescent="0.3">
      <c r="A300" s="6" t="s">
        <v>202</v>
      </c>
      <c r="B300" s="1" t="s">
        <v>4510</v>
      </c>
      <c r="C300" s="6" t="s">
        <v>1564</v>
      </c>
      <c r="D300" s="6" t="s">
        <v>1697</v>
      </c>
      <c r="E300" s="6" t="s">
        <v>1698</v>
      </c>
      <c r="F300" s="6" t="s">
        <v>5063</v>
      </c>
      <c r="G300" s="6" t="s">
        <v>5065</v>
      </c>
      <c r="H300" s="6" t="s">
        <v>5067</v>
      </c>
      <c r="I300">
        <v>1982</v>
      </c>
    </row>
    <row r="301" spans="1:9" x14ac:dyDescent="0.3">
      <c r="A301" s="6" t="s">
        <v>202</v>
      </c>
      <c r="B301" s="1" t="s">
        <v>4510</v>
      </c>
      <c r="C301" s="6" t="s">
        <v>1564</v>
      </c>
      <c r="D301" s="6" t="s">
        <v>1700</v>
      </c>
      <c r="E301" s="6" t="s">
        <v>1701</v>
      </c>
      <c r="F301" s="6" t="s">
        <v>5064</v>
      </c>
      <c r="G301" s="6" t="s">
        <v>5065</v>
      </c>
      <c r="H301" s="6" t="s">
        <v>5067</v>
      </c>
      <c r="I301">
        <v>1982</v>
      </c>
    </row>
    <row r="302" spans="1:9" x14ac:dyDescent="0.3">
      <c r="A302" s="6" t="s">
        <v>202</v>
      </c>
      <c r="B302" s="1" t="s">
        <v>4510</v>
      </c>
      <c r="C302" s="6" t="s">
        <v>1564</v>
      </c>
      <c r="D302" s="6" t="s">
        <v>1703</v>
      </c>
      <c r="E302" s="6" t="s">
        <v>1704</v>
      </c>
      <c r="F302" s="6" t="s">
        <v>5061</v>
      </c>
      <c r="G302" s="6" t="s">
        <v>5065</v>
      </c>
      <c r="H302" s="6" t="s">
        <v>5067</v>
      </c>
      <c r="I302">
        <v>1982</v>
      </c>
    </row>
    <row r="303" spans="1:9" x14ac:dyDescent="0.3">
      <c r="A303" s="6" t="s">
        <v>202</v>
      </c>
      <c r="B303" s="1" t="s">
        <v>4510</v>
      </c>
      <c r="C303" s="6" t="s">
        <v>1564</v>
      </c>
      <c r="D303" s="6" t="s">
        <v>1707</v>
      </c>
      <c r="E303" s="6" t="s">
        <v>1708</v>
      </c>
      <c r="F303" s="6" t="s">
        <v>5062</v>
      </c>
      <c r="G303" s="6" t="s">
        <v>5065</v>
      </c>
      <c r="H303" s="6" t="s">
        <v>5067</v>
      </c>
      <c r="I303">
        <v>1982</v>
      </c>
    </row>
    <row r="304" spans="1:9" x14ac:dyDescent="0.3">
      <c r="A304" s="6" t="s">
        <v>202</v>
      </c>
      <c r="B304" s="1" t="s">
        <v>4510</v>
      </c>
      <c r="C304" s="6" t="s">
        <v>1564</v>
      </c>
      <c r="D304" s="6" t="s">
        <v>1713</v>
      </c>
      <c r="E304" s="6" t="s">
        <v>1714</v>
      </c>
      <c r="F304" s="6" t="s">
        <v>5063</v>
      </c>
      <c r="G304" s="6" t="s">
        <v>5065</v>
      </c>
      <c r="H304" s="6" t="s">
        <v>5067</v>
      </c>
      <c r="I304">
        <v>1982</v>
      </c>
    </row>
    <row r="305" spans="1:9" x14ac:dyDescent="0.3">
      <c r="A305" s="6" t="s">
        <v>202</v>
      </c>
      <c r="B305" s="1" t="s">
        <v>4510</v>
      </c>
      <c r="C305" s="6" t="s">
        <v>1564</v>
      </c>
      <c r="D305" s="6" t="s">
        <v>1719</v>
      </c>
      <c r="E305" s="6" t="s">
        <v>1720</v>
      </c>
      <c r="F305" s="6" t="s">
        <v>5064</v>
      </c>
      <c r="G305" s="6" t="s">
        <v>5065</v>
      </c>
      <c r="H305" s="6" t="s">
        <v>5067</v>
      </c>
      <c r="I305">
        <v>1982</v>
      </c>
    </row>
    <row r="306" spans="1:9" x14ac:dyDescent="0.3">
      <c r="A306" s="6" t="s">
        <v>202</v>
      </c>
      <c r="B306" s="1" t="s">
        <v>4510</v>
      </c>
      <c r="C306" s="6" t="s">
        <v>1564</v>
      </c>
      <c r="D306" s="6" t="s">
        <v>1723</v>
      </c>
      <c r="E306" s="6" t="s">
        <v>1724</v>
      </c>
      <c r="F306" s="6" t="s">
        <v>5061</v>
      </c>
      <c r="G306" s="6" t="s">
        <v>5065</v>
      </c>
      <c r="H306" s="6" t="s">
        <v>5067</v>
      </c>
      <c r="I306">
        <v>1982</v>
      </c>
    </row>
    <row r="307" spans="1:9" x14ac:dyDescent="0.3">
      <c r="A307" s="6" t="s">
        <v>202</v>
      </c>
      <c r="B307" s="1" t="s">
        <v>4510</v>
      </c>
      <c r="C307" s="6" t="s">
        <v>1564</v>
      </c>
      <c r="D307" s="6" t="s">
        <v>1726</v>
      </c>
      <c r="E307" s="6" t="s">
        <v>1727</v>
      </c>
      <c r="F307" s="6" t="s">
        <v>5062</v>
      </c>
      <c r="G307" s="6" t="s">
        <v>5065</v>
      </c>
      <c r="H307" s="6" t="s">
        <v>5067</v>
      </c>
      <c r="I307">
        <v>1982</v>
      </c>
    </row>
    <row r="308" spans="1:9" x14ac:dyDescent="0.3">
      <c r="A308" s="6" t="s">
        <v>202</v>
      </c>
      <c r="B308" s="1" t="s">
        <v>4510</v>
      </c>
      <c r="C308" s="6" t="s">
        <v>1564</v>
      </c>
      <c r="D308" s="6" t="s">
        <v>1732</v>
      </c>
      <c r="E308" s="6" t="s">
        <v>1733</v>
      </c>
      <c r="F308" s="6" t="s">
        <v>5063</v>
      </c>
      <c r="G308" s="6" t="s">
        <v>5065</v>
      </c>
      <c r="H308" s="6" t="s">
        <v>5067</v>
      </c>
      <c r="I308">
        <v>1982</v>
      </c>
    </row>
    <row r="309" spans="1:9" x14ac:dyDescent="0.3">
      <c r="A309" s="6" t="s">
        <v>202</v>
      </c>
      <c r="B309" s="1" t="s">
        <v>4510</v>
      </c>
      <c r="C309" s="6" t="s">
        <v>1564</v>
      </c>
      <c r="D309" s="6" t="s">
        <v>1737</v>
      </c>
      <c r="E309" s="6" t="s">
        <v>1738</v>
      </c>
      <c r="F309" s="6" t="s">
        <v>5064</v>
      </c>
      <c r="G309" s="6" t="s">
        <v>5065</v>
      </c>
      <c r="H309" s="6" t="s">
        <v>5067</v>
      </c>
      <c r="I309">
        <v>1982</v>
      </c>
    </row>
    <row r="310" spans="1:9" x14ac:dyDescent="0.3">
      <c r="A310" s="6" t="s">
        <v>202</v>
      </c>
      <c r="B310" s="1" t="s">
        <v>4510</v>
      </c>
      <c r="C310" s="6" t="s">
        <v>1564</v>
      </c>
      <c r="D310" s="6" t="s">
        <v>1740</v>
      </c>
      <c r="E310" s="6" t="s">
        <v>1741</v>
      </c>
      <c r="F310" s="6" t="s">
        <v>5061</v>
      </c>
      <c r="G310" s="6" t="s">
        <v>5065</v>
      </c>
      <c r="H310" s="6" t="s">
        <v>5067</v>
      </c>
      <c r="I310">
        <v>1982</v>
      </c>
    </row>
    <row r="311" spans="1:9" x14ac:dyDescent="0.3">
      <c r="A311" s="6" t="s">
        <v>202</v>
      </c>
      <c r="B311" s="1" t="s">
        <v>4510</v>
      </c>
      <c r="C311" s="6" t="s">
        <v>1564</v>
      </c>
      <c r="D311" s="6" t="s">
        <v>1744</v>
      </c>
      <c r="E311" s="6" t="s">
        <v>1745</v>
      </c>
      <c r="F311" s="6" t="s">
        <v>5062</v>
      </c>
      <c r="G311" s="6" t="s">
        <v>5065</v>
      </c>
      <c r="H311" s="6" t="s">
        <v>5067</v>
      </c>
      <c r="I311">
        <v>1982</v>
      </c>
    </row>
    <row r="312" spans="1:9" x14ac:dyDescent="0.3">
      <c r="A312" s="6" t="s">
        <v>202</v>
      </c>
      <c r="B312" s="1" t="s">
        <v>4510</v>
      </c>
      <c r="C312" s="6" t="s">
        <v>1564</v>
      </c>
      <c r="D312" s="6" t="s">
        <v>1749</v>
      </c>
      <c r="E312" s="6" t="s">
        <v>1750</v>
      </c>
      <c r="F312" s="6" t="s">
        <v>5063</v>
      </c>
      <c r="G312" s="6" t="s">
        <v>5065</v>
      </c>
      <c r="H312" s="6" t="s">
        <v>5067</v>
      </c>
      <c r="I312">
        <v>1982</v>
      </c>
    </row>
    <row r="313" spans="1:9" x14ac:dyDescent="0.3">
      <c r="A313" s="6" t="s">
        <v>202</v>
      </c>
      <c r="B313" s="1" t="s">
        <v>4510</v>
      </c>
      <c r="C313" s="6" t="s">
        <v>1564</v>
      </c>
      <c r="D313" s="6" t="s">
        <v>1754</v>
      </c>
      <c r="E313" s="6" t="s">
        <v>1755</v>
      </c>
      <c r="F313" s="6" t="s">
        <v>5064</v>
      </c>
      <c r="G313" s="6" t="s">
        <v>5065</v>
      </c>
      <c r="H313" s="6" t="s">
        <v>5067</v>
      </c>
      <c r="I313">
        <v>1982</v>
      </c>
    </row>
    <row r="314" spans="1:9" x14ac:dyDescent="0.3">
      <c r="A314" s="6" t="s">
        <v>202</v>
      </c>
      <c r="B314" s="1" t="s">
        <v>4510</v>
      </c>
      <c r="C314" s="6" t="s">
        <v>1564</v>
      </c>
      <c r="D314" s="6" t="s">
        <v>1759</v>
      </c>
      <c r="E314" s="6" t="s">
        <v>1760</v>
      </c>
      <c r="F314" s="6" t="s">
        <v>5061</v>
      </c>
      <c r="G314" s="6" t="s">
        <v>5065</v>
      </c>
      <c r="H314" s="6" t="s">
        <v>5067</v>
      </c>
      <c r="I314">
        <v>1982</v>
      </c>
    </row>
    <row r="315" spans="1:9" x14ac:dyDescent="0.3">
      <c r="A315" s="6" t="s">
        <v>202</v>
      </c>
      <c r="B315" s="1" t="s">
        <v>4510</v>
      </c>
      <c r="C315" s="6" t="s">
        <v>1564</v>
      </c>
      <c r="D315" s="6" t="s">
        <v>1763</v>
      </c>
      <c r="E315" s="6" t="s">
        <v>1764</v>
      </c>
      <c r="F315" s="6" t="s">
        <v>5062</v>
      </c>
      <c r="G315" s="6" t="s">
        <v>5065</v>
      </c>
      <c r="H315" s="6" t="s">
        <v>5067</v>
      </c>
      <c r="I315">
        <v>1982</v>
      </c>
    </row>
    <row r="316" spans="1:9" x14ac:dyDescent="0.3">
      <c r="A316" s="6" t="s">
        <v>202</v>
      </c>
      <c r="B316" s="1" t="s">
        <v>4510</v>
      </c>
      <c r="C316" s="6" t="s">
        <v>1564</v>
      </c>
      <c r="D316" s="6" t="s">
        <v>1767</v>
      </c>
      <c r="E316" s="6" t="s">
        <v>1768</v>
      </c>
      <c r="F316" s="6" t="s">
        <v>5063</v>
      </c>
      <c r="G316" s="6" t="s">
        <v>5065</v>
      </c>
      <c r="H316" s="6" t="s">
        <v>5067</v>
      </c>
      <c r="I316">
        <v>1982</v>
      </c>
    </row>
    <row r="317" spans="1:9" x14ac:dyDescent="0.3">
      <c r="A317" s="6" t="s">
        <v>202</v>
      </c>
      <c r="B317" s="1" t="s">
        <v>4510</v>
      </c>
      <c r="C317" s="6" t="s">
        <v>1564</v>
      </c>
      <c r="D317" s="6" t="s">
        <v>1772</v>
      </c>
      <c r="E317" s="6" t="s">
        <v>1773</v>
      </c>
      <c r="F317" s="6" t="s">
        <v>5064</v>
      </c>
      <c r="G317" s="6" t="s">
        <v>5065</v>
      </c>
      <c r="H317" s="6" t="s">
        <v>5067</v>
      </c>
      <c r="I317">
        <v>1982</v>
      </c>
    </row>
    <row r="318" spans="1:9" x14ac:dyDescent="0.3">
      <c r="A318" s="6" t="s">
        <v>202</v>
      </c>
      <c r="B318" s="1" t="s">
        <v>4510</v>
      </c>
      <c r="C318" s="6" t="s">
        <v>1564</v>
      </c>
      <c r="D318" s="6" t="s">
        <v>1776</v>
      </c>
      <c r="E318" s="6" t="s">
        <v>1777</v>
      </c>
      <c r="F318" s="6" t="s">
        <v>5061</v>
      </c>
      <c r="G318" s="6" t="s">
        <v>5065</v>
      </c>
      <c r="H318" s="6" t="s">
        <v>5067</v>
      </c>
      <c r="I318">
        <v>1982</v>
      </c>
    </row>
    <row r="319" spans="1:9" x14ac:dyDescent="0.3">
      <c r="A319" s="6" t="s">
        <v>202</v>
      </c>
      <c r="B319" s="1" t="s">
        <v>4510</v>
      </c>
      <c r="C319" s="6" t="s">
        <v>1564</v>
      </c>
      <c r="D319" s="6" t="s">
        <v>1781</v>
      </c>
      <c r="E319" s="6" t="s">
        <v>1782</v>
      </c>
      <c r="F319" s="6" t="s">
        <v>5062</v>
      </c>
      <c r="G319" s="6" t="s">
        <v>5065</v>
      </c>
      <c r="H319" s="6" t="s">
        <v>5067</v>
      </c>
      <c r="I319">
        <v>1982</v>
      </c>
    </row>
    <row r="320" spans="1:9" x14ac:dyDescent="0.3">
      <c r="A320" s="6" t="s">
        <v>202</v>
      </c>
      <c r="B320" s="1" t="s">
        <v>4510</v>
      </c>
      <c r="C320" s="6" t="s">
        <v>1564</v>
      </c>
      <c r="D320" s="6" t="s">
        <v>1787</v>
      </c>
      <c r="E320" s="6" t="s">
        <v>1788</v>
      </c>
      <c r="F320" s="6" t="s">
        <v>5063</v>
      </c>
      <c r="G320" s="6" t="s">
        <v>5065</v>
      </c>
      <c r="H320" s="6" t="s">
        <v>5067</v>
      </c>
      <c r="I320">
        <v>1982</v>
      </c>
    </row>
    <row r="321" spans="1:9" x14ac:dyDescent="0.3">
      <c r="A321" s="6" t="s">
        <v>202</v>
      </c>
      <c r="B321" s="1" t="s">
        <v>4510</v>
      </c>
      <c r="C321" s="6" t="s">
        <v>1564</v>
      </c>
      <c r="D321" s="6" t="s">
        <v>1791</v>
      </c>
      <c r="E321" s="6" t="s">
        <v>1792</v>
      </c>
      <c r="F321" s="6" t="s">
        <v>5064</v>
      </c>
      <c r="G321" s="6" t="s">
        <v>5065</v>
      </c>
      <c r="H321" s="6" t="s">
        <v>5067</v>
      </c>
      <c r="I321">
        <v>1982</v>
      </c>
    </row>
    <row r="322" spans="1:9" x14ac:dyDescent="0.3">
      <c r="A322" s="6" t="s">
        <v>202</v>
      </c>
      <c r="B322" s="1" t="s">
        <v>4510</v>
      </c>
      <c r="C322" s="6" t="s">
        <v>1564</v>
      </c>
      <c r="D322" s="6" t="s">
        <v>1796</v>
      </c>
      <c r="E322" s="6" t="s">
        <v>1797</v>
      </c>
      <c r="F322" s="6" t="s">
        <v>5061</v>
      </c>
      <c r="G322" s="6" t="s">
        <v>5065</v>
      </c>
      <c r="H322" s="6" t="s">
        <v>5067</v>
      </c>
      <c r="I322">
        <v>1982</v>
      </c>
    </row>
    <row r="323" spans="1:9" x14ac:dyDescent="0.3">
      <c r="A323" s="6" t="s">
        <v>202</v>
      </c>
      <c r="B323" s="1" t="s">
        <v>4510</v>
      </c>
      <c r="C323" s="6" t="s">
        <v>1564</v>
      </c>
      <c r="D323" s="6" t="s">
        <v>1802</v>
      </c>
      <c r="E323" s="6" t="s">
        <v>1803</v>
      </c>
      <c r="F323" s="6" t="s">
        <v>5062</v>
      </c>
      <c r="G323" s="6" t="s">
        <v>5065</v>
      </c>
      <c r="H323" s="6" t="s">
        <v>5067</v>
      </c>
      <c r="I323">
        <v>1982</v>
      </c>
    </row>
    <row r="324" spans="1:9" x14ac:dyDescent="0.3">
      <c r="A324" s="6" t="s">
        <v>202</v>
      </c>
      <c r="B324" s="1" t="s">
        <v>4510</v>
      </c>
      <c r="C324" s="6" t="s">
        <v>1564</v>
      </c>
      <c r="D324" s="6" t="s">
        <v>1807</v>
      </c>
      <c r="E324" s="6" t="s">
        <v>1808</v>
      </c>
      <c r="F324" s="6" t="s">
        <v>5063</v>
      </c>
      <c r="G324" s="6" t="s">
        <v>5065</v>
      </c>
      <c r="H324" s="6" t="s">
        <v>5067</v>
      </c>
      <c r="I324">
        <v>1982</v>
      </c>
    </row>
    <row r="325" spans="1:9" x14ac:dyDescent="0.3">
      <c r="A325" s="6" t="s">
        <v>202</v>
      </c>
      <c r="B325" s="1" t="s">
        <v>4510</v>
      </c>
      <c r="C325" s="6" t="s">
        <v>1564</v>
      </c>
      <c r="D325" s="6" t="s">
        <v>1812</v>
      </c>
      <c r="E325" s="6" t="s">
        <v>1813</v>
      </c>
      <c r="F325" s="6" t="s">
        <v>5064</v>
      </c>
      <c r="G325" s="6" t="s">
        <v>5065</v>
      </c>
      <c r="H325" s="6" t="s">
        <v>5067</v>
      </c>
      <c r="I325">
        <v>1982</v>
      </c>
    </row>
    <row r="326" spans="1:9" x14ac:dyDescent="0.3">
      <c r="A326" s="6" t="s">
        <v>270</v>
      </c>
      <c r="B326" s="1" t="s">
        <v>4516</v>
      </c>
      <c r="C326" s="6" t="s">
        <v>1818</v>
      </c>
      <c r="D326" s="6" t="s">
        <v>1819</v>
      </c>
      <c r="E326" s="6" t="s">
        <v>1821</v>
      </c>
      <c r="F326" s="6" t="s">
        <v>5061</v>
      </c>
      <c r="G326" s="6" t="s">
        <v>5065</v>
      </c>
      <c r="H326" s="6" t="s">
        <v>5067</v>
      </c>
      <c r="I326">
        <v>1982</v>
      </c>
    </row>
    <row r="327" spans="1:9" x14ac:dyDescent="0.3">
      <c r="A327" s="6" t="s">
        <v>270</v>
      </c>
      <c r="B327" s="1" t="s">
        <v>4516</v>
      </c>
      <c r="C327" s="6" t="s">
        <v>1818</v>
      </c>
      <c r="D327" s="6" t="s">
        <v>1825</v>
      </c>
      <c r="E327" s="6" t="s">
        <v>1826</v>
      </c>
      <c r="F327" s="6" t="s">
        <v>5062</v>
      </c>
      <c r="G327" s="6" t="s">
        <v>5065</v>
      </c>
      <c r="H327" s="6" t="s">
        <v>5067</v>
      </c>
      <c r="I327">
        <v>1982</v>
      </c>
    </row>
    <row r="328" spans="1:9" x14ac:dyDescent="0.3">
      <c r="A328" s="6" t="s">
        <v>270</v>
      </c>
      <c r="B328" s="1" t="s">
        <v>4516</v>
      </c>
      <c r="C328" s="6" t="s">
        <v>1818</v>
      </c>
      <c r="D328" s="6" t="s">
        <v>1831</v>
      </c>
      <c r="E328" s="6" t="s">
        <v>1832</v>
      </c>
      <c r="F328" s="6" t="s">
        <v>5063</v>
      </c>
      <c r="G328" s="6" t="s">
        <v>5065</v>
      </c>
      <c r="H328" s="6" t="s">
        <v>5067</v>
      </c>
      <c r="I328">
        <v>1982</v>
      </c>
    </row>
    <row r="329" spans="1:9" x14ac:dyDescent="0.3">
      <c r="A329" s="6" t="s">
        <v>270</v>
      </c>
      <c r="B329" s="1" t="s">
        <v>4516</v>
      </c>
      <c r="C329" s="6" t="s">
        <v>1818</v>
      </c>
      <c r="D329" s="6" t="s">
        <v>1836</v>
      </c>
      <c r="E329" s="6" t="s">
        <v>1837</v>
      </c>
      <c r="F329" s="6" t="s">
        <v>5064</v>
      </c>
      <c r="G329" s="6" t="s">
        <v>5065</v>
      </c>
      <c r="H329" s="6" t="s">
        <v>5067</v>
      </c>
      <c r="I329">
        <v>1982</v>
      </c>
    </row>
    <row r="330" spans="1:9" x14ac:dyDescent="0.3">
      <c r="A330" s="6" t="s">
        <v>270</v>
      </c>
      <c r="B330" s="1" t="s">
        <v>4516</v>
      </c>
      <c r="C330" s="6" t="s">
        <v>1818</v>
      </c>
      <c r="D330" s="6" t="s">
        <v>1841</v>
      </c>
      <c r="E330" s="6" t="s">
        <v>1842</v>
      </c>
      <c r="F330" s="6" t="s">
        <v>5061</v>
      </c>
      <c r="G330" s="6" t="s">
        <v>5065</v>
      </c>
      <c r="H330" s="6" t="s">
        <v>5067</v>
      </c>
      <c r="I330">
        <v>1982</v>
      </c>
    </row>
    <row r="331" spans="1:9" x14ac:dyDescent="0.3">
      <c r="A331" s="6" t="s">
        <v>270</v>
      </c>
      <c r="B331" s="1" t="s">
        <v>4516</v>
      </c>
      <c r="C331" s="6" t="s">
        <v>1818</v>
      </c>
      <c r="D331" s="6" t="s">
        <v>1847</v>
      </c>
      <c r="E331" s="6" t="s">
        <v>1848</v>
      </c>
      <c r="F331" s="6" t="s">
        <v>5062</v>
      </c>
      <c r="G331" s="6" t="s">
        <v>5065</v>
      </c>
      <c r="H331" s="6" t="s">
        <v>5067</v>
      </c>
      <c r="I331">
        <v>1982</v>
      </c>
    </row>
    <row r="332" spans="1:9" x14ac:dyDescent="0.3">
      <c r="A332" s="6" t="s">
        <v>270</v>
      </c>
      <c r="B332" s="1" t="s">
        <v>4516</v>
      </c>
      <c r="C332" s="6" t="s">
        <v>1818</v>
      </c>
      <c r="D332" s="6" t="s">
        <v>1852</v>
      </c>
      <c r="E332" s="6" t="s">
        <v>1853</v>
      </c>
      <c r="F332" s="6" t="s">
        <v>5063</v>
      </c>
      <c r="G332" s="6" t="s">
        <v>5065</v>
      </c>
      <c r="H332" s="6" t="s">
        <v>5067</v>
      </c>
      <c r="I332">
        <v>1982</v>
      </c>
    </row>
    <row r="333" spans="1:9" x14ac:dyDescent="0.3">
      <c r="A333" s="6" t="s">
        <v>270</v>
      </c>
      <c r="B333" s="1" t="s">
        <v>4516</v>
      </c>
      <c r="C333" s="6" t="s">
        <v>1818</v>
      </c>
      <c r="D333" s="6" t="s">
        <v>1857</v>
      </c>
      <c r="E333" s="6" t="s">
        <v>1858</v>
      </c>
      <c r="F333" s="6" t="s">
        <v>5064</v>
      </c>
      <c r="G333" s="6" t="s">
        <v>5065</v>
      </c>
      <c r="H333" s="6" t="s">
        <v>5067</v>
      </c>
      <c r="I333">
        <v>1982</v>
      </c>
    </row>
    <row r="334" spans="1:9" x14ac:dyDescent="0.3">
      <c r="A334" s="6" t="s">
        <v>270</v>
      </c>
      <c r="B334" s="1" t="s">
        <v>4516</v>
      </c>
      <c r="C334" s="6" t="s">
        <v>1818</v>
      </c>
      <c r="D334" s="6" t="s">
        <v>1862</v>
      </c>
      <c r="E334" s="6" t="s">
        <v>1863</v>
      </c>
      <c r="F334" s="6" t="s">
        <v>5061</v>
      </c>
      <c r="G334" s="6" t="s">
        <v>5065</v>
      </c>
      <c r="H334" s="6" t="s">
        <v>5067</v>
      </c>
      <c r="I334">
        <v>1982</v>
      </c>
    </row>
    <row r="335" spans="1:9" x14ac:dyDescent="0.3">
      <c r="A335" s="6" t="s">
        <v>270</v>
      </c>
      <c r="B335" s="1" t="s">
        <v>4516</v>
      </c>
      <c r="C335" s="6" t="s">
        <v>1818</v>
      </c>
      <c r="D335" s="6" t="s">
        <v>1868</v>
      </c>
      <c r="E335" s="6" t="s">
        <v>1869</v>
      </c>
      <c r="F335" s="6" t="s">
        <v>5062</v>
      </c>
      <c r="G335" s="6" t="s">
        <v>5065</v>
      </c>
      <c r="H335" s="6" t="s">
        <v>5067</v>
      </c>
      <c r="I335">
        <v>1982</v>
      </c>
    </row>
    <row r="336" spans="1:9" x14ac:dyDescent="0.3">
      <c r="A336" s="6" t="s">
        <v>270</v>
      </c>
      <c r="B336" s="1" t="s">
        <v>4516</v>
      </c>
      <c r="C336" s="6" t="s">
        <v>1818</v>
      </c>
      <c r="D336" s="6" t="s">
        <v>1872</v>
      </c>
      <c r="E336" s="6" t="s">
        <v>1873</v>
      </c>
      <c r="F336" s="6" t="s">
        <v>5063</v>
      </c>
      <c r="G336" s="6" t="s">
        <v>5065</v>
      </c>
      <c r="H336" s="6" t="s">
        <v>5067</v>
      </c>
      <c r="I336">
        <v>1982</v>
      </c>
    </row>
    <row r="337" spans="1:9" x14ac:dyDescent="0.3">
      <c r="A337" s="6" t="s">
        <v>270</v>
      </c>
      <c r="B337" s="1" t="s">
        <v>4516</v>
      </c>
      <c r="C337" s="6" t="s">
        <v>1818</v>
      </c>
      <c r="D337" s="6" t="s">
        <v>1876</v>
      </c>
      <c r="E337" s="6" t="s">
        <v>1877</v>
      </c>
      <c r="F337" s="6" t="s">
        <v>5064</v>
      </c>
      <c r="G337" s="6" t="s">
        <v>5065</v>
      </c>
      <c r="H337" s="6" t="s">
        <v>5067</v>
      </c>
      <c r="I337">
        <v>1982</v>
      </c>
    </row>
    <row r="338" spans="1:9" x14ac:dyDescent="0.3">
      <c r="A338" s="6" t="s">
        <v>270</v>
      </c>
      <c r="B338" s="1" t="s">
        <v>4516</v>
      </c>
      <c r="C338" s="6" t="s">
        <v>1818</v>
      </c>
      <c r="D338" s="6" t="s">
        <v>1882</v>
      </c>
      <c r="E338" s="6" t="s">
        <v>1883</v>
      </c>
      <c r="F338" s="6" t="s">
        <v>5061</v>
      </c>
      <c r="G338" s="6" t="s">
        <v>5065</v>
      </c>
      <c r="H338" s="6" t="s">
        <v>5067</v>
      </c>
      <c r="I338">
        <v>1982</v>
      </c>
    </row>
    <row r="339" spans="1:9" x14ac:dyDescent="0.3">
      <c r="A339" s="6" t="s">
        <v>262</v>
      </c>
      <c r="B339" s="1" t="s">
        <v>4517</v>
      </c>
      <c r="C339" s="6" t="s">
        <v>1887</v>
      </c>
      <c r="D339" s="6" t="s">
        <v>1888</v>
      </c>
      <c r="E339" s="6" t="s">
        <v>1890</v>
      </c>
      <c r="F339" s="6" t="s">
        <v>5062</v>
      </c>
      <c r="G339" s="6" t="s">
        <v>5065</v>
      </c>
      <c r="H339" s="6" t="s">
        <v>5067</v>
      </c>
      <c r="I339">
        <v>1982</v>
      </c>
    </row>
    <row r="340" spans="1:9" x14ac:dyDescent="0.3">
      <c r="A340" s="6" t="s">
        <v>262</v>
      </c>
      <c r="B340" s="1" t="s">
        <v>4517</v>
      </c>
      <c r="C340" s="6" t="s">
        <v>1887</v>
      </c>
      <c r="D340" s="6" t="s">
        <v>1894</v>
      </c>
      <c r="E340" s="6" t="s">
        <v>1895</v>
      </c>
      <c r="F340" s="6" t="s">
        <v>5063</v>
      </c>
      <c r="G340" s="6" t="s">
        <v>5065</v>
      </c>
      <c r="H340" s="6" t="s">
        <v>5067</v>
      </c>
      <c r="I340">
        <v>1982</v>
      </c>
    </row>
    <row r="341" spans="1:9" x14ac:dyDescent="0.3">
      <c r="A341" s="6" t="s">
        <v>262</v>
      </c>
      <c r="B341" s="1" t="s">
        <v>4517</v>
      </c>
      <c r="C341" s="6" t="s">
        <v>1887</v>
      </c>
      <c r="D341" s="6" t="s">
        <v>1899</v>
      </c>
      <c r="E341" s="6" t="s">
        <v>1900</v>
      </c>
      <c r="F341" s="6" t="s">
        <v>5064</v>
      </c>
      <c r="G341" s="6" t="s">
        <v>5065</v>
      </c>
      <c r="H341" s="6" t="s">
        <v>5067</v>
      </c>
      <c r="I341">
        <v>1982</v>
      </c>
    </row>
    <row r="342" spans="1:9" x14ac:dyDescent="0.3">
      <c r="A342" s="6" t="s">
        <v>262</v>
      </c>
      <c r="B342" s="1" t="s">
        <v>4517</v>
      </c>
      <c r="C342" s="6" t="s">
        <v>1887</v>
      </c>
      <c r="D342" s="6" t="s">
        <v>1903</v>
      </c>
      <c r="E342" s="6" t="s">
        <v>1904</v>
      </c>
      <c r="F342" s="6" t="s">
        <v>5061</v>
      </c>
      <c r="G342" s="6" t="s">
        <v>5065</v>
      </c>
      <c r="H342" s="6" t="s">
        <v>5067</v>
      </c>
      <c r="I342">
        <v>1982</v>
      </c>
    </row>
    <row r="343" spans="1:9" x14ac:dyDescent="0.3">
      <c r="A343" s="6" t="s">
        <v>262</v>
      </c>
      <c r="B343" s="1" t="s">
        <v>4517</v>
      </c>
      <c r="C343" s="6" t="s">
        <v>1887</v>
      </c>
      <c r="D343" s="6" t="s">
        <v>1906</v>
      </c>
      <c r="E343" s="6" t="s">
        <v>1907</v>
      </c>
      <c r="F343" s="6" t="s">
        <v>5062</v>
      </c>
      <c r="G343" s="6" t="s">
        <v>5065</v>
      </c>
      <c r="H343" s="6" t="s">
        <v>5067</v>
      </c>
      <c r="I343">
        <v>1982</v>
      </c>
    </row>
    <row r="344" spans="1:9" x14ac:dyDescent="0.3">
      <c r="A344" s="6" t="s">
        <v>262</v>
      </c>
      <c r="B344" s="1" t="s">
        <v>4517</v>
      </c>
      <c r="C344" s="6" t="s">
        <v>1887</v>
      </c>
      <c r="D344" s="6" t="s">
        <v>1911</v>
      </c>
      <c r="E344" s="6" t="s">
        <v>1912</v>
      </c>
      <c r="F344" s="6" t="s">
        <v>5063</v>
      </c>
      <c r="G344" s="6" t="s">
        <v>5065</v>
      </c>
      <c r="H344" s="6" t="s">
        <v>5067</v>
      </c>
      <c r="I344">
        <v>1982</v>
      </c>
    </row>
    <row r="345" spans="1:9" x14ac:dyDescent="0.3">
      <c r="A345" s="6" t="s">
        <v>262</v>
      </c>
      <c r="B345" s="1" t="s">
        <v>4517</v>
      </c>
      <c r="C345" s="6" t="s">
        <v>1887</v>
      </c>
      <c r="D345" s="6" t="s">
        <v>1915</v>
      </c>
      <c r="E345" s="6" t="s">
        <v>1916</v>
      </c>
      <c r="F345" s="6" t="s">
        <v>5064</v>
      </c>
      <c r="G345" s="6" t="s">
        <v>5065</v>
      </c>
      <c r="H345" s="6" t="s">
        <v>5067</v>
      </c>
      <c r="I345">
        <v>1982</v>
      </c>
    </row>
    <row r="346" spans="1:9" x14ac:dyDescent="0.3">
      <c r="A346" s="6" t="s">
        <v>262</v>
      </c>
      <c r="B346" s="1" t="s">
        <v>4517</v>
      </c>
      <c r="C346" s="6" t="s">
        <v>1887</v>
      </c>
      <c r="D346" s="6" t="s">
        <v>1918</v>
      </c>
      <c r="E346" s="6" t="s">
        <v>1919</v>
      </c>
      <c r="F346" s="6" t="s">
        <v>5061</v>
      </c>
      <c r="G346" s="6" t="s">
        <v>5065</v>
      </c>
      <c r="H346" s="6" t="s">
        <v>5067</v>
      </c>
      <c r="I346">
        <v>1982</v>
      </c>
    </row>
    <row r="347" spans="1:9" x14ac:dyDescent="0.3">
      <c r="A347" s="6" t="s">
        <v>262</v>
      </c>
      <c r="B347" s="1" t="s">
        <v>4517</v>
      </c>
      <c r="C347" s="6" t="s">
        <v>1887</v>
      </c>
      <c r="D347" s="6" t="s">
        <v>1922</v>
      </c>
      <c r="E347" s="6" t="s">
        <v>1923</v>
      </c>
      <c r="F347" s="6" t="s">
        <v>5062</v>
      </c>
      <c r="G347" s="6" t="s">
        <v>5065</v>
      </c>
      <c r="H347" s="6" t="s">
        <v>5067</v>
      </c>
      <c r="I347">
        <v>1982</v>
      </c>
    </row>
    <row r="348" spans="1:9" x14ac:dyDescent="0.3">
      <c r="A348" s="6" t="s">
        <v>262</v>
      </c>
      <c r="B348" s="1" t="s">
        <v>4517</v>
      </c>
      <c r="C348" s="6" t="s">
        <v>1887</v>
      </c>
      <c r="D348" s="6" t="s">
        <v>1926</v>
      </c>
      <c r="E348" s="6" t="s">
        <v>1927</v>
      </c>
      <c r="F348" s="6" t="s">
        <v>5063</v>
      </c>
      <c r="G348" s="6" t="s">
        <v>5065</v>
      </c>
      <c r="H348" s="6" t="s">
        <v>5067</v>
      </c>
      <c r="I348">
        <v>1982</v>
      </c>
    </row>
    <row r="349" spans="1:9" x14ac:dyDescent="0.3">
      <c r="A349" s="6" t="s">
        <v>262</v>
      </c>
      <c r="B349" s="1" t="s">
        <v>4517</v>
      </c>
      <c r="C349" s="6" t="s">
        <v>1887</v>
      </c>
      <c r="D349" s="6" t="s">
        <v>1931</v>
      </c>
      <c r="E349" s="6" t="s">
        <v>1932</v>
      </c>
      <c r="F349" s="6" t="s">
        <v>5064</v>
      </c>
      <c r="G349" s="6" t="s">
        <v>5065</v>
      </c>
      <c r="H349" s="6" t="s">
        <v>5067</v>
      </c>
      <c r="I349">
        <v>1982</v>
      </c>
    </row>
    <row r="350" spans="1:9" x14ac:dyDescent="0.3">
      <c r="A350" s="6" t="s">
        <v>262</v>
      </c>
      <c r="B350" s="1" t="s">
        <v>4517</v>
      </c>
      <c r="C350" s="6" t="s">
        <v>1887</v>
      </c>
      <c r="D350" s="6" t="s">
        <v>1937</v>
      </c>
      <c r="E350" s="6" t="s">
        <v>1938</v>
      </c>
      <c r="F350" s="6" t="s">
        <v>5061</v>
      </c>
      <c r="G350" s="6" t="s">
        <v>5065</v>
      </c>
      <c r="H350" s="6" t="s">
        <v>5067</v>
      </c>
      <c r="I350">
        <v>1982</v>
      </c>
    </row>
    <row r="351" spans="1:9" x14ac:dyDescent="0.3">
      <c r="A351" s="6" t="s">
        <v>262</v>
      </c>
      <c r="B351" s="1" t="s">
        <v>4517</v>
      </c>
      <c r="C351" s="6" t="s">
        <v>1887</v>
      </c>
      <c r="D351" s="6" t="s">
        <v>1940</v>
      </c>
      <c r="E351" s="6" t="s">
        <v>1941</v>
      </c>
      <c r="F351" s="6" t="s">
        <v>5062</v>
      </c>
      <c r="G351" s="6" t="s">
        <v>5065</v>
      </c>
      <c r="H351" s="6" t="s">
        <v>5067</v>
      </c>
      <c r="I351">
        <v>1982</v>
      </c>
    </row>
    <row r="352" spans="1:9" x14ac:dyDescent="0.3">
      <c r="A352" s="6" t="s">
        <v>262</v>
      </c>
      <c r="B352" s="1" t="s">
        <v>4517</v>
      </c>
      <c r="C352" s="6" t="s">
        <v>1887</v>
      </c>
      <c r="D352" s="6" t="s">
        <v>1944</v>
      </c>
      <c r="E352" s="6" t="s">
        <v>1945</v>
      </c>
      <c r="F352" s="6" t="s">
        <v>5063</v>
      </c>
      <c r="G352" s="6" t="s">
        <v>5065</v>
      </c>
      <c r="H352" s="6" t="s">
        <v>5067</v>
      </c>
      <c r="I352">
        <v>1982</v>
      </c>
    </row>
    <row r="353" spans="1:9" x14ac:dyDescent="0.3">
      <c r="A353" s="6" t="s">
        <v>262</v>
      </c>
      <c r="B353" s="1" t="s">
        <v>4517</v>
      </c>
      <c r="C353" s="6" t="s">
        <v>1887</v>
      </c>
      <c r="D353" s="6" t="s">
        <v>1948</v>
      </c>
      <c r="E353" s="6" t="s">
        <v>1949</v>
      </c>
      <c r="F353" s="6" t="s">
        <v>5064</v>
      </c>
      <c r="G353" s="6" t="s">
        <v>5065</v>
      </c>
      <c r="H353" s="6" t="s">
        <v>5067</v>
      </c>
      <c r="I353">
        <v>1982</v>
      </c>
    </row>
    <row r="354" spans="1:9" x14ac:dyDescent="0.3">
      <c r="A354" s="6" t="s">
        <v>270</v>
      </c>
      <c r="B354" s="1" t="s">
        <v>4519</v>
      </c>
      <c r="C354" s="6" t="s">
        <v>1953</v>
      </c>
      <c r="D354" s="6" t="s">
        <v>1954</v>
      </c>
      <c r="E354" s="6" t="s">
        <v>1956</v>
      </c>
      <c r="F354" s="6" t="s">
        <v>5061</v>
      </c>
      <c r="G354" s="6" t="s">
        <v>5065</v>
      </c>
      <c r="H354" s="6" t="s">
        <v>5067</v>
      </c>
      <c r="I354">
        <v>1982</v>
      </c>
    </row>
    <row r="355" spans="1:9" x14ac:dyDescent="0.3">
      <c r="A355" s="6" t="s">
        <v>270</v>
      </c>
      <c r="B355" s="1" t="s">
        <v>4519</v>
      </c>
      <c r="C355" s="6" t="s">
        <v>1953</v>
      </c>
      <c r="D355" s="6" t="s">
        <v>1958</v>
      </c>
      <c r="E355" s="6" t="s">
        <v>1959</v>
      </c>
      <c r="F355" s="6" t="s">
        <v>5062</v>
      </c>
      <c r="G355" s="6" t="s">
        <v>5065</v>
      </c>
      <c r="H355" s="6" t="s">
        <v>5067</v>
      </c>
      <c r="I355">
        <v>1982</v>
      </c>
    </row>
    <row r="356" spans="1:9" x14ac:dyDescent="0.3">
      <c r="A356" s="6" t="s">
        <v>270</v>
      </c>
      <c r="B356" s="1" t="s">
        <v>4519</v>
      </c>
      <c r="C356" s="6" t="s">
        <v>1953</v>
      </c>
      <c r="D356" s="6" t="s">
        <v>1963</v>
      </c>
      <c r="E356" s="6" t="s">
        <v>1964</v>
      </c>
      <c r="F356" s="6" t="s">
        <v>5063</v>
      </c>
      <c r="G356" s="6" t="s">
        <v>5065</v>
      </c>
      <c r="H356" s="6" t="s">
        <v>5067</v>
      </c>
      <c r="I356">
        <v>1982</v>
      </c>
    </row>
    <row r="357" spans="1:9" x14ac:dyDescent="0.3">
      <c r="A357" s="6" t="s">
        <v>270</v>
      </c>
      <c r="B357" s="1" t="s">
        <v>4519</v>
      </c>
      <c r="C357" s="6" t="s">
        <v>1953</v>
      </c>
      <c r="D357" s="6" t="s">
        <v>1967</v>
      </c>
      <c r="E357" s="6" t="s">
        <v>1968</v>
      </c>
      <c r="F357" s="6" t="s">
        <v>5064</v>
      </c>
      <c r="G357" s="6" t="s">
        <v>5065</v>
      </c>
      <c r="H357" s="6" t="s">
        <v>5067</v>
      </c>
      <c r="I357">
        <v>1982</v>
      </c>
    </row>
    <row r="358" spans="1:9" x14ac:dyDescent="0.3">
      <c r="A358" s="6" t="s">
        <v>270</v>
      </c>
      <c r="B358" s="1" t="s">
        <v>4519</v>
      </c>
      <c r="C358" s="6" t="s">
        <v>1953</v>
      </c>
      <c r="D358" s="6" t="s">
        <v>1971</v>
      </c>
      <c r="E358" s="6" t="s">
        <v>1972</v>
      </c>
      <c r="F358" s="6" t="s">
        <v>5061</v>
      </c>
      <c r="G358" s="6" t="s">
        <v>5065</v>
      </c>
      <c r="H358" s="6" t="s">
        <v>5067</v>
      </c>
      <c r="I358">
        <v>1982</v>
      </c>
    </row>
    <row r="359" spans="1:9" x14ac:dyDescent="0.3">
      <c r="A359" s="6" t="s">
        <v>270</v>
      </c>
      <c r="B359" s="1" t="s">
        <v>4519</v>
      </c>
      <c r="C359" s="6" t="s">
        <v>1953</v>
      </c>
      <c r="D359" s="6" t="s">
        <v>1976</v>
      </c>
      <c r="E359" s="6" t="s">
        <v>1977</v>
      </c>
      <c r="F359" s="6" t="s">
        <v>5062</v>
      </c>
      <c r="G359" s="6" t="s">
        <v>5065</v>
      </c>
      <c r="H359" s="6" t="s">
        <v>5067</v>
      </c>
      <c r="I359">
        <v>1982</v>
      </c>
    </row>
    <row r="360" spans="1:9" x14ac:dyDescent="0.3">
      <c r="A360" s="6" t="s">
        <v>270</v>
      </c>
      <c r="B360" s="1" t="s">
        <v>4519</v>
      </c>
      <c r="C360" s="6" t="s">
        <v>1953</v>
      </c>
      <c r="D360" s="6" t="s">
        <v>1979</v>
      </c>
      <c r="E360" s="6" t="s">
        <v>1980</v>
      </c>
      <c r="F360" s="6" t="s">
        <v>5063</v>
      </c>
      <c r="G360" s="6" t="s">
        <v>5065</v>
      </c>
      <c r="H360" s="6" t="s">
        <v>5067</v>
      </c>
      <c r="I360">
        <v>1982</v>
      </c>
    </row>
    <row r="361" spans="1:9" x14ac:dyDescent="0.3">
      <c r="A361" s="6" t="s">
        <v>202</v>
      </c>
      <c r="B361" s="1" t="s">
        <v>4511</v>
      </c>
      <c r="C361" s="6" t="s">
        <v>1983</v>
      </c>
      <c r="D361" s="6" t="s">
        <v>1984</v>
      </c>
      <c r="E361" s="6" t="s">
        <v>1986</v>
      </c>
      <c r="F361" s="6" t="s">
        <v>5064</v>
      </c>
      <c r="G361" s="6" t="s">
        <v>5065</v>
      </c>
      <c r="H361" s="6" t="s">
        <v>5067</v>
      </c>
      <c r="I361">
        <v>1982</v>
      </c>
    </row>
    <row r="362" spans="1:9" x14ac:dyDescent="0.3">
      <c r="A362" s="6" t="s">
        <v>202</v>
      </c>
      <c r="B362" s="1" t="s">
        <v>4511</v>
      </c>
      <c r="C362" s="6" t="s">
        <v>1983</v>
      </c>
      <c r="D362" s="6" t="s">
        <v>1989</v>
      </c>
      <c r="E362" s="6" t="s">
        <v>1990</v>
      </c>
      <c r="F362" s="6" t="s">
        <v>5061</v>
      </c>
      <c r="G362" s="6" t="s">
        <v>5065</v>
      </c>
      <c r="H362" s="6" t="s">
        <v>5067</v>
      </c>
      <c r="I362">
        <v>1982</v>
      </c>
    </row>
    <row r="363" spans="1:9" x14ac:dyDescent="0.3">
      <c r="A363" s="6" t="s">
        <v>202</v>
      </c>
      <c r="B363" s="1" t="s">
        <v>4511</v>
      </c>
      <c r="C363" s="6" t="s">
        <v>1983</v>
      </c>
      <c r="D363" s="6" t="s">
        <v>1995</v>
      </c>
      <c r="E363" s="6" t="s">
        <v>1996</v>
      </c>
      <c r="F363" s="6" t="s">
        <v>5062</v>
      </c>
      <c r="G363" s="6" t="s">
        <v>5065</v>
      </c>
      <c r="H363" s="6" t="s">
        <v>5067</v>
      </c>
      <c r="I363">
        <v>1982</v>
      </c>
    </row>
    <row r="364" spans="1:9" x14ac:dyDescent="0.3">
      <c r="A364" s="6" t="s">
        <v>202</v>
      </c>
      <c r="B364" s="1" t="s">
        <v>4511</v>
      </c>
      <c r="C364" s="6" t="s">
        <v>1983</v>
      </c>
      <c r="D364" s="6" t="s">
        <v>1999</v>
      </c>
      <c r="E364" s="6" t="s">
        <v>2000</v>
      </c>
      <c r="F364" s="6" t="s">
        <v>5063</v>
      </c>
      <c r="G364" s="6" t="s">
        <v>5065</v>
      </c>
      <c r="H364" s="6" t="s">
        <v>5067</v>
      </c>
      <c r="I364">
        <v>1982</v>
      </c>
    </row>
    <row r="365" spans="1:9" x14ac:dyDescent="0.3">
      <c r="A365" s="6" t="s">
        <v>202</v>
      </c>
      <c r="B365" s="1" t="s">
        <v>4511</v>
      </c>
      <c r="C365" s="6" t="s">
        <v>1983</v>
      </c>
      <c r="D365" s="6" t="s">
        <v>2003</v>
      </c>
      <c r="E365" s="6" t="s">
        <v>2004</v>
      </c>
      <c r="F365" s="6" t="s">
        <v>5064</v>
      </c>
      <c r="G365" s="6" t="s">
        <v>5065</v>
      </c>
      <c r="H365" s="6" t="s">
        <v>5067</v>
      </c>
      <c r="I365">
        <v>1982</v>
      </c>
    </row>
    <row r="366" spans="1:9" x14ac:dyDescent="0.3">
      <c r="A366" s="6" t="s">
        <v>202</v>
      </c>
      <c r="B366" s="1" t="s">
        <v>4511</v>
      </c>
      <c r="C366" s="6" t="s">
        <v>1983</v>
      </c>
      <c r="D366" s="6" t="s">
        <v>2007</v>
      </c>
      <c r="E366" s="6" t="s">
        <v>2008</v>
      </c>
      <c r="F366" s="6" t="s">
        <v>5061</v>
      </c>
      <c r="G366" s="6" t="s">
        <v>5065</v>
      </c>
      <c r="H366" s="6" t="s">
        <v>5067</v>
      </c>
      <c r="I366">
        <v>1982</v>
      </c>
    </row>
    <row r="367" spans="1:9" x14ac:dyDescent="0.3">
      <c r="A367" s="6" t="s">
        <v>202</v>
      </c>
      <c r="B367" s="1" t="s">
        <v>4511</v>
      </c>
      <c r="C367" s="6" t="s">
        <v>1983</v>
      </c>
      <c r="D367" s="6" t="s">
        <v>2011</v>
      </c>
      <c r="E367" s="6" t="s">
        <v>2012</v>
      </c>
      <c r="F367" s="6" t="s">
        <v>5062</v>
      </c>
      <c r="G367" s="6" t="s">
        <v>5065</v>
      </c>
      <c r="H367" s="6" t="s">
        <v>5067</v>
      </c>
      <c r="I367">
        <v>1982</v>
      </c>
    </row>
    <row r="368" spans="1:9" x14ac:dyDescent="0.3">
      <c r="A368" s="6" t="s">
        <v>202</v>
      </c>
      <c r="B368" s="1" t="s">
        <v>4511</v>
      </c>
      <c r="C368" s="6" t="s">
        <v>1983</v>
      </c>
      <c r="D368" s="6" t="s">
        <v>2016</v>
      </c>
      <c r="E368" s="6" t="s">
        <v>2017</v>
      </c>
      <c r="F368" s="6" t="s">
        <v>5063</v>
      </c>
      <c r="G368" s="6" t="s">
        <v>5065</v>
      </c>
      <c r="H368" s="6" t="s">
        <v>5067</v>
      </c>
      <c r="I368">
        <v>1982</v>
      </c>
    </row>
    <row r="369" spans="1:9" x14ac:dyDescent="0.3">
      <c r="A369" s="6" t="s">
        <v>202</v>
      </c>
      <c r="B369" s="1" t="s">
        <v>4511</v>
      </c>
      <c r="C369" s="6" t="s">
        <v>1983</v>
      </c>
      <c r="D369" s="6" t="s">
        <v>2021</v>
      </c>
      <c r="E369" s="6" t="s">
        <v>2022</v>
      </c>
      <c r="F369" s="6" t="s">
        <v>5064</v>
      </c>
      <c r="G369" s="6" t="s">
        <v>5065</v>
      </c>
      <c r="H369" s="6" t="s">
        <v>5067</v>
      </c>
      <c r="I369">
        <v>1982</v>
      </c>
    </row>
    <row r="370" spans="1:9" x14ac:dyDescent="0.3">
      <c r="A370" s="6" t="s">
        <v>202</v>
      </c>
      <c r="B370" s="1" t="s">
        <v>4511</v>
      </c>
      <c r="C370" s="6" t="s">
        <v>1983</v>
      </c>
      <c r="D370" s="6" t="s">
        <v>2026</v>
      </c>
      <c r="E370" s="6" t="s">
        <v>2027</v>
      </c>
      <c r="F370" s="6" t="s">
        <v>5061</v>
      </c>
      <c r="G370" s="6" t="s">
        <v>5065</v>
      </c>
      <c r="H370" s="6" t="s">
        <v>5067</v>
      </c>
      <c r="I370">
        <v>1982</v>
      </c>
    </row>
    <row r="371" spans="1:9" x14ac:dyDescent="0.3">
      <c r="A371" s="6" t="s">
        <v>202</v>
      </c>
      <c r="B371" s="1" t="s">
        <v>4511</v>
      </c>
      <c r="C371" s="6" t="s">
        <v>1983</v>
      </c>
      <c r="D371" s="6" t="s">
        <v>2030</v>
      </c>
      <c r="E371" s="6" t="s">
        <v>2031</v>
      </c>
      <c r="F371" s="6" t="s">
        <v>5062</v>
      </c>
      <c r="G371" s="6" t="s">
        <v>5065</v>
      </c>
      <c r="H371" s="6" t="s">
        <v>5067</v>
      </c>
      <c r="I371">
        <v>1982</v>
      </c>
    </row>
    <row r="372" spans="1:9" x14ac:dyDescent="0.3">
      <c r="A372" s="6" t="s">
        <v>202</v>
      </c>
      <c r="B372" s="1" t="s">
        <v>4511</v>
      </c>
      <c r="C372" s="6" t="s">
        <v>1983</v>
      </c>
      <c r="D372" s="6" t="s">
        <v>2034</v>
      </c>
      <c r="E372" s="6" t="s">
        <v>2035</v>
      </c>
      <c r="F372" s="6" t="s">
        <v>5063</v>
      </c>
      <c r="G372" s="6" t="s">
        <v>5065</v>
      </c>
      <c r="H372" s="6" t="s">
        <v>5067</v>
      </c>
      <c r="I372">
        <v>1982</v>
      </c>
    </row>
    <row r="373" spans="1:9" x14ac:dyDescent="0.3">
      <c r="A373" s="6" t="s">
        <v>202</v>
      </c>
      <c r="B373" s="1" t="s">
        <v>4511</v>
      </c>
      <c r="C373" s="6" t="s">
        <v>1983</v>
      </c>
      <c r="D373" s="6" t="s">
        <v>2040</v>
      </c>
      <c r="E373" s="6" t="s">
        <v>2041</v>
      </c>
      <c r="F373" s="6" t="s">
        <v>5064</v>
      </c>
      <c r="G373" s="6" t="s">
        <v>5065</v>
      </c>
      <c r="H373" s="6" t="s">
        <v>5067</v>
      </c>
      <c r="I373">
        <v>1982</v>
      </c>
    </row>
    <row r="374" spans="1:9" x14ac:dyDescent="0.3">
      <c r="A374" s="6" t="s">
        <v>262</v>
      </c>
      <c r="B374" s="1" t="s">
        <v>4517</v>
      </c>
      <c r="C374" s="6" t="s">
        <v>2046</v>
      </c>
      <c r="D374" s="6" t="s">
        <v>2047</v>
      </c>
      <c r="E374" s="6" t="s">
        <v>2049</v>
      </c>
      <c r="F374" s="6" t="s">
        <v>5061</v>
      </c>
      <c r="G374" s="6" t="s">
        <v>5065</v>
      </c>
      <c r="H374" s="6" t="s">
        <v>5067</v>
      </c>
      <c r="I374">
        <v>1982</v>
      </c>
    </row>
    <row r="375" spans="1:9" x14ac:dyDescent="0.3">
      <c r="A375" s="6" t="s">
        <v>262</v>
      </c>
      <c r="B375" s="1" t="s">
        <v>4517</v>
      </c>
      <c r="C375" s="6" t="s">
        <v>2046</v>
      </c>
      <c r="D375" s="6" t="s">
        <v>2052</v>
      </c>
      <c r="E375" s="6" t="s">
        <v>2053</v>
      </c>
      <c r="F375" s="6" t="s">
        <v>5062</v>
      </c>
      <c r="G375" s="6" t="s">
        <v>5065</v>
      </c>
      <c r="H375" s="6" t="s">
        <v>5066</v>
      </c>
      <c r="I375">
        <v>1982</v>
      </c>
    </row>
    <row r="376" spans="1:9" x14ac:dyDescent="0.3">
      <c r="A376" s="6" t="s">
        <v>262</v>
      </c>
      <c r="B376" s="1" t="s">
        <v>4517</v>
      </c>
      <c r="C376" s="6" t="s">
        <v>2046</v>
      </c>
      <c r="D376" s="6" t="s">
        <v>2056</v>
      </c>
      <c r="E376" s="6" t="s">
        <v>2057</v>
      </c>
      <c r="F376" s="6" t="s">
        <v>5063</v>
      </c>
      <c r="G376" s="6" t="s">
        <v>5065</v>
      </c>
      <c r="H376" s="6" t="s">
        <v>5066</v>
      </c>
      <c r="I376">
        <v>1982</v>
      </c>
    </row>
    <row r="377" spans="1:9" x14ac:dyDescent="0.3">
      <c r="A377" s="6" t="s">
        <v>262</v>
      </c>
      <c r="B377" s="1" t="s">
        <v>4517</v>
      </c>
      <c r="C377" s="6" t="s">
        <v>2046</v>
      </c>
      <c r="D377" s="6" t="s">
        <v>2061</v>
      </c>
      <c r="E377" s="6" t="s">
        <v>2062</v>
      </c>
      <c r="F377" s="6" t="s">
        <v>5064</v>
      </c>
      <c r="G377" s="6" t="s">
        <v>5065</v>
      </c>
      <c r="H377" s="6" t="s">
        <v>5066</v>
      </c>
      <c r="I377">
        <v>1982</v>
      </c>
    </row>
    <row r="378" spans="1:9" x14ac:dyDescent="0.3">
      <c r="A378" s="6" t="s">
        <v>262</v>
      </c>
      <c r="B378" s="1" t="s">
        <v>4517</v>
      </c>
      <c r="C378" s="6" t="s">
        <v>2046</v>
      </c>
      <c r="D378" s="6" t="s">
        <v>2066</v>
      </c>
      <c r="E378" s="6" t="s">
        <v>2067</v>
      </c>
      <c r="F378" s="6" t="s">
        <v>5061</v>
      </c>
      <c r="G378" s="6" t="s">
        <v>5065</v>
      </c>
      <c r="H378" s="6" t="s">
        <v>5066</v>
      </c>
      <c r="I378">
        <v>1982</v>
      </c>
    </row>
    <row r="379" spans="1:9" x14ac:dyDescent="0.3">
      <c r="A379" s="6" t="s">
        <v>262</v>
      </c>
      <c r="B379" s="1" t="s">
        <v>4517</v>
      </c>
      <c r="C379" s="6" t="s">
        <v>2046</v>
      </c>
      <c r="D379" s="6" t="s">
        <v>2070</v>
      </c>
      <c r="E379" s="6" t="s">
        <v>2071</v>
      </c>
      <c r="F379" s="6" t="s">
        <v>5062</v>
      </c>
      <c r="G379" s="6" t="s">
        <v>5065</v>
      </c>
      <c r="H379" s="6" t="s">
        <v>5066</v>
      </c>
      <c r="I379">
        <v>1982</v>
      </c>
    </row>
    <row r="380" spans="1:9" x14ac:dyDescent="0.3">
      <c r="A380" s="6" t="s">
        <v>262</v>
      </c>
      <c r="B380" s="1" t="s">
        <v>4517</v>
      </c>
      <c r="C380" s="6" t="s">
        <v>2046</v>
      </c>
      <c r="D380" s="6" t="s">
        <v>2075</v>
      </c>
      <c r="E380" s="6" t="s">
        <v>2076</v>
      </c>
      <c r="F380" s="6" t="s">
        <v>5063</v>
      </c>
      <c r="G380" s="6" t="s">
        <v>5065</v>
      </c>
      <c r="H380" s="6" t="s">
        <v>5066</v>
      </c>
      <c r="I380">
        <v>1982</v>
      </c>
    </row>
    <row r="381" spans="1:9" x14ac:dyDescent="0.3">
      <c r="A381" s="6" t="s">
        <v>262</v>
      </c>
      <c r="B381" s="1" t="s">
        <v>4517</v>
      </c>
      <c r="C381" s="6" t="s">
        <v>2046</v>
      </c>
      <c r="D381" s="6" t="s">
        <v>2078</v>
      </c>
      <c r="E381" s="6" t="s">
        <v>2079</v>
      </c>
      <c r="F381" s="6" t="s">
        <v>5064</v>
      </c>
      <c r="G381" s="6" t="s">
        <v>5065</v>
      </c>
      <c r="H381" s="6" t="s">
        <v>5066</v>
      </c>
      <c r="I381">
        <v>1982</v>
      </c>
    </row>
    <row r="382" spans="1:9" x14ac:dyDescent="0.3">
      <c r="A382" s="6" t="s">
        <v>262</v>
      </c>
      <c r="B382" s="1" t="s">
        <v>4517</v>
      </c>
      <c r="C382" s="6" t="s">
        <v>2046</v>
      </c>
      <c r="D382" s="6" t="s">
        <v>2082</v>
      </c>
      <c r="E382" s="6" t="s">
        <v>2083</v>
      </c>
      <c r="F382" s="6" t="s">
        <v>5061</v>
      </c>
      <c r="G382" s="6" t="s">
        <v>5065</v>
      </c>
      <c r="H382" s="6" t="s">
        <v>5066</v>
      </c>
      <c r="I382">
        <v>1982</v>
      </c>
    </row>
    <row r="383" spans="1:9" x14ac:dyDescent="0.3">
      <c r="A383" s="6" t="s">
        <v>262</v>
      </c>
      <c r="B383" s="1" t="s">
        <v>4517</v>
      </c>
      <c r="C383" s="6" t="s">
        <v>2046</v>
      </c>
      <c r="D383" s="6" t="s">
        <v>2086</v>
      </c>
      <c r="E383" s="6" t="s">
        <v>2087</v>
      </c>
      <c r="F383" s="6" t="s">
        <v>5062</v>
      </c>
      <c r="G383" s="6" t="s">
        <v>5065</v>
      </c>
      <c r="H383" s="6" t="s">
        <v>5066</v>
      </c>
      <c r="I383">
        <v>1982</v>
      </c>
    </row>
    <row r="384" spans="1:9" x14ac:dyDescent="0.3">
      <c r="A384" s="6" t="s">
        <v>262</v>
      </c>
      <c r="B384" s="1" t="s">
        <v>4517</v>
      </c>
      <c r="C384" s="6" t="s">
        <v>2046</v>
      </c>
      <c r="D384" s="6" t="s">
        <v>2091</v>
      </c>
      <c r="E384" s="6" t="s">
        <v>2092</v>
      </c>
      <c r="F384" s="6" t="s">
        <v>5063</v>
      </c>
      <c r="G384" s="6" t="s">
        <v>5065</v>
      </c>
      <c r="H384" s="6" t="s">
        <v>5066</v>
      </c>
      <c r="I384">
        <v>1982</v>
      </c>
    </row>
    <row r="385" spans="1:9" x14ac:dyDescent="0.3">
      <c r="A385" s="6" t="s">
        <v>262</v>
      </c>
      <c r="B385" s="1" t="s">
        <v>4517</v>
      </c>
      <c r="C385" s="6" t="s">
        <v>2046</v>
      </c>
      <c r="D385" s="6" t="s">
        <v>2095</v>
      </c>
      <c r="E385" s="6" t="s">
        <v>2096</v>
      </c>
      <c r="F385" s="6" t="s">
        <v>5064</v>
      </c>
      <c r="G385" s="6" t="s">
        <v>5065</v>
      </c>
      <c r="H385" s="6" t="s">
        <v>5066</v>
      </c>
      <c r="I385">
        <v>1982</v>
      </c>
    </row>
    <row r="386" spans="1:9" x14ac:dyDescent="0.3">
      <c r="A386" s="6" t="s">
        <v>262</v>
      </c>
      <c r="B386" s="1" t="s">
        <v>4517</v>
      </c>
      <c r="C386" s="6" t="s">
        <v>2046</v>
      </c>
      <c r="D386" s="6" t="s">
        <v>2099</v>
      </c>
      <c r="E386" s="6" t="s">
        <v>2100</v>
      </c>
      <c r="F386" s="6" t="s">
        <v>5061</v>
      </c>
      <c r="G386" s="6" t="s">
        <v>5065</v>
      </c>
      <c r="H386" s="6" t="s">
        <v>5066</v>
      </c>
      <c r="I386">
        <v>1982</v>
      </c>
    </row>
    <row r="387" spans="1:9" x14ac:dyDescent="0.3">
      <c r="A387" s="6" t="s">
        <v>262</v>
      </c>
      <c r="B387" s="1" t="s">
        <v>4517</v>
      </c>
      <c r="C387" s="6" t="s">
        <v>2046</v>
      </c>
      <c r="D387" s="6" t="s">
        <v>2103</v>
      </c>
      <c r="E387" s="6" t="s">
        <v>2104</v>
      </c>
      <c r="F387" s="6" t="s">
        <v>5062</v>
      </c>
      <c r="G387" s="6" t="s">
        <v>5065</v>
      </c>
      <c r="H387" s="6" t="s">
        <v>5066</v>
      </c>
      <c r="I387">
        <v>1982</v>
      </c>
    </row>
    <row r="388" spans="1:9" x14ac:dyDescent="0.3">
      <c r="A388" s="6" t="s">
        <v>262</v>
      </c>
      <c r="B388" s="1" t="s">
        <v>4517</v>
      </c>
      <c r="C388" s="6" t="s">
        <v>2046</v>
      </c>
      <c r="D388" s="6" t="s">
        <v>2110</v>
      </c>
      <c r="E388" s="6" t="s">
        <v>2111</v>
      </c>
      <c r="F388" s="6" t="s">
        <v>5063</v>
      </c>
      <c r="G388" s="6" t="s">
        <v>5065</v>
      </c>
      <c r="H388" s="6" t="s">
        <v>5067</v>
      </c>
      <c r="I388">
        <v>1982</v>
      </c>
    </row>
    <row r="389" spans="1:9" x14ac:dyDescent="0.3">
      <c r="A389" s="6" t="s">
        <v>270</v>
      </c>
      <c r="B389" s="1" t="s">
        <v>4513</v>
      </c>
      <c r="C389" s="6" t="s">
        <v>2114</v>
      </c>
      <c r="D389" s="6" t="s">
        <v>2115</v>
      </c>
      <c r="E389" s="6" t="s">
        <v>2117</v>
      </c>
      <c r="F389" s="6" t="s">
        <v>5064</v>
      </c>
      <c r="G389" s="6" t="s">
        <v>5065</v>
      </c>
      <c r="H389" s="6" t="s">
        <v>5067</v>
      </c>
      <c r="I389">
        <v>1982</v>
      </c>
    </row>
    <row r="390" spans="1:9" x14ac:dyDescent="0.3">
      <c r="A390" s="6" t="s">
        <v>270</v>
      </c>
      <c r="B390" s="1" t="s">
        <v>4513</v>
      </c>
      <c r="C390" s="6" t="s">
        <v>2114</v>
      </c>
      <c r="D390" s="6" t="s">
        <v>2121</v>
      </c>
      <c r="E390" s="6" t="s">
        <v>2122</v>
      </c>
      <c r="F390" s="6" t="s">
        <v>5061</v>
      </c>
      <c r="G390" s="6" t="s">
        <v>5065</v>
      </c>
      <c r="H390" s="6" t="s">
        <v>5067</v>
      </c>
      <c r="I390">
        <v>1982</v>
      </c>
    </row>
    <row r="391" spans="1:9" x14ac:dyDescent="0.3">
      <c r="A391" s="6" t="s">
        <v>270</v>
      </c>
      <c r="B391" s="1" t="s">
        <v>4513</v>
      </c>
      <c r="C391" s="6" t="s">
        <v>2114</v>
      </c>
      <c r="D391" s="6" t="s">
        <v>2125</v>
      </c>
      <c r="E391" s="6" t="s">
        <v>2126</v>
      </c>
      <c r="F391" s="6" t="s">
        <v>5062</v>
      </c>
      <c r="G391" s="6" t="s">
        <v>5065</v>
      </c>
      <c r="H391" s="6" t="s">
        <v>5066</v>
      </c>
      <c r="I391">
        <v>1982</v>
      </c>
    </row>
    <row r="392" spans="1:9" x14ac:dyDescent="0.3">
      <c r="A392" s="6" t="s">
        <v>270</v>
      </c>
      <c r="B392" s="1" t="s">
        <v>4513</v>
      </c>
      <c r="C392" s="6" t="s">
        <v>2114</v>
      </c>
      <c r="D392" s="6" t="s">
        <v>2130</v>
      </c>
      <c r="E392" s="6" t="s">
        <v>2131</v>
      </c>
      <c r="F392" s="6" t="s">
        <v>5063</v>
      </c>
      <c r="G392" s="6" t="s">
        <v>5065</v>
      </c>
      <c r="H392" s="6" t="s">
        <v>5067</v>
      </c>
      <c r="I392">
        <v>1982</v>
      </c>
    </row>
    <row r="393" spans="1:9" x14ac:dyDescent="0.3">
      <c r="A393" s="6" t="s">
        <v>270</v>
      </c>
      <c r="B393" s="1" t="s">
        <v>4513</v>
      </c>
      <c r="C393" s="6" t="s">
        <v>2114</v>
      </c>
      <c r="D393" s="6" t="s">
        <v>2136</v>
      </c>
      <c r="E393" s="6" t="s">
        <v>2137</v>
      </c>
      <c r="F393" s="6" t="s">
        <v>5064</v>
      </c>
      <c r="G393" s="6" t="s">
        <v>5065</v>
      </c>
      <c r="H393" s="6" t="s">
        <v>5067</v>
      </c>
      <c r="I393">
        <v>1982</v>
      </c>
    </row>
    <row r="394" spans="1:9" x14ac:dyDescent="0.3">
      <c r="A394" s="6" t="s">
        <v>270</v>
      </c>
      <c r="B394" s="1" t="s">
        <v>4513</v>
      </c>
      <c r="C394" s="6" t="s">
        <v>2114</v>
      </c>
      <c r="D394" s="6" t="s">
        <v>2140</v>
      </c>
      <c r="E394" s="6" t="s">
        <v>2141</v>
      </c>
      <c r="F394" s="6" t="s">
        <v>5061</v>
      </c>
      <c r="G394" s="6" t="s">
        <v>5065</v>
      </c>
      <c r="H394" s="6" t="s">
        <v>5067</v>
      </c>
      <c r="I394">
        <v>1982</v>
      </c>
    </row>
    <row r="395" spans="1:9" x14ac:dyDescent="0.3">
      <c r="A395" s="6" t="s">
        <v>270</v>
      </c>
      <c r="B395" s="1" t="s">
        <v>4513</v>
      </c>
      <c r="C395" s="6" t="s">
        <v>2114</v>
      </c>
      <c r="D395" s="6" t="s">
        <v>2145</v>
      </c>
      <c r="E395" s="6" t="s">
        <v>2146</v>
      </c>
      <c r="F395" s="6" t="s">
        <v>5062</v>
      </c>
      <c r="G395" s="6" t="s">
        <v>5065</v>
      </c>
      <c r="H395" s="6" t="s">
        <v>5067</v>
      </c>
      <c r="I395">
        <v>1982</v>
      </c>
    </row>
    <row r="396" spans="1:9" x14ac:dyDescent="0.3">
      <c r="A396" s="6" t="s">
        <v>270</v>
      </c>
      <c r="B396" s="1" t="s">
        <v>4513</v>
      </c>
      <c r="C396" s="6" t="s">
        <v>2114</v>
      </c>
      <c r="D396" s="6" t="s">
        <v>2151</v>
      </c>
      <c r="E396" s="6" t="s">
        <v>2152</v>
      </c>
      <c r="F396" s="6" t="s">
        <v>5063</v>
      </c>
      <c r="G396" s="6" t="s">
        <v>5065</v>
      </c>
      <c r="H396" s="6" t="s">
        <v>5066</v>
      </c>
      <c r="I396">
        <v>1982</v>
      </c>
    </row>
    <row r="397" spans="1:9" x14ac:dyDescent="0.3">
      <c r="A397" s="6" t="s">
        <v>270</v>
      </c>
      <c r="B397" s="1" t="s">
        <v>4513</v>
      </c>
      <c r="C397" s="6" t="s">
        <v>2114</v>
      </c>
      <c r="D397" s="6" t="s">
        <v>2155</v>
      </c>
      <c r="E397" s="6" t="s">
        <v>2156</v>
      </c>
      <c r="F397" s="6" t="s">
        <v>5064</v>
      </c>
      <c r="G397" s="6" t="s">
        <v>5065</v>
      </c>
      <c r="H397" s="6" t="s">
        <v>5067</v>
      </c>
      <c r="I397">
        <v>1982</v>
      </c>
    </row>
    <row r="398" spans="1:9" x14ac:dyDescent="0.3">
      <c r="A398" s="6" t="s">
        <v>270</v>
      </c>
      <c r="B398" s="1" t="s">
        <v>4513</v>
      </c>
      <c r="C398" s="6" t="s">
        <v>2114</v>
      </c>
      <c r="D398" s="6" t="s">
        <v>2160</v>
      </c>
      <c r="E398" s="6" t="s">
        <v>2161</v>
      </c>
      <c r="F398" s="6" t="s">
        <v>5061</v>
      </c>
      <c r="G398" s="6" t="s">
        <v>5065</v>
      </c>
      <c r="H398" s="6" t="s">
        <v>5067</v>
      </c>
      <c r="I398">
        <v>1982</v>
      </c>
    </row>
    <row r="399" spans="1:9" x14ac:dyDescent="0.3">
      <c r="A399" s="6" t="s">
        <v>270</v>
      </c>
      <c r="B399" s="1" t="s">
        <v>4513</v>
      </c>
      <c r="C399" s="6" t="s">
        <v>2114</v>
      </c>
      <c r="D399" s="6" t="s">
        <v>2165</v>
      </c>
      <c r="E399" s="6" t="s">
        <v>2166</v>
      </c>
      <c r="F399" s="6" t="s">
        <v>5062</v>
      </c>
      <c r="G399" s="6" t="s">
        <v>5065</v>
      </c>
      <c r="H399" s="6" t="s">
        <v>5067</v>
      </c>
      <c r="I399">
        <v>1982</v>
      </c>
    </row>
    <row r="400" spans="1:9" x14ac:dyDescent="0.3">
      <c r="A400" s="6" t="s">
        <v>270</v>
      </c>
      <c r="B400" s="1" t="s">
        <v>4513</v>
      </c>
      <c r="C400" s="6" t="s">
        <v>2114</v>
      </c>
      <c r="D400" s="6" t="s">
        <v>2168</v>
      </c>
      <c r="E400" s="6" t="s">
        <v>2169</v>
      </c>
      <c r="F400" s="6" t="s">
        <v>5063</v>
      </c>
      <c r="G400" s="6" t="s">
        <v>5065</v>
      </c>
      <c r="H400" s="6" t="s">
        <v>5066</v>
      </c>
      <c r="I400">
        <v>1982</v>
      </c>
    </row>
    <row r="401" spans="1:9" x14ac:dyDescent="0.3">
      <c r="A401" s="6" t="s">
        <v>270</v>
      </c>
      <c r="B401" s="1" t="s">
        <v>4513</v>
      </c>
      <c r="C401" s="6" t="s">
        <v>2114</v>
      </c>
      <c r="D401" s="6" t="s">
        <v>2174</v>
      </c>
      <c r="E401" s="6" t="s">
        <v>2175</v>
      </c>
      <c r="F401" s="6" t="s">
        <v>5064</v>
      </c>
      <c r="G401" s="6" t="s">
        <v>5065</v>
      </c>
      <c r="H401" s="6" t="s">
        <v>5066</v>
      </c>
      <c r="I401">
        <v>1982</v>
      </c>
    </row>
    <row r="402" spans="1:9" x14ac:dyDescent="0.3">
      <c r="A402" s="6" t="s">
        <v>270</v>
      </c>
      <c r="B402" s="1" t="s">
        <v>4513</v>
      </c>
      <c r="C402" s="6" t="s">
        <v>2114</v>
      </c>
      <c r="D402" s="6" t="s">
        <v>2177</v>
      </c>
      <c r="E402" s="6" t="s">
        <v>2178</v>
      </c>
      <c r="F402" s="6" t="s">
        <v>5061</v>
      </c>
      <c r="G402" s="6" t="s">
        <v>5065</v>
      </c>
      <c r="H402" s="6" t="s">
        <v>5066</v>
      </c>
      <c r="I402">
        <v>1982</v>
      </c>
    </row>
    <row r="403" spans="1:9" x14ac:dyDescent="0.3">
      <c r="A403" s="6" t="s">
        <v>270</v>
      </c>
      <c r="B403" s="1" t="s">
        <v>4513</v>
      </c>
      <c r="C403" s="6" t="s">
        <v>2114</v>
      </c>
      <c r="D403" s="6" t="s">
        <v>2183</v>
      </c>
      <c r="E403" s="6" t="s">
        <v>2184</v>
      </c>
      <c r="F403" s="6" t="s">
        <v>5062</v>
      </c>
      <c r="G403" s="6" t="s">
        <v>5065</v>
      </c>
      <c r="H403" s="6" t="s">
        <v>5066</v>
      </c>
      <c r="I403">
        <v>1982</v>
      </c>
    </row>
    <row r="404" spans="1:9" x14ac:dyDescent="0.3">
      <c r="A404" s="6" t="s">
        <v>270</v>
      </c>
      <c r="B404" s="1" t="s">
        <v>4513</v>
      </c>
      <c r="C404" s="6" t="s">
        <v>2114</v>
      </c>
      <c r="D404" s="6" t="s">
        <v>2189</v>
      </c>
      <c r="E404" s="6" t="s">
        <v>2190</v>
      </c>
      <c r="F404" s="6" t="s">
        <v>5063</v>
      </c>
      <c r="G404" s="6" t="s">
        <v>5065</v>
      </c>
      <c r="H404" s="6" t="s">
        <v>5066</v>
      </c>
      <c r="I404">
        <v>1982</v>
      </c>
    </row>
    <row r="405" spans="1:9" x14ac:dyDescent="0.3">
      <c r="A405" s="6" t="s">
        <v>270</v>
      </c>
      <c r="B405" s="1" t="s">
        <v>4513</v>
      </c>
      <c r="C405" s="6" t="s">
        <v>2114</v>
      </c>
      <c r="D405" s="6" t="s">
        <v>2195</v>
      </c>
      <c r="E405" s="6" t="s">
        <v>2196</v>
      </c>
      <c r="F405" s="6" t="s">
        <v>5064</v>
      </c>
      <c r="G405" s="6" t="s">
        <v>5065</v>
      </c>
      <c r="H405" s="6" t="s">
        <v>5066</v>
      </c>
      <c r="I405">
        <v>1983</v>
      </c>
    </row>
    <row r="406" spans="1:9" x14ac:dyDescent="0.3">
      <c r="A406" s="6" t="s">
        <v>270</v>
      </c>
      <c r="B406" s="1" t="s">
        <v>4513</v>
      </c>
      <c r="C406" s="6" t="s">
        <v>2114</v>
      </c>
      <c r="D406" s="6" t="s">
        <v>2200</v>
      </c>
      <c r="E406" s="6" t="s">
        <v>2201</v>
      </c>
      <c r="F406" s="6" t="s">
        <v>5061</v>
      </c>
      <c r="G406" s="6" t="s">
        <v>5065</v>
      </c>
      <c r="H406" s="6" t="s">
        <v>5066</v>
      </c>
      <c r="I406">
        <v>1983</v>
      </c>
    </row>
    <row r="407" spans="1:9" x14ac:dyDescent="0.3">
      <c r="A407" s="6" t="s">
        <v>270</v>
      </c>
      <c r="B407" s="1" t="s">
        <v>4513</v>
      </c>
      <c r="C407" s="6" t="s">
        <v>2114</v>
      </c>
      <c r="D407" s="6" t="s">
        <v>2205</v>
      </c>
      <c r="E407" s="6" t="s">
        <v>2206</v>
      </c>
      <c r="F407" s="6" t="s">
        <v>5062</v>
      </c>
      <c r="G407" s="6" t="s">
        <v>5065</v>
      </c>
      <c r="H407" s="6" t="s">
        <v>5066</v>
      </c>
      <c r="I407">
        <v>1983</v>
      </c>
    </row>
    <row r="408" spans="1:9" x14ac:dyDescent="0.3">
      <c r="A408" s="6" t="s">
        <v>270</v>
      </c>
      <c r="B408" s="1" t="s">
        <v>4513</v>
      </c>
      <c r="C408" s="6" t="s">
        <v>2114</v>
      </c>
      <c r="D408" s="6" t="s">
        <v>2210</v>
      </c>
      <c r="E408" s="6" t="s">
        <v>2211</v>
      </c>
      <c r="F408" s="6" t="s">
        <v>5063</v>
      </c>
      <c r="G408" s="6" t="s">
        <v>5065</v>
      </c>
      <c r="H408" s="6" t="s">
        <v>5066</v>
      </c>
      <c r="I408">
        <v>1983</v>
      </c>
    </row>
    <row r="409" spans="1:9" x14ac:dyDescent="0.3">
      <c r="A409" s="6" t="s">
        <v>270</v>
      </c>
      <c r="B409" s="1" t="s">
        <v>4513</v>
      </c>
      <c r="C409" s="6" t="s">
        <v>2114</v>
      </c>
      <c r="D409" s="6" t="s">
        <v>2215</v>
      </c>
      <c r="E409" s="6" t="s">
        <v>2216</v>
      </c>
      <c r="F409" s="6" t="s">
        <v>5064</v>
      </c>
      <c r="G409" s="6" t="s">
        <v>5065</v>
      </c>
      <c r="H409" s="6" t="s">
        <v>5066</v>
      </c>
      <c r="I409">
        <v>1983</v>
      </c>
    </row>
    <row r="410" spans="1:9" x14ac:dyDescent="0.3">
      <c r="A410" s="6" t="s">
        <v>270</v>
      </c>
      <c r="B410" s="1" t="s">
        <v>4513</v>
      </c>
      <c r="C410" s="6" t="s">
        <v>2114</v>
      </c>
      <c r="D410" s="6" t="s">
        <v>2219</v>
      </c>
      <c r="E410" s="6" t="s">
        <v>2220</v>
      </c>
      <c r="F410" s="6" t="s">
        <v>5061</v>
      </c>
      <c r="G410" s="6" t="s">
        <v>5065</v>
      </c>
      <c r="H410" s="6" t="s">
        <v>5066</v>
      </c>
      <c r="I410">
        <v>1983</v>
      </c>
    </row>
    <row r="411" spans="1:9" x14ac:dyDescent="0.3">
      <c r="A411" s="6" t="s">
        <v>270</v>
      </c>
      <c r="B411" s="1" t="s">
        <v>4513</v>
      </c>
      <c r="C411" s="6" t="s">
        <v>2114</v>
      </c>
      <c r="D411" s="6" t="s">
        <v>2223</v>
      </c>
      <c r="E411" s="6" t="s">
        <v>2224</v>
      </c>
      <c r="F411" s="6" t="s">
        <v>5062</v>
      </c>
      <c r="G411" s="6" t="s">
        <v>5065</v>
      </c>
      <c r="H411" s="6" t="s">
        <v>5066</v>
      </c>
      <c r="I411">
        <v>1983</v>
      </c>
    </row>
    <row r="412" spans="1:9" x14ac:dyDescent="0.3">
      <c r="A412" s="6" t="s">
        <v>270</v>
      </c>
      <c r="B412" s="1" t="s">
        <v>4513</v>
      </c>
      <c r="C412" s="6" t="s">
        <v>2114</v>
      </c>
      <c r="D412" s="6" t="s">
        <v>2229</v>
      </c>
      <c r="E412" s="6" t="s">
        <v>2230</v>
      </c>
      <c r="F412" s="6" t="s">
        <v>5063</v>
      </c>
      <c r="G412" s="6" t="s">
        <v>5065</v>
      </c>
      <c r="H412" s="6" t="s">
        <v>5066</v>
      </c>
      <c r="I412">
        <v>1983</v>
      </c>
    </row>
    <row r="413" spans="1:9" x14ac:dyDescent="0.3">
      <c r="A413" s="6" t="s">
        <v>270</v>
      </c>
      <c r="B413" s="1" t="s">
        <v>4513</v>
      </c>
      <c r="C413" s="6" t="s">
        <v>2114</v>
      </c>
      <c r="D413" s="6" t="s">
        <v>2234</v>
      </c>
      <c r="E413" s="6" t="s">
        <v>2235</v>
      </c>
      <c r="F413" s="6" t="s">
        <v>5064</v>
      </c>
      <c r="G413" s="6" t="s">
        <v>5065</v>
      </c>
      <c r="H413" s="6" t="s">
        <v>5066</v>
      </c>
      <c r="I413">
        <v>1983</v>
      </c>
    </row>
    <row r="414" spans="1:9" x14ac:dyDescent="0.3">
      <c r="A414" s="6" t="s">
        <v>270</v>
      </c>
      <c r="B414" s="1" t="s">
        <v>4513</v>
      </c>
      <c r="C414" s="6" t="s">
        <v>2114</v>
      </c>
      <c r="D414" s="6" t="s">
        <v>2239</v>
      </c>
      <c r="E414" s="6" t="s">
        <v>2240</v>
      </c>
      <c r="F414" s="6" t="s">
        <v>5061</v>
      </c>
      <c r="G414" s="6" t="s">
        <v>5065</v>
      </c>
      <c r="H414" s="6" t="s">
        <v>5066</v>
      </c>
      <c r="I414">
        <v>1983</v>
      </c>
    </row>
    <row r="415" spans="1:9" x14ac:dyDescent="0.3">
      <c r="A415" s="6" t="s">
        <v>270</v>
      </c>
      <c r="B415" s="1" t="s">
        <v>4513</v>
      </c>
      <c r="C415" s="6" t="s">
        <v>2114</v>
      </c>
      <c r="D415" s="6" t="s">
        <v>2246</v>
      </c>
      <c r="E415" s="6" t="s">
        <v>2247</v>
      </c>
      <c r="F415" s="6" t="s">
        <v>5062</v>
      </c>
      <c r="G415" s="6" t="s">
        <v>5065</v>
      </c>
      <c r="H415" s="6" t="s">
        <v>5066</v>
      </c>
      <c r="I415">
        <v>1983</v>
      </c>
    </row>
    <row r="416" spans="1:9" x14ac:dyDescent="0.3">
      <c r="A416" s="6" t="s">
        <v>270</v>
      </c>
      <c r="B416" s="1" t="s">
        <v>4513</v>
      </c>
      <c r="C416" s="6" t="s">
        <v>2114</v>
      </c>
      <c r="D416" s="6" t="s">
        <v>2251</v>
      </c>
      <c r="E416" s="6" t="s">
        <v>2252</v>
      </c>
      <c r="F416" s="6" t="s">
        <v>5063</v>
      </c>
      <c r="G416" s="6" t="s">
        <v>5065</v>
      </c>
      <c r="H416" s="6" t="s">
        <v>5066</v>
      </c>
      <c r="I416">
        <v>1983</v>
      </c>
    </row>
    <row r="417" spans="1:9" x14ac:dyDescent="0.3">
      <c r="A417" s="6" t="s">
        <v>270</v>
      </c>
      <c r="B417" s="1" t="s">
        <v>4513</v>
      </c>
      <c r="C417" s="6" t="s">
        <v>2114</v>
      </c>
      <c r="D417" s="6" t="s">
        <v>2255</v>
      </c>
      <c r="E417" s="6" t="s">
        <v>2256</v>
      </c>
      <c r="F417" s="6" t="s">
        <v>5064</v>
      </c>
      <c r="G417" s="6" t="s">
        <v>5065</v>
      </c>
      <c r="H417" s="6" t="s">
        <v>5066</v>
      </c>
      <c r="I417">
        <v>1983</v>
      </c>
    </row>
    <row r="418" spans="1:9" x14ac:dyDescent="0.3">
      <c r="A418" s="6" t="s">
        <v>270</v>
      </c>
      <c r="B418" s="1" t="s">
        <v>4513</v>
      </c>
      <c r="C418" s="6" t="s">
        <v>2114</v>
      </c>
      <c r="D418" s="6" t="s">
        <v>2261</v>
      </c>
      <c r="E418" s="6" t="s">
        <v>2262</v>
      </c>
      <c r="F418" s="6" t="s">
        <v>5061</v>
      </c>
      <c r="G418" s="6" t="s">
        <v>5065</v>
      </c>
      <c r="H418" s="6" t="s">
        <v>5066</v>
      </c>
      <c r="I418">
        <v>1983</v>
      </c>
    </row>
    <row r="419" spans="1:9" x14ac:dyDescent="0.3">
      <c r="A419" s="6" t="s">
        <v>270</v>
      </c>
      <c r="B419" s="1" t="s">
        <v>4513</v>
      </c>
      <c r="C419" s="6" t="s">
        <v>2114</v>
      </c>
      <c r="D419" s="6" t="s">
        <v>2263</v>
      </c>
      <c r="E419" s="6" t="s">
        <v>2264</v>
      </c>
      <c r="F419" s="6" t="s">
        <v>5062</v>
      </c>
      <c r="G419" s="6" t="s">
        <v>5065</v>
      </c>
      <c r="H419" s="6" t="s">
        <v>5066</v>
      </c>
      <c r="I419">
        <v>1983</v>
      </c>
    </row>
    <row r="420" spans="1:9" x14ac:dyDescent="0.3">
      <c r="A420" s="6" t="s">
        <v>270</v>
      </c>
      <c r="B420" s="1" t="s">
        <v>4513</v>
      </c>
      <c r="C420" s="6" t="s">
        <v>2114</v>
      </c>
      <c r="D420" s="6" t="s">
        <v>2268</v>
      </c>
      <c r="E420" s="6" t="s">
        <v>2269</v>
      </c>
      <c r="F420" s="6" t="s">
        <v>5063</v>
      </c>
      <c r="G420" s="6" t="s">
        <v>5065</v>
      </c>
      <c r="H420" s="6" t="s">
        <v>5066</v>
      </c>
      <c r="I420">
        <v>1983</v>
      </c>
    </row>
    <row r="421" spans="1:9" x14ac:dyDescent="0.3">
      <c r="A421" s="6" t="s">
        <v>270</v>
      </c>
      <c r="B421" s="1" t="s">
        <v>4513</v>
      </c>
      <c r="C421" s="6" t="s">
        <v>2114</v>
      </c>
      <c r="D421" s="6" t="s">
        <v>2274</v>
      </c>
      <c r="E421" s="6" t="s">
        <v>2275</v>
      </c>
      <c r="F421" s="6" t="s">
        <v>5064</v>
      </c>
      <c r="G421" s="6" t="s">
        <v>5065</v>
      </c>
      <c r="H421" s="6" t="s">
        <v>5066</v>
      </c>
      <c r="I421">
        <v>1983</v>
      </c>
    </row>
    <row r="422" spans="1:9" x14ac:dyDescent="0.3">
      <c r="A422" s="6" t="s">
        <v>270</v>
      </c>
      <c r="B422" s="1" t="s">
        <v>4513</v>
      </c>
      <c r="C422" s="6" t="s">
        <v>2114</v>
      </c>
      <c r="D422" s="6" t="s">
        <v>2279</v>
      </c>
      <c r="E422" s="6" t="s">
        <v>2280</v>
      </c>
      <c r="F422" s="6" t="s">
        <v>5061</v>
      </c>
      <c r="G422" s="6" t="s">
        <v>5065</v>
      </c>
      <c r="H422" s="6" t="s">
        <v>5066</v>
      </c>
      <c r="I422">
        <v>1983</v>
      </c>
    </row>
    <row r="423" spans="1:9" x14ac:dyDescent="0.3">
      <c r="A423" s="6" t="s">
        <v>270</v>
      </c>
      <c r="B423" s="1" t="s">
        <v>4513</v>
      </c>
      <c r="C423" s="6" t="s">
        <v>2114</v>
      </c>
      <c r="D423" s="6" t="s">
        <v>2283</v>
      </c>
      <c r="E423" s="6" t="s">
        <v>2284</v>
      </c>
      <c r="F423" s="6" t="s">
        <v>5062</v>
      </c>
      <c r="G423" s="6" t="s">
        <v>5065</v>
      </c>
      <c r="H423" s="6" t="s">
        <v>5066</v>
      </c>
      <c r="I423">
        <v>1983</v>
      </c>
    </row>
    <row r="424" spans="1:9" x14ac:dyDescent="0.3">
      <c r="A424" s="6" t="s">
        <v>270</v>
      </c>
      <c r="B424" s="1" t="s">
        <v>4513</v>
      </c>
      <c r="C424" s="6" t="s">
        <v>2114</v>
      </c>
      <c r="D424" s="6" t="s">
        <v>2287</v>
      </c>
      <c r="E424" s="6" t="s">
        <v>2288</v>
      </c>
      <c r="F424" s="6" t="s">
        <v>5063</v>
      </c>
      <c r="G424" s="6" t="s">
        <v>5065</v>
      </c>
      <c r="H424" s="6" t="s">
        <v>5066</v>
      </c>
      <c r="I424">
        <v>1983</v>
      </c>
    </row>
    <row r="425" spans="1:9" x14ac:dyDescent="0.3">
      <c r="A425" s="6" t="s">
        <v>270</v>
      </c>
      <c r="B425" s="1" t="s">
        <v>4513</v>
      </c>
      <c r="C425" s="6" t="s">
        <v>2114</v>
      </c>
      <c r="D425" s="6" t="s">
        <v>2291</v>
      </c>
      <c r="E425" s="6" t="s">
        <v>2292</v>
      </c>
      <c r="F425" s="6" t="s">
        <v>5064</v>
      </c>
      <c r="G425" s="6" t="s">
        <v>5065</v>
      </c>
      <c r="H425" s="6" t="s">
        <v>5066</v>
      </c>
      <c r="I425">
        <v>1983</v>
      </c>
    </row>
    <row r="426" spans="1:9" x14ac:dyDescent="0.3">
      <c r="A426" s="6" t="s">
        <v>292</v>
      </c>
      <c r="B426" s="1" t="s">
        <v>4521</v>
      </c>
      <c r="C426" s="6" t="s">
        <v>2295</v>
      </c>
      <c r="D426" s="6" t="s">
        <v>2296</v>
      </c>
      <c r="E426" s="6" t="s">
        <v>2298</v>
      </c>
      <c r="F426" s="6" t="s">
        <v>5061</v>
      </c>
      <c r="G426" s="6" t="s">
        <v>5065</v>
      </c>
      <c r="H426" s="6" t="s">
        <v>5066</v>
      </c>
      <c r="I426">
        <v>1983</v>
      </c>
    </row>
    <row r="427" spans="1:9" x14ac:dyDescent="0.3">
      <c r="A427" s="6" t="s">
        <v>292</v>
      </c>
      <c r="B427" s="1" t="s">
        <v>4521</v>
      </c>
      <c r="C427" s="6" t="s">
        <v>2295</v>
      </c>
      <c r="D427" s="6" t="s">
        <v>2302</v>
      </c>
      <c r="E427" s="6" t="s">
        <v>2303</v>
      </c>
      <c r="F427" s="6" t="s">
        <v>5062</v>
      </c>
      <c r="G427" s="6" t="s">
        <v>5065</v>
      </c>
      <c r="H427" s="6" t="s">
        <v>5066</v>
      </c>
      <c r="I427">
        <v>1983</v>
      </c>
    </row>
    <row r="428" spans="1:9" x14ac:dyDescent="0.3">
      <c r="A428" s="6" t="s">
        <v>292</v>
      </c>
      <c r="B428" s="1" t="s">
        <v>4521</v>
      </c>
      <c r="C428" s="6" t="s">
        <v>2295</v>
      </c>
      <c r="D428" s="6" t="s">
        <v>2306</v>
      </c>
      <c r="E428" s="6" t="s">
        <v>2307</v>
      </c>
      <c r="F428" s="6" t="s">
        <v>5063</v>
      </c>
      <c r="G428" s="6" t="s">
        <v>5065</v>
      </c>
      <c r="H428" s="6" t="s">
        <v>5066</v>
      </c>
      <c r="I428">
        <v>1983</v>
      </c>
    </row>
    <row r="429" spans="1:9" x14ac:dyDescent="0.3">
      <c r="A429" s="6" t="s">
        <v>292</v>
      </c>
      <c r="B429" s="1" t="s">
        <v>4521</v>
      </c>
      <c r="C429" s="6" t="s">
        <v>2295</v>
      </c>
      <c r="D429" s="6" t="s">
        <v>2309</v>
      </c>
      <c r="E429" s="6" t="s">
        <v>2310</v>
      </c>
      <c r="F429" s="6" t="s">
        <v>5064</v>
      </c>
      <c r="G429" s="6" t="s">
        <v>5065</v>
      </c>
      <c r="H429" s="6" t="s">
        <v>5066</v>
      </c>
      <c r="I429">
        <v>1983</v>
      </c>
    </row>
    <row r="430" spans="1:9" x14ac:dyDescent="0.3">
      <c r="A430" s="6" t="s">
        <v>292</v>
      </c>
      <c r="B430" s="1" t="s">
        <v>4521</v>
      </c>
      <c r="C430" s="6" t="s">
        <v>2295</v>
      </c>
      <c r="D430" s="6" t="s">
        <v>2314</v>
      </c>
      <c r="E430" s="6" t="s">
        <v>2315</v>
      </c>
      <c r="F430" s="6" t="s">
        <v>5061</v>
      </c>
      <c r="G430" s="6" t="s">
        <v>5065</v>
      </c>
      <c r="H430" s="6" t="s">
        <v>5066</v>
      </c>
      <c r="I430">
        <v>1983</v>
      </c>
    </row>
    <row r="431" spans="1:9" x14ac:dyDescent="0.3">
      <c r="A431" s="6" t="s">
        <v>292</v>
      </c>
      <c r="B431" s="1" t="s">
        <v>4521</v>
      </c>
      <c r="C431" s="6" t="s">
        <v>2295</v>
      </c>
      <c r="D431" s="6" t="s">
        <v>2318</v>
      </c>
      <c r="E431" s="6" t="s">
        <v>2319</v>
      </c>
      <c r="F431" s="6" t="s">
        <v>5062</v>
      </c>
      <c r="G431" s="6" t="s">
        <v>5065</v>
      </c>
      <c r="H431" s="6" t="s">
        <v>5066</v>
      </c>
      <c r="I431">
        <v>1983</v>
      </c>
    </row>
    <row r="432" spans="1:9" x14ac:dyDescent="0.3">
      <c r="A432" s="6" t="s">
        <v>292</v>
      </c>
      <c r="B432" s="1" t="s">
        <v>4521</v>
      </c>
      <c r="C432" s="6" t="s">
        <v>2295</v>
      </c>
      <c r="D432" s="6" t="s">
        <v>2322</v>
      </c>
      <c r="E432" s="6" t="s">
        <v>2323</v>
      </c>
      <c r="F432" s="6" t="s">
        <v>5063</v>
      </c>
      <c r="G432" s="6" t="s">
        <v>5065</v>
      </c>
      <c r="H432" s="6" t="s">
        <v>5066</v>
      </c>
      <c r="I432">
        <v>1983</v>
      </c>
    </row>
    <row r="433" spans="1:9" x14ac:dyDescent="0.3">
      <c r="A433" s="6" t="s">
        <v>292</v>
      </c>
      <c r="B433" s="1" t="s">
        <v>4521</v>
      </c>
      <c r="C433" s="6" t="s">
        <v>2295</v>
      </c>
      <c r="D433" s="6" t="s">
        <v>2328</v>
      </c>
      <c r="E433" s="6" t="s">
        <v>2329</v>
      </c>
      <c r="F433" s="6" t="s">
        <v>5064</v>
      </c>
      <c r="G433" s="6" t="s">
        <v>5065</v>
      </c>
      <c r="H433" s="6" t="s">
        <v>5066</v>
      </c>
      <c r="I433">
        <v>1983</v>
      </c>
    </row>
    <row r="434" spans="1:9" x14ac:dyDescent="0.3">
      <c r="A434" s="6" t="s">
        <v>292</v>
      </c>
      <c r="B434" s="1" t="s">
        <v>4521</v>
      </c>
      <c r="C434" s="6" t="s">
        <v>2295</v>
      </c>
      <c r="D434" s="6" t="s">
        <v>2333</v>
      </c>
      <c r="E434" s="6" t="s">
        <v>2334</v>
      </c>
      <c r="F434" s="6" t="s">
        <v>5061</v>
      </c>
      <c r="G434" s="6" t="s">
        <v>5065</v>
      </c>
      <c r="H434" s="6" t="s">
        <v>5066</v>
      </c>
      <c r="I434">
        <v>1983</v>
      </c>
    </row>
    <row r="435" spans="1:9" x14ac:dyDescent="0.3">
      <c r="A435" s="6" t="s">
        <v>292</v>
      </c>
      <c r="B435" s="1" t="s">
        <v>4521</v>
      </c>
      <c r="C435" s="6" t="s">
        <v>2295</v>
      </c>
      <c r="D435" s="6" t="s">
        <v>2337</v>
      </c>
      <c r="E435" s="6" t="s">
        <v>2338</v>
      </c>
      <c r="F435" s="6" t="s">
        <v>5062</v>
      </c>
      <c r="G435" s="6" t="s">
        <v>5065</v>
      </c>
      <c r="H435" s="6" t="s">
        <v>5066</v>
      </c>
      <c r="I435">
        <v>1983</v>
      </c>
    </row>
    <row r="436" spans="1:9" x14ac:dyDescent="0.3">
      <c r="A436" s="6" t="s">
        <v>292</v>
      </c>
      <c r="B436" s="1" t="s">
        <v>4521</v>
      </c>
      <c r="C436" s="6" t="s">
        <v>2295</v>
      </c>
      <c r="D436" s="6" t="s">
        <v>2343</v>
      </c>
      <c r="E436" s="6" t="s">
        <v>2344</v>
      </c>
      <c r="F436" s="6" t="s">
        <v>5063</v>
      </c>
      <c r="G436" s="6" t="s">
        <v>5065</v>
      </c>
      <c r="H436" s="6" t="s">
        <v>5066</v>
      </c>
      <c r="I436">
        <v>1983</v>
      </c>
    </row>
    <row r="437" spans="1:9" x14ac:dyDescent="0.3">
      <c r="A437" s="6" t="s">
        <v>292</v>
      </c>
      <c r="B437" s="1" t="s">
        <v>4521</v>
      </c>
      <c r="C437" s="6" t="s">
        <v>2295</v>
      </c>
      <c r="D437" s="6" t="s">
        <v>2347</v>
      </c>
      <c r="E437" s="6" t="s">
        <v>2348</v>
      </c>
      <c r="F437" s="6" t="s">
        <v>5064</v>
      </c>
      <c r="G437" s="6" t="s">
        <v>5065</v>
      </c>
      <c r="H437" s="6" t="s">
        <v>5066</v>
      </c>
      <c r="I437">
        <v>1983</v>
      </c>
    </row>
    <row r="438" spans="1:9" x14ac:dyDescent="0.3">
      <c r="A438" s="6" t="s">
        <v>292</v>
      </c>
      <c r="B438" s="1" t="s">
        <v>4521</v>
      </c>
      <c r="C438" s="6" t="s">
        <v>2295</v>
      </c>
      <c r="D438" s="6" t="s">
        <v>2350</v>
      </c>
      <c r="E438" s="6" t="s">
        <v>2351</v>
      </c>
      <c r="F438" s="6" t="s">
        <v>5061</v>
      </c>
      <c r="G438" s="6" t="s">
        <v>5065</v>
      </c>
      <c r="H438" s="6" t="s">
        <v>5066</v>
      </c>
      <c r="I438">
        <v>1983</v>
      </c>
    </row>
    <row r="439" spans="1:9" x14ac:dyDescent="0.3">
      <c r="A439" s="6" t="s">
        <v>292</v>
      </c>
      <c r="B439" s="1" t="s">
        <v>4521</v>
      </c>
      <c r="C439" s="6" t="s">
        <v>2295</v>
      </c>
      <c r="D439" s="6" t="s">
        <v>2355</v>
      </c>
      <c r="E439" s="6" t="s">
        <v>2356</v>
      </c>
      <c r="F439" s="6" t="s">
        <v>5062</v>
      </c>
      <c r="G439" s="6" t="s">
        <v>5065</v>
      </c>
      <c r="H439" s="6" t="s">
        <v>5066</v>
      </c>
      <c r="I439">
        <v>1983</v>
      </c>
    </row>
    <row r="440" spans="1:9" x14ac:dyDescent="0.3">
      <c r="A440" s="6" t="s">
        <v>292</v>
      </c>
      <c r="B440" s="1" t="s">
        <v>4521</v>
      </c>
      <c r="C440" s="6" t="s">
        <v>2295</v>
      </c>
      <c r="D440" s="6" t="s">
        <v>2360</v>
      </c>
      <c r="E440" s="6" t="s">
        <v>2361</v>
      </c>
      <c r="F440" s="6" t="s">
        <v>5063</v>
      </c>
      <c r="G440" s="6" t="s">
        <v>5065</v>
      </c>
      <c r="H440" s="6" t="s">
        <v>5066</v>
      </c>
      <c r="I440">
        <v>1983</v>
      </c>
    </row>
    <row r="441" spans="1:9" x14ac:dyDescent="0.3">
      <c r="A441" s="6" t="s">
        <v>292</v>
      </c>
      <c r="B441" s="1" t="s">
        <v>4521</v>
      </c>
      <c r="C441" s="6" t="s">
        <v>2295</v>
      </c>
      <c r="D441" s="6" t="s">
        <v>2362</v>
      </c>
      <c r="E441" s="6" t="s">
        <v>2363</v>
      </c>
      <c r="F441" s="6" t="s">
        <v>5064</v>
      </c>
      <c r="G441" s="6" t="s">
        <v>5065</v>
      </c>
      <c r="H441" s="6" t="s">
        <v>5066</v>
      </c>
      <c r="I441">
        <v>1983</v>
      </c>
    </row>
    <row r="442" spans="1:9" x14ac:dyDescent="0.3">
      <c r="A442" s="6" t="s">
        <v>292</v>
      </c>
      <c r="B442" s="1" t="s">
        <v>4521</v>
      </c>
      <c r="C442" s="6" t="s">
        <v>2295</v>
      </c>
      <c r="D442" s="6" t="s">
        <v>2366</v>
      </c>
      <c r="E442" s="6" t="s">
        <v>2367</v>
      </c>
      <c r="F442" s="6" t="s">
        <v>5061</v>
      </c>
      <c r="G442" s="6" t="s">
        <v>5065</v>
      </c>
      <c r="H442" s="6" t="s">
        <v>5066</v>
      </c>
      <c r="I442">
        <v>1983</v>
      </c>
    </row>
    <row r="443" spans="1:9" x14ac:dyDescent="0.3">
      <c r="A443" s="6" t="s">
        <v>292</v>
      </c>
      <c r="B443" s="1" t="s">
        <v>4521</v>
      </c>
      <c r="C443" s="6" t="s">
        <v>2295</v>
      </c>
      <c r="D443" s="6" t="s">
        <v>2371</v>
      </c>
      <c r="E443" s="6" t="s">
        <v>2372</v>
      </c>
      <c r="F443" s="6" t="s">
        <v>5062</v>
      </c>
      <c r="G443" s="6" t="s">
        <v>5065</v>
      </c>
      <c r="H443" s="6" t="s">
        <v>5066</v>
      </c>
      <c r="I443">
        <v>1983</v>
      </c>
    </row>
    <row r="444" spans="1:9" x14ac:dyDescent="0.3">
      <c r="A444" s="6" t="s">
        <v>292</v>
      </c>
      <c r="B444" s="1" t="s">
        <v>4521</v>
      </c>
      <c r="C444" s="6" t="s">
        <v>2295</v>
      </c>
      <c r="D444" s="6" t="s">
        <v>2376</v>
      </c>
      <c r="E444" s="6" t="s">
        <v>2377</v>
      </c>
      <c r="F444" s="6" t="s">
        <v>5063</v>
      </c>
      <c r="G444" s="6" t="s">
        <v>5065</v>
      </c>
      <c r="H444" s="6" t="s">
        <v>5066</v>
      </c>
      <c r="I444">
        <v>1983</v>
      </c>
    </row>
    <row r="445" spans="1:9" x14ac:dyDescent="0.3">
      <c r="A445" s="6" t="s">
        <v>292</v>
      </c>
      <c r="B445" s="1" t="s">
        <v>4521</v>
      </c>
      <c r="C445" s="6" t="s">
        <v>2295</v>
      </c>
      <c r="D445" s="6" t="s">
        <v>2378</v>
      </c>
      <c r="E445" s="6" t="s">
        <v>2379</v>
      </c>
      <c r="F445" s="6" t="s">
        <v>5064</v>
      </c>
      <c r="G445" s="6" t="s">
        <v>5065</v>
      </c>
      <c r="H445" s="6" t="s">
        <v>5066</v>
      </c>
      <c r="I445">
        <v>1983</v>
      </c>
    </row>
    <row r="446" spans="1:9" x14ac:dyDescent="0.3">
      <c r="A446" s="6" t="s">
        <v>292</v>
      </c>
      <c r="B446" s="1" t="s">
        <v>4521</v>
      </c>
      <c r="C446" s="6" t="s">
        <v>2295</v>
      </c>
      <c r="D446" s="6" t="s">
        <v>2382</v>
      </c>
      <c r="E446" s="6" t="s">
        <v>2383</v>
      </c>
      <c r="F446" s="6" t="s">
        <v>5061</v>
      </c>
      <c r="G446" s="6" t="s">
        <v>5065</v>
      </c>
      <c r="H446" s="6" t="s">
        <v>5066</v>
      </c>
      <c r="I446">
        <v>1983</v>
      </c>
    </row>
    <row r="447" spans="1:9" x14ac:dyDescent="0.3">
      <c r="A447" s="6" t="s">
        <v>292</v>
      </c>
      <c r="B447" s="1" t="s">
        <v>4521</v>
      </c>
      <c r="C447" s="6" t="s">
        <v>2295</v>
      </c>
      <c r="D447" s="6" t="s">
        <v>2387</v>
      </c>
      <c r="E447" s="6" t="s">
        <v>2388</v>
      </c>
      <c r="F447" s="6" t="s">
        <v>5062</v>
      </c>
      <c r="G447" s="6" t="s">
        <v>5065</v>
      </c>
      <c r="H447" s="6" t="s">
        <v>5066</v>
      </c>
      <c r="I447">
        <v>1983</v>
      </c>
    </row>
    <row r="448" spans="1:9" x14ac:dyDescent="0.3">
      <c r="A448" s="6" t="s">
        <v>292</v>
      </c>
      <c r="B448" s="1" t="s">
        <v>4521</v>
      </c>
      <c r="C448" s="6" t="s">
        <v>2295</v>
      </c>
      <c r="D448" s="6" t="s">
        <v>2392</v>
      </c>
      <c r="E448" s="6" t="s">
        <v>2393</v>
      </c>
      <c r="F448" s="6" t="s">
        <v>5063</v>
      </c>
      <c r="G448" s="6" t="s">
        <v>5065</v>
      </c>
      <c r="H448" s="6" t="s">
        <v>5066</v>
      </c>
      <c r="I448">
        <v>1983</v>
      </c>
    </row>
    <row r="449" spans="1:9" x14ac:dyDescent="0.3">
      <c r="A449" s="6" t="s">
        <v>292</v>
      </c>
      <c r="B449" s="1" t="s">
        <v>4521</v>
      </c>
      <c r="C449" s="6" t="s">
        <v>2394</v>
      </c>
      <c r="D449" s="6" t="s">
        <v>2395</v>
      </c>
      <c r="E449" s="6" t="s">
        <v>2397</v>
      </c>
      <c r="F449" s="6" t="s">
        <v>5064</v>
      </c>
      <c r="G449" s="6" t="s">
        <v>5065</v>
      </c>
      <c r="H449" s="6" t="s">
        <v>5066</v>
      </c>
      <c r="I449">
        <v>1983</v>
      </c>
    </row>
    <row r="450" spans="1:9" x14ac:dyDescent="0.3">
      <c r="A450" s="6" t="s">
        <v>292</v>
      </c>
      <c r="B450" s="1" t="s">
        <v>4521</v>
      </c>
      <c r="C450" s="6" t="s">
        <v>2394</v>
      </c>
      <c r="D450" s="6" t="s">
        <v>2401</v>
      </c>
      <c r="E450" s="6" t="s">
        <v>2402</v>
      </c>
      <c r="F450" s="6" t="s">
        <v>5061</v>
      </c>
      <c r="G450" s="6" t="s">
        <v>5065</v>
      </c>
      <c r="H450" s="6" t="s">
        <v>5066</v>
      </c>
      <c r="I450">
        <v>1983</v>
      </c>
    </row>
    <row r="451" spans="1:9" x14ac:dyDescent="0.3">
      <c r="A451" s="6" t="s">
        <v>292</v>
      </c>
      <c r="B451" s="1" t="s">
        <v>4521</v>
      </c>
      <c r="C451" s="6" t="s">
        <v>2394</v>
      </c>
      <c r="D451" s="6" t="s">
        <v>2407</v>
      </c>
      <c r="E451" s="6" t="s">
        <v>2408</v>
      </c>
      <c r="F451" s="6" t="s">
        <v>5062</v>
      </c>
      <c r="G451" s="6" t="s">
        <v>5065</v>
      </c>
      <c r="H451" s="6" t="s">
        <v>5066</v>
      </c>
      <c r="I451">
        <v>1983</v>
      </c>
    </row>
    <row r="452" spans="1:9" x14ac:dyDescent="0.3">
      <c r="A452" s="6" t="s">
        <v>292</v>
      </c>
      <c r="B452" s="1" t="s">
        <v>4521</v>
      </c>
      <c r="C452" s="6" t="s">
        <v>2394</v>
      </c>
      <c r="D452" s="6" t="s">
        <v>2411</v>
      </c>
      <c r="E452" s="6" t="s">
        <v>2412</v>
      </c>
      <c r="F452" s="6" t="s">
        <v>5063</v>
      </c>
      <c r="G452" s="6" t="s">
        <v>5065</v>
      </c>
      <c r="H452" s="6" t="s">
        <v>5066</v>
      </c>
      <c r="I452">
        <v>1985</v>
      </c>
    </row>
    <row r="453" spans="1:9" x14ac:dyDescent="0.3">
      <c r="A453" s="6" t="s">
        <v>292</v>
      </c>
      <c r="B453" s="1" t="s">
        <v>4521</v>
      </c>
      <c r="C453" s="6" t="s">
        <v>2394</v>
      </c>
      <c r="D453" s="6" t="s">
        <v>2416</v>
      </c>
      <c r="E453" s="6" t="s">
        <v>2417</v>
      </c>
      <c r="F453" s="6" t="s">
        <v>5064</v>
      </c>
      <c r="G453" s="6" t="s">
        <v>5065</v>
      </c>
      <c r="H453" s="6" t="s">
        <v>5066</v>
      </c>
      <c r="I453">
        <v>1985</v>
      </c>
    </row>
    <row r="454" spans="1:9" x14ac:dyDescent="0.3">
      <c r="A454" s="6" t="s">
        <v>292</v>
      </c>
      <c r="B454" s="1" t="s">
        <v>4521</v>
      </c>
      <c r="C454" s="6" t="s">
        <v>2394</v>
      </c>
      <c r="D454" s="6" t="s">
        <v>2419</v>
      </c>
      <c r="E454" s="6" t="s">
        <v>2420</v>
      </c>
      <c r="F454" s="6" t="s">
        <v>5061</v>
      </c>
      <c r="G454" s="6" t="s">
        <v>5065</v>
      </c>
      <c r="H454" s="6" t="s">
        <v>5066</v>
      </c>
      <c r="I454">
        <v>1985</v>
      </c>
    </row>
    <row r="455" spans="1:9" x14ac:dyDescent="0.3">
      <c r="A455" s="6" t="s">
        <v>292</v>
      </c>
      <c r="B455" s="1" t="s">
        <v>4521</v>
      </c>
      <c r="C455" s="6" t="s">
        <v>2394</v>
      </c>
      <c r="D455" s="6" t="s">
        <v>2422</v>
      </c>
      <c r="E455" s="6" t="s">
        <v>2423</v>
      </c>
      <c r="F455" s="6" t="s">
        <v>5062</v>
      </c>
      <c r="G455" s="6" t="s">
        <v>5065</v>
      </c>
      <c r="H455" s="6" t="s">
        <v>5066</v>
      </c>
      <c r="I455">
        <v>1985</v>
      </c>
    </row>
    <row r="456" spans="1:9" x14ac:dyDescent="0.3">
      <c r="A456" s="6" t="s">
        <v>292</v>
      </c>
      <c r="B456" s="1" t="s">
        <v>4521</v>
      </c>
      <c r="C456" s="6" t="s">
        <v>2394</v>
      </c>
      <c r="D456" s="6" t="s">
        <v>2426</v>
      </c>
      <c r="E456" s="6" t="s">
        <v>2427</v>
      </c>
      <c r="F456" s="6" t="s">
        <v>5063</v>
      </c>
      <c r="G456" s="6" t="s">
        <v>5065</v>
      </c>
      <c r="H456" s="6" t="s">
        <v>5066</v>
      </c>
      <c r="I456">
        <v>1985</v>
      </c>
    </row>
    <row r="457" spans="1:9" x14ac:dyDescent="0.3">
      <c r="A457" s="6" t="s">
        <v>292</v>
      </c>
      <c r="B457" s="1" t="s">
        <v>4521</v>
      </c>
      <c r="C457" s="6" t="s">
        <v>2394</v>
      </c>
      <c r="D457" s="6" t="s">
        <v>2430</v>
      </c>
      <c r="E457" s="6" t="s">
        <v>2431</v>
      </c>
      <c r="F457" s="6" t="s">
        <v>5064</v>
      </c>
      <c r="G457" s="6" t="s">
        <v>5065</v>
      </c>
      <c r="H457" s="6" t="s">
        <v>5066</v>
      </c>
      <c r="I457">
        <v>1985</v>
      </c>
    </row>
    <row r="458" spans="1:9" x14ac:dyDescent="0.3">
      <c r="A458" s="6" t="s">
        <v>292</v>
      </c>
      <c r="B458" s="1" t="s">
        <v>4521</v>
      </c>
      <c r="C458" s="6" t="s">
        <v>2394</v>
      </c>
      <c r="D458" s="6" t="s">
        <v>2433</v>
      </c>
      <c r="E458" s="6" t="s">
        <v>2434</v>
      </c>
      <c r="F458" s="6" t="s">
        <v>5061</v>
      </c>
      <c r="G458" s="6" t="s">
        <v>5065</v>
      </c>
      <c r="H458" s="6" t="s">
        <v>5066</v>
      </c>
      <c r="I458">
        <v>1985</v>
      </c>
    </row>
    <row r="459" spans="1:9" x14ac:dyDescent="0.3">
      <c r="A459" s="6" t="s">
        <v>292</v>
      </c>
      <c r="B459" s="1" t="s">
        <v>4521</v>
      </c>
      <c r="C459" s="6" t="s">
        <v>2394</v>
      </c>
      <c r="D459" s="6" t="s">
        <v>2439</v>
      </c>
      <c r="E459" s="6" t="s">
        <v>2440</v>
      </c>
      <c r="F459" s="6" t="s">
        <v>5062</v>
      </c>
      <c r="G459" s="6" t="s">
        <v>5065</v>
      </c>
      <c r="H459" s="6" t="s">
        <v>5066</v>
      </c>
      <c r="I459">
        <v>1985</v>
      </c>
    </row>
    <row r="460" spans="1:9" x14ac:dyDescent="0.3">
      <c r="A460" s="6" t="s">
        <v>292</v>
      </c>
      <c r="B460" s="1" t="s">
        <v>4521</v>
      </c>
      <c r="C460" s="6" t="s">
        <v>2394</v>
      </c>
      <c r="D460" s="6" t="s">
        <v>2444</v>
      </c>
      <c r="E460" s="6" t="s">
        <v>2445</v>
      </c>
      <c r="F460" s="6" t="s">
        <v>5063</v>
      </c>
      <c r="G460" s="6" t="s">
        <v>5065</v>
      </c>
      <c r="H460" s="6" t="s">
        <v>5066</v>
      </c>
      <c r="I460">
        <v>1985</v>
      </c>
    </row>
    <row r="461" spans="1:9" x14ac:dyDescent="0.3">
      <c r="A461" s="6" t="s">
        <v>292</v>
      </c>
      <c r="B461" s="1" t="s">
        <v>4521</v>
      </c>
      <c r="C461" s="6" t="s">
        <v>2394</v>
      </c>
      <c r="D461" s="6" t="s">
        <v>2448</v>
      </c>
      <c r="E461" s="6" t="s">
        <v>2449</v>
      </c>
      <c r="F461" s="6" t="s">
        <v>5064</v>
      </c>
      <c r="G461" s="6" t="s">
        <v>5065</v>
      </c>
      <c r="H461" s="6" t="s">
        <v>5066</v>
      </c>
      <c r="I461">
        <v>1985</v>
      </c>
    </row>
    <row r="462" spans="1:9" x14ac:dyDescent="0.3">
      <c r="A462" s="6" t="s">
        <v>292</v>
      </c>
      <c r="B462" s="1" t="s">
        <v>4521</v>
      </c>
      <c r="C462" s="6" t="s">
        <v>2394</v>
      </c>
      <c r="D462" s="6" t="s">
        <v>2452</v>
      </c>
      <c r="E462" s="6" t="s">
        <v>2453</v>
      </c>
      <c r="F462" s="6" t="s">
        <v>5061</v>
      </c>
      <c r="G462" s="6" t="s">
        <v>5065</v>
      </c>
      <c r="H462" s="6" t="s">
        <v>5066</v>
      </c>
      <c r="I462">
        <v>1985</v>
      </c>
    </row>
    <row r="463" spans="1:9" x14ac:dyDescent="0.3">
      <c r="A463" s="6" t="s">
        <v>292</v>
      </c>
      <c r="B463" s="1" t="s">
        <v>4521</v>
      </c>
      <c r="C463" s="6" t="s">
        <v>2394</v>
      </c>
      <c r="D463" s="6" t="s">
        <v>2457</v>
      </c>
      <c r="E463" s="6" t="s">
        <v>2458</v>
      </c>
      <c r="F463" s="6" t="s">
        <v>5062</v>
      </c>
      <c r="G463" s="6" t="s">
        <v>5065</v>
      </c>
      <c r="H463" s="6" t="s">
        <v>5066</v>
      </c>
      <c r="I463">
        <v>1985</v>
      </c>
    </row>
    <row r="464" spans="1:9" x14ac:dyDescent="0.3">
      <c r="A464" s="6" t="s">
        <v>292</v>
      </c>
      <c r="B464" s="1" t="s">
        <v>4514</v>
      </c>
      <c r="C464" s="6" t="s">
        <v>2461</v>
      </c>
      <c r="D464" s="6" t="s">
        <v>2462</v>
      </c>
      <c r="E464" s="6" t="s">
        <v>2464</v>
      </c>
      <c r="F464" s="6" t="s">
        <v>5063</v>
      </c>
      <c r="G464" s="6" t="s">
        <v>5065</v>
      </c>
      <c r="H464" s="6" t="s">
        <v>5066</v>
      </c>
      <c r="I464">
        <v>1985</v>
      </c>
    </row>
    <row r="465" spans="1:9" x14ac:dyDescent="0.3">
      <c r="A465" s="6" t="s">
        <v>292</v>
      </c>
      <c r="B465" s="1" t="s">
        <v>4514</v>
      </c>
      <c r="C465" s="6" t="s">
        <v>2461</v>
      </c>
      <c r="D465" s="6" t="s">
        <v>2467</v>
      </c>
      <c r="E465" s="6" t="s">
        <v>2468</v>
      </c>
      <c r="F465" s="6" t="s">
        <v>5064</v>
      </c>
      <c r="G465" s="6" t="s">
        <v>5065</v>
      </c>
      <c r="H465" s="6" t="s">
        <v>5066</v>
      </c>
      <c r="I465">
        <v>1985</v>
      </c>
    </row>
    <row r="466" spans="1:9" x14ac:dyDescent="0.3">
      <c r="A466" s="6" t="s">
        <v>292</v>
      </c>
      <c r="B466" s="1" t="s">
        <v>4514</v>
      </c>
      <c r="C466" s="6" t="s">
        <v>2461</v>
      </c>
      <c r="D466" s="6" t="s">
        <v>2472</v>
      </c>
      <c r="E466" s="6" t="s">
        <v>2473</v>
      </c>
      <c r="F466" s="6" t="s">
        <v>5061</v>
      </c>
      <c r="G466" s="6" t="s">
        <v>5065</v>
      </c>
      <c r="H466" s="6" t="s">
        <v>5066</v>
      </c>
      <c r="I466">
        <v>1985</v>
      </c>
    </row>
    <row r="467" spans="1:9" x14ac:dyDescent="0.3">
      <c r="A467" s="6" t="s">
        <v>292</v>
      </c>
      <c r="B467" s="1" t="s">
        <v>4514</v>
      </c>
      <c r="C467" s="6" t="s">
        <v>2461</v>
      </c>
      <c r="D467" s="6" t="s">
        <v>2476</v>
      </c>
      <c r="E467" s="6" t="s">
        <v>2477</v>
      </c>
      <c r="F467" s="6" t="s">
        <v>5062</v>
      </c>
      <c r="G467" s="6" t="s">
        <v>5065</v>
      </c>
      <c r="H467" s="6" t="s">
        <v>5066</v>
      </c>
      <c r="I467">
        <v>1985</v>
      </c>
    </row>
    <row r="468" spans="1:9" x14ac:dyDescent="0.3">
      <c r="A468" s="6" t="s">
        <v>270</v>
      </c>
      <c r="B468" s="1" t="s">
        <v>4519</v>
      </c>
      <c r="C468" s="6" t="s">
        <v>2480</v>
      </c>
      <c r="D468" s="6" t="s">
        <v>2481</v>
      </c>
      <c r="E468" s="6" t="s">
        <v>2483</v>
      </c>
      <c r="F468" s="6" t="s">
        <v>5063</v>
      </c>
      <c r="G468" s="6" t="s">
        <v>5065</v>
      </c>
      <c r="H468" s="6" t="s">
        <v>5066</v>
      </c>
      <c r="I468">
        <v>1985</v>
      </c>
    </row>
    <row r="469" spans="1:9" x14ac:dyDescent="0.3">
      <c r="A469" s="6" t="s">
        <v>270</v>
      </c>
      <c r="B469" s="1" t="s">
        <v>4519</v>
      </c>
      <c r="C469" s="6" t="s">
        <v>2480</v>
      </c>
      <c r="D469" s="6" t="s">
        <v>2488</v>
      </c>
      <c r="E469" s="6" t="s">
        <v>2489</v>
      </c>
      <c r="F469" s="6" t="s">
        <v>5064</v>
      </c>
      <c r="G469" s="6" t="s">
        <v>5065</v>
      </c>
      <c r="H469" s="6" t="s">
        <v>5066</v>
      </c>
      <c r="I469">
        <v>1985</v>
      </c>
    </row>
    <row r="470" spans="1:9" x14ac:dyDescent="0.3">
      <c r="A470" s="6" t="s">
        <v>270</v>
      </c>
      <c r="B470" s="1" t="s">
        <v>4519</v>
      </c>
      <c r="C470" s="6" t="s">
        <v>2480</v>
      </c>
      <c r="D470" s="6" t="s">
        <v>2493</v>
      </c>
      <c r="E470" s="6" t="s">
        <v>2494</v>
      </c>
      <c r="F470" s="6" t="s">
        <v>5061</v>
      </c>
      <c r="G470" s="6" t="s">
        <v>5065</v>
      </c>
      <c r="H470" s="6" t="s">
        <v>5066</v>
      </c>
      <c r="I470">
        <v>1985</v>
      </c>
    </row>
    <row r="471" spans="1:9" x14ac:dyDescent="0.3">
      <c r="A471" s="6" t="s">
        <v>270</v>
      </c>
      <c r="B471" s="1" t="s">
        <v>4519</v>
      </c>
      <c r="C471" s="6" t="s">
        <v>2480</v>
      </c>
      <c r="D471" s="6" t="s">
        <v>2496</v>
      </c>
      <c r="E471" s="6" t="s">
        <v>2497</v>
      </c>
      <c r="F471" s="6" t="s">
        <v>5062</v>
      </c>
      <c r="G471" s="6" t="s">
        <v>5065</v>
      </c>
      <c r="H471" s="6" t="s">
        <v>5066</v>
      </c>
      <c r="I471">
        <v>1985</v>
      </c>
    </row>
    <row r="472" spans="1:9" ht="28.8" x14ac:dyDescent="0.3">
      <c r="A472" s="6" t="s">
        <v>262</v>
      </c>
      <c r="B472" s="1" t="s">
        <v>4518</v>
      </c>
      <c r="C472" s="6" t="s">
        <v>2500</v>
      </c>
      <c r="D472" s="6" t="s">
        <v>2501</v>
      </c>
      <c r="E472" s="6" t="s">
        <v>2503</v>
      </c>
      <c r="F472" s="6" t="s">
        <v>5063</v>
      </c>
      <c r="G472" s="6" t="s">
        <v>5065</v>
      </c>
      <c r="H472" s="6" t="s">
        <v>5066</v>
      </c>
      <c r="I472">
        <v>1985</v>
      </c>
    </row>
    <row r="473" spans="1:9" ht="28.8" x14ac:dyDescent="0.3">
      <c r="A473" s="6" t="s">
        <v>262</v>
      </c>
      <c r="B473" s="1" t="s">
        <v>4518</v>
      </c>
      <c r="C473" s="6" t="s">
        <v>2500</v>
      </c>
      <c r="D473" s="6" t="s">
        <v>2506</v>
      </c>
      <c r="E473" s="6" t="s">
        <v>2507</v>
      </c>
      <c r="F473" s="6" t="s">
        <v>5064</v>
      </c>
      <c r="G473" s="6" t="s">
        <v>5065</v>
      </c>
      <c r="H473" s="6" t="s">
        <v>5066</v>
      </c>
      <c r="I473">
        <v>1985</v>
      </c>
    </row>
    <row r="474" spans="1:9" ht="28.8" x14ac:dyDescent="0.3">
      <c r="A474" s="6" t="s">
        <v>262</v>
      </c>
      <c r="B474" s="1" t="s">
        <v>4518</v>
      </c>
      <c r="C474" s="6" t="s">
        <v>2500</v>
      </c>
      <c r="D474" s="6" t="s">
        <v>2508</v>
      </c>
      <c r="E474" s="6" t="s">
        <v>2509</v>
      </c>
      <c r="F474" s="6" t="s">
        <v>5061</v>
      </c>
      <c r="G474" s="6" t="s">
        <v>5065</v>
      </c>
      <c r="H474" s="6" t="s">
        <v>5066</v>
      </c>
      <c r="I474">
        <v>1985</v>
      </c>
    </row>
    <row r="475" spans="1:9" ht="28.8" x14ac:dyDescent="0.3">
      <c r="A475" s="6" t="s">
        <v>262</v>
      </c>
      <c r="B475" s="1" t="s">
        <v>4518</v>
      </c>
      <c r="C475" s="6" t="s">
        <v>2500</v>
      </c>
      <c r="D475" s="6" t="s">
        <v>2514</v>
      </c>
      <c r="E475" s="6" t="s">
        <v>2515</v>
      </c>
      <c r="F475" s="6" t="s">
        <v>5062</v>
      </c>
      <c r="G475" s="6" t="s">
        <v>5065</v>
      </c>
      <c r="H475" s="6" t="s">
        <v>5066</v>
      </c>
      <c r="I475">
        <v>1985</v>
      </c>
    </row>
    <row r="476" spans="1:9" ht="28.8" x14ac:dyDescent="0.3">
      <c r="A476" s="6" t="s">
        <v>262</v>
      </c>
      <c r="B476" s="1" t="s">
        <v>4518</v>
      </c>
      <c r="C476" s="6" t="s">
        <v>2500</v>
      </c>
      <c r="D476" s="6" t="s">
        <v>2519</v>
      </c>
      <c r="E476" s="6" t="s">
        <v>2520</v>
      </c>
      <c r="F476" s="6" t="s">
        <v>5063</v>
      </c>
      <c r="G476" s="6" t="s">
        <v>5065</v>
      </c>
      <c r="H476" s="6" t="s">
        <v>5066</v>
      </c>
      <c r="I476">
        <v>1985</v>
      </c>
    </row>
    <row r="477" spans="1:9" ht="28.8" x14ac:dyDescent="0.3">
      <c r="A477" s="6" t="s">
        <v>262</v>
      </c>
      <c r="B477" s="1" t="s">
        <v>4518</v>
      </c>
      <c r="C477" s="6" t="s">
        <v>2500</v>
      </c>
      <c r="D477" s="6" t="s">
        <v>2523</v>
      </c>
      <c r="E477" s="6" t="s">
        <v>2524</v>
      </c>
      <c r="F477" s="6" t="s">
        <v>5064</v>
      </c>
      <c r="G477" s="6" t="s">
        <v>5065</v>
      </c>
      <c r="H477" s="6" t="s">
        <v>5066</v>
      </c>
      <c r="I477">
        <v>1985</v>
      </c>
    </row>
    <row r="478" spans="1:9" ht="28.8" x14ac:dyDescent="0.3">
      <c r="A478" s="6" t="s">
        <v>262</v>
      </c>
      <c r="B478" s="1" t="s">
        <v>4518</v>
      </c>
      <c r="C478" s="6" t="s">
        <v>2500</v>
      </c>
      <c r="D478" s="6" t="s">
        <v>2527</v>
      </c>
      <c r="E478" s="6" t="s">
        <v>2528</v>
      </c>
      <c r="F478" s="6" t="s">
        <v>5061</v>
      </c>
      <c r="G478" s="6" t="s">
        <v>5065</v>
      </c>
      <c r="H478" s="6" t="s">
        <v>5066</v>
      </c>
      <c r="I478">
        <v>1985</v>
      </c>
    </row>
    <row r="479" spans="1:9" ht="28.8" x14ac:dyDescent="0.3">
      <c r="A479" s="6" t="s">
        <v>262</v>
      </c>
      <c r="B479" s="1" t="s">
        <v>4518</v>
      </c>
      <c r="C479" s="6" t="s">
        <v>2500</v>
      </c>
      <c r="D479" s="6" t="s">
        <v>2531</v>
      </c>
      <c r="E479" s="6" t="s">
        <v>2532</v>
      </c>
      <c r="F479" s="6" t="s">
        <v>5062</v>
      </c>
      <c r="G479" s="6" t="s">
        <v>5065</v>
      </c>
      <c r="H479" s="6" t="s">
        <v>5066</v>
      </c>
      <c r="I479">
        <v>1985</v>
      </c>
    </row>
    <row r="480" spans="1:9" ht="28.8" x14ac:dyDescent="0.3">
      <c r="A480" s="6" t="s">
        <v>262</v>
      </c>
      <c r="B480" s="1" t="s">
        <v>4518</v>
      </c>
      <c r="C480" s="6" t="s">
        <v>2500</v>
      </c>
      <c r="D480" s="6" t="s">
        <v>2536</v>
      </c>
      <c r="E480" s="6" t="s">
        <v>2537</v>
      </c>
      <c r="F480" s="6" t="s">
        <v>5063</v>
      </c>
      <c r="G480" s="6" t="s">
        <v>5065</v>
      </c>
      <c r="H480" s="6" t="s">
        <v>5066</v>
      </c>
      <c r="I480">
        <v>1985</v>
      </c>
    </row>
    <row r="481" spans="1:9" ht="28.8" x14ac:dyDescent="0.3">
      <c r="A481" s="6" t="s">
        <v>262</v>
      </c>
      <c r="B481" s="1" t="s">
        <v>4518</v>
      </c>
      <c r="C481" s="6" t="s">
        <v>2500</v>
      </c>
      <c r="D481" s="6" t="s">
        <v>2540</v>
      </c>
      <c r="E481" s="6" t="s">
        <v>2541</v>
      </c>
      <c r="F481" s="6" t="s">
        <v>5064</v>
      </c>
      <c r="G481" s="6" t="s">
        <v>5065</v>
      </c>
      <c r="H481" s="6" t="s">
        <v>5066</v>
      </c>
      <c r="I481">
        <v>1985</v>
      </c>
    </row>
    <row r="482" spans="1:9" ht="28.8" x14ac:dyDescent="0.3">
      <c r="A482" s="6" t="s">
        <v>262</v>
      </c>
      <c r="B482" s="1" t="s">
        <v>4518</v>
      </c>
      <c r="C482" s="6" t="s">
        <v>2500</v>
      </c>
      <c r="D482" s="6" t="s">
        <v>2545</v>
      </c>
      <c r="E482" s="6" t="s">
        <v>2546</v>
      </c>
      <c r="F482" s="6" t="s">
        <v>5061</v>
      </c>
      <c r="G482" s="6" t="s">
        <v>5065</v>
      </c>
      <c r="H482" s="6" t="s">
        <v>5066</v>
      </c>
      <c r="I482">
        <v>1985</v>
      </c>
    </row>
    <row r="483" spans="1:9" ht="28.8" x14ac:dyDescent="0.3">
      <c r="A483" s="6" t="s">
        <v>262</v>
      </c>
      <c r="B483" s="1" t="s">
        <v>4518</v>
      </c>
      <c r="C483" s="6" t="s">
        <v>2500</v>
      </c>
      <c r="D483" s="6" t="s">
        <v>2550</v>
      </c>
      <c r="E483" s="6" t="s">
        <v>2551</v>
      </c>
      <c r="F483" s="6" t="s">
        <v>5062</v>
      </c>
      <c r="G483" s="6" t="s">
        <v>5065</v>
      </c>
      <c r="H483" s="6" t="s">
        <v>5066</v>
      </c>
      <c r="I483">
        <v>1985</v>
      </c>
    </row>
    <row r="484" spans="1:9" x14ac:dyDescent="0.3">
      <c r="A484" s="6" t="s">
        <v>262</v>
      </c>
      <c r="B484" s="1" t="s">
        <v>4517</v>
      </c>
      <c r="C484" s="6" t="s">
        <v>2554</v>
      </c>
      <c r="D484" s="6" t="s">
        <v>2555</v>
      </c>
      <c r="E484" s="6" t="s">
        <v>2557</v>
      </c>
      <c r="F484" s="6" t="s">
        <v>5063</v>
      </c>
      <c r="G484" s="6" t="s">
        <v>5065</v>
      </c>
      <c r="H484" s="6" t="s">
        <v>5066</v>
      </c>
      <c r="I484">
        <v>1985</v>
      </c>
    </row>
    <row r="485" spans="1:9" x14ac:dyDescent="0.3">
      <c r="A485" s="6" t="s">
        <v>262</v>
      </c>
      <c r="B485" s="1" t="s">
        <v>4517</v>
      </c>
      <c r="C485" s="6" t="s">
        <v>2554</v>
      </c>
      <c r="D485" s="6" t="s">
        <v>2562</v>
      </c>
      <c r="E485" s="6" t="s">
        <v>2563</v>
      </c>
      <c r="F485" s="6" t="s">
        <v>5064</v>
      </c>
      <c r="G485" s="6" t="s">
        <v>5065</v>
      </c>
      <c r="H485" s="6" t="s">
        <v>5066</v>
      </c>
      <c r="I485">
        <v>1985</v>
      </c>
    </row>
    <row r="486" spans="1:9" x14ac:dyDescent="0.3">
      <c r="A486" s="6" t="s">
        <v>262</v>
      </c>
      <c r="B486" s="1" t="s">
        <v>4517</v>
      </c>
      <c r="C486" s="6" t="s">
        <v>2554</v>
      </c>
      <c r="D486" s="6" t="s">
        <v>2566</v>
      </c>
      <c r="E486" s="6" t="s">
        <v>2567</v>
      </c>
      <c r="F486" s="6" t="s">
        <v>5061</v>
      </c>
      <c r="G486" s="6" t="s">
        <v>5065</v>
      </c>
      <c r="H486" s="6" t="s">
        <v>5066</v>
      </c>
      <c r="I486">
        <v>1985</v>
      </c>
    </row>
    <row r="487" spans="1:9" x14ac:dyDescent="0.3">
      <c r="A487" s="6" t="s">
        <v>262</v>
      </c>
      <c r="B487" s="1" t="s">
        <v>4517</v>
      </c>
      <c r="C487" s="6" t="s">
        <v>2554</v>
      </c>
      <c r="D487" s="6" t="s">
        <v>2570</v>
      </c>
      <c r="E487" s="6" t="s">
        <v>2571</v>
      </c>
      <c r="F487" s="6" t="s">
        <v>5062</v>
      </c>
      <c r="G487" s="6" t="s">
        <v>5065</v>
      </c>
      <c r="H487" s="6" t="s">
        <v>5066</v>
      </c>
      <c r="I487">
        <v>1985</v>
      </c>
    </row>
    <row r="488" spans="1:9" x14ac:dyDescent="0.3">
      <c r="A488" s="6" t="s">
        <v>262</v>
      </c>
      <c r="B488" s="1" t="s">
        <v>4517</v>
      </c>
      <c r="C488" s="6" t="s">
        <v>2554</v>
      </c>
      <c r="D488" s="6" t="s">
        <v>2576</v>
      </c>
      <c r="E488" s="6" t="s">
        <v>2577</v>
      </c>
      <c r="F488" s="6" t="s">
        <v>5063</v>
      </c>
      <c r="G488" s="6" t="s">
        <v>5065</v>
      </c>
      <c r="H488" s="6" t="s">
        <v>5066</v>
      </c>
      <c r="I488">
        <v>1985</v>
      </c>
    </row>
    <row r="489" spans="1:9" x14ac:dyDescent="0.3">
      <c r="A489" s="6" t="s">
        <v>262</v>
      </c>
      <c r="B489" s="1" t="s">
        <v>4517</v>
      </c>
      <c r="C489" s="6" t="s">
        <v>2554</v>
      </c>
      <c r="D489" s="6" t="s">
        <v>2580</v>
      </c>
      <c r="E489" s="6" t="s">
        <v>2581</v>
      </c>
      <c r="F489" s="6" t="s">
        <v>5064</v>
      </c>
      <c r="G489" s="6" t="s">
        <v>5065</v>
      </c>
      <c r="H489" s="6" t="s">
        <v>5066</v>
      </c>
      <c r="I489">
        <v>1985</v>
      </c>
    </row>
    <row r="490" spans="1:9" x14ac:dyDescent="0.3">
      <c r="A490" s="6" t="s">
        <v>262</v>
      </c>
      <c r="B490" s="1" t="s">
        <v>4517</v>
      </c>
      <c r="C490" s="6" t="s">
        <v>2554</v>
      </c>
      <c r="D490" s="6" t="s">
        <v>2584</v>
      </c>
      <c r="E490" s="6" t="s">
        <v>2585</v>
      </c>
      <c r="F490" s="6" t="s">
        <v>5061</v>
      </c>
      <c r="G490" s="6" t="s">
        <v>5065</v>
      </c>
      <c r="H490" s="6" t="s">
        <v>5066</v>
      </c>
      <c r="I490">
        <v>1985</v>
      </c>
    </row>
    <row r="491" spans="1:9" x14ac:dyDescent="0.3">
      <c r="A491" s="6" t="s">
        <v>262</v>
      </c>
      <c r="B491" s="1" t="s">
        <v>4517</v>
      </c>
      <c r="C491" s="6" t="s">
        <v>2554</v>
      </c>
      <c r="D491" s="6" t="s">
        <v>2589</v>
      </c>
      <c r="E491" s="6" t="s">
        <v>2590</v>
      </c>
      <c r="F491" s="6" t="s">
        <v>5062</v>
      </c>
      <c r="G491" s="6" t="s">
        <v>5065</v>
      </c>
      <c r="H491" s="6" t="s">
        <v>5066</v>
      </c>
      <c r="I491">
        <v>1985</v>
      </c>
    </row>
    <row r="492" spans="1:9" x14ac:dyDescent="0.3">
      <c r="A492" s="6" t="s">
        <v>262</v>
      </c>
      <c r="B492" s="1" t="s">
        <v>4517</v>
      </c>
      <c r="C492" s="6" t="s">
        <v>2554</v>
      </c>
      <c r="D492" s="6" t="s">
        <v>2594</v>
      </c>
      <c r="E492" s="6" t="s">
        <v>2595</v>
      </c>
      <c r="F492" s="6" t="s">
        <v>5063</v>
      </c>
      <c r="G492" s="6" t="s">
        <v>5065</v>
      </c>
      <c r="H492" s="6" t="s">
        <v>5066</v>
      </c>
      <c r="I492">
        <v>1985</v>
      </c>
    </row>
    <row r="493" spans="1:9" x14ac:dyDescent="0.3">
      <c r="A493" s="6" t="s">
        <v>262</v>
      </c>
      <c r="B493" s="1" t="s">
        <v>4517</v>
      </c>
      <c r="C493" s="6" t="s">
        <v>2554</v>
      </c>
      <c r="D493" s="6" t="s">
        <v>2600</v>
      </c>
      <c r="E493" s="6" t="s">
        <v>2601</v>
      </c>
      <c r="F493" s="6" t="s">
        <v>5064</v>
      </c>
      <c r="G493" s="6" t="s">
        <v>5065</v>
      </c>
      <c r="H493" s="6" t="s">
        <v>5066</v>
      </c>
      <c r="I493">
        <v>1985</v>
      </c>
    </row>
    <row r="494" spans="1:9" x14ac:dyDescent="0.3">
      <c r="A494" s="6" t="s">
        <v>262</v>
      </c>
      <c r="B494" s="1" t="s">
        <v>4517</v>
      </c>
      <c r="C494" s="6" t="s">
        <v>2554</v>
      </c>
      <c r="D494" s="6" t="s">
        <v>2606</v>
      </c>
      <c r="E494" s="6" t="s">
        <v>2607</v>
      </c>
      <c r="F494" s="6" t="s">
        <v>5061</v>
      </c>
      <c r="G494" s="6" t="s">
        <v>5065</v>
      </c>
      <c r="H494" s="6" t="s">
        <v>5066</v>
      </c>
      <c r="I494">
        <v>1985</v>
      </c>
    </row>
    <row r="495" spans="1:9" x14ac:dyDescent="0.3">
      <c r="A495" s="6" t="s">
        <v>202</v>
      </c>
      <c r="B495" s="1" t="s">
        <v>4520</v>
      </c>
      <c r="C495" s="6" t="s">
        <v>2610</v>
      </c>
      <c r="D495" s="6" t="s">
        <v>2611</v>
      </c>
      <c r="E495" s="6" t="s">
        <v>2612</v>
      </c>
      <c r="F495" s="6" t="s">
        <v>5062</v>
      </c>
      <c r="G495" s="6" t="s">
        <v>5065</v>
      </c>
      <c r="H495" s="6" t="s">
        <v>5066</v>
      </c>
      <c r="I495">
        <v>1985</v>
      </c>
    </row>
    <row r="496" spans="1:9" x14ac:dyDescent="0.3">
      <c r="A496" s="6" t="s">
        <v>202</v>
      </c>
      <c r="B496" s="1" t="s">
        <v>4520</v>
      </c>
      <c r="C496" s="6" t="s">
        <v>2610</v>
      </c>
      <c r="D496" s="6" t="s">
        <v>2617</v>
      </c>
      <c r="E496" s="6" t="s">
        <v>2618</v>
      </c>
      <c r="F496" s="6" t="s">
        <v>5063</v>
      </c>
      <c r="G496" s="6" t="s">
        <v>5065</v>
      </c>
      <c r="H496" s="6" t="s">
        <v>5066</v>
      </c>
      <c r="I496">
        <v>1985</v>
      </c>
    </row>
    <row r="497" spans="1:9" x14ac:dyDescent="0.3">
      <c r="A497" s="6" t="s">
        <v>202</v>
      </c>
      <c r="B497" s="1" t="s">
        <v>4520</v>
      </c>
      <c r="C497" s="6" t="s">
        <v>2610</v>
      </c>
      <c r="D497" s="6" t="s">
        <v>2622</v>
      </c>
      <c r="E497" s="6" t="s">
        <v>2623</v>
      </c>
      <c r="F497" s="6" t="s">
        <v>5064</v>
      </c>
      <c r="G497" s="6" t="s">
        <v>5065</v>
      </c>
      <c r="H497" s="6" t="s">
        <v>5066</v>
      </c>
      <c r="I497">
        <v>1985</v>
      </c>
    </row>
    <row r="498" spans="1:9" x14ac:dyDescent="0.3">
      <c r="A498" s="6" t="s">
        <v>202</v>
      </c>
      <c r="B498" s="1" t="s">
        <v>4520</v>
      </c>
      <c r="C498" s="6" t="s">
        <v>2610</v>
      </c>
      <c r="D498" s="6" t="s">
        <v>2627</v>
      </c>
      <c r="E498" s="6" t="s">
        <v>2628</v>
      </c>
      <c r="F498" s="6" t="s">
        <v>5061</v>
      </c>
      <c r="G498" s="6" t="s">
        <v>5065</v>
      </c>
      <c r="H498" s="6" t="s">
        <v>5066</v>
      </c>
      <c r="I498">
        <v>1985</v>
      </c>
    </row>
    <row r="499" spans="1:9" x14ac:dyDescent="0.3">
      <c r="A499" s="6" t="s">
        <v>202</v>
      </c>
      <c r="B499" s="1" t="s">
        <v>4520</v>
      </c>
      <c r="C499" s="6" t="s">
        <v>2610</v>
      </c>
      <c r="D499" s="6" t="s">
        <v>2632</v>
      </c>
      <c r="E499" s="6" t="s">
        <v>2633</v>
      </c>
      <c r="F499" s="6" t="s">
        <v>5062</v>
      </c>
      <c r="G499" s="6" t="s">
        <v>5065</v>
      </c>
      <c r="H499" s="6" t="s">
        <v>5066</v>
      </c>
      <c r="I499">
        <v>1985</v>
      </c>
    </row>
    <row r="500" spans="1:9" x14ac:dyDescent="0.3">
      <c r="A500" s="6" t="s">
        <v>202</v>
      </c>
      <c r="B500" s="1" t="s">
        <v>4520</v>
      </c>
      <c r="C500" s="6" t="s">
        <v>2610</v>
      </c>
      <c r="D500" s="6" t="s">
        <v>2636</v>
      </c>
      <c r="E500" s="6" t="s">
        <v>2637</v>
      </c>
      <c r="F500" s="6" t="s">
        <v>5063</v>
      </c>
      <c r="G500" s="6" t="s">
        <v>5065</v>
      </c>
      <c r="H500" s="6" t="s">
        <v>5066</v>
      </c>
      <c r="I500">
        <v>1985</v>
      </c>
    </row>
    <row r="501" spans="1:9" x14ac:dyDescent="0.3">
      <c r="A501" s="6" t="s">
        <v>202</v>
      </c>
      <c r="B501" s="1" t="s">
        <v>4520</v>
      </c>
      <c r="C501" s="6" t="s">
        <v>2610</v>
      </c>
      <c r="D501" s="6" t="s">
        <v>2640</v>
      </c>
      <c r="E501" s="6" t="s">
        <v>2641</v>
      </c>
      <c r="F501" s="6" t="s">
        <v>5064</v>
      </c>
      <c r="G501" s="6" t="s">
        <v>5065</v>
      </c>
      <c r="H501" s="6" t="s">
        <v>5066</v>
      </c>
      <c r="I501">
        <v>1985</v>
      </c>
    </row>
    <row r="502" spans="1:9" x14ac:dyDescent="0.3">
      <c r="A502" s="6" t="s">
        <v>202</v>
      </c>
      <c r="B502" s="1" t="s">
        <v>4520</v>
      </c>
      <c r="C502" s="6" t="s">
        <v>2610</v>
      </c>
      <c r="D502" s="6" t="s">
        <v>2646</v>
      </c>
      <c r="E502" s="6" t="s">
        <v>2647</v>
      </c>
      <c r="F502" s="6" t="s">
        <v>5061</v>
      </c>
      <c r="G502" s="6" t="s">
        <v>5065</v>
      </c>
      <c r="H502" s="6" t="s">
        <v>5066</v>
      </c>
      <c r="I502">
        <v>1985</v>
      </c>
    </row>
    <row r="503" spans="1:9" x14ac:dyDescent="0.3">
      <c r="A503" s="6" t="s">
        <v>202</v>
      </c>
      <c r="B503" s="1" t="s">
        <v>4520</v>
      </c>
      <c r="C503" s="6" t="s">
        <v>2610</v>
      </c>
      <c r="D503" s="6" t="s">
        <v>2650</v>
      </c>
      <c r="E503" s="6" t="s">
        <v>2651</v>
      </c>
      <c r="F503" s="6" t="s">
        <v>5062</v>
      </c>
      <c r="G503" s="6" t="s">
        <v>5065</v>
      </c>
      <c r="H503" s="6" t="s">
        <v>5066</v>
      </c>
      <c r="I503">
        <v>1985</v>
      </c>
    </row>
    <row r="504" spans="1:9" x14ac:dyDescent="0.3">
      <c r="A504" s="6" t="s">
        <v>202</v>
      </c>
      <c r="B504" s="1" t="s">
        <v>4520</v>
      </c>
      <c r="C504" s="6" t="s">
        <v>2610</v>
      </c>
      <c r="D504" s="6" t="s">
        <v>2654</v>
      </c>
      <c r="E504" s="6" t="s">
        <v>2655</v>
      </c>
      <c r="F504" s="6" t="s">
        <v>5063</v>
      </c>
      <c r="G504" s="6" t="s">
        <v>5065</v>
      </c>
      <c r="H504" s="6" t="s">
        <v>5066</v>
      </c>
      <c r="I504">
        <v>1985</v>
      </c>
    </row>
    <row r="505" spans="1:9" x14ac:dyDescent="0.3">
      <c r="A505" s="6" t="s">
        <v>202</v>
      </c>
      <c r="B505" s="1" t="s">
        <v>4520</v>
      </c>
      <c r="C505" s="6" t="s">
        <v>2610</v>
      </c>
      <c r="D505" s="6" t="s">
        <v>2659</v>
      </c>
      <c r="E505" s="6" t="s">
        <v>2660</v>
      </c>
      <c r="F505" s="6" t="s">
        <v>5064</v>
      </c>
      <c r="G505" s="6" t="s">
        <v>5065</v>
      </c>
      <c r="H505" s="6" t="s">
        <v>5066</v>
      </c>
      <c r="I505">
        <v>1985</v>
      </c>
    </row>
    <row r="506" spans="1:9" x14ac:dyDescent="0.3">
      <c r="A506" s="6" t="s">
        <v>202</v>
      </c>
      <c r="B506" s="1" t="s">
        <v>4520</v>
      </c>
      <c r="C506" s="6" t="s">
        <v>2610</v>
      </c>
      <c r="D506" s="6" t="s">
        <v>2664</v>
      </c>
      <c r="E506" s="6" t="s">
        <v>2665</v>
      </c>
      <c r="F506" s="6" t="s">
        <v>5061</v>
      </c>
      <c r="G506" s="6" t="s">
        <v>5065</v>
      </c>
      <c r="H506" s="6" t="s">
        <v>5066</v>
      </c>
      <c r="I506">
        <v>1985</v>
      </c>
    </row>
    <row r="507" spans="1:9" x14ac:dyDescent="0.3">
      <c r="A507" s="6" t="s">
        <v>202</v>
      </c>
      <c r="B507" s="1" t="s">
        <v>4520</v>
      </c>
      <c r="C507" s="6" t="s">
        <v>2610</v>
      </c>
      <c r="D507" s="6" t="s">
        <v>2668</v>
      </c>
      <c r="E507" s="6" t="s">
        <v>2669</v>
      </c>
      <c r="F507" s="6" t="s">
        <v>5062</v>
      </c>
      <c r="G507" s="6" t="s">
        <v>5065</v>
      </c>
      <c r="H507" s="6" t="s">
        <v>5066</v>
      </c>
      <c r="I507">
        <v>1985</v>
      </c>
    </row>
    <row r="508" spans="1:9" x14ac:dyDescent="0.3">
      <c r="A508" s="6" t="s">
        <v>202</v>
      </c>
      <c r="B508" s="1" t="s">
        <v>4520</v>
      </c>
      <c r="C508" s="6" t="s">
        <v>2610</v>
      </c>
      <c r="D508" s="6" t="s">
        <v>2672</v>
      </c>
      <c r="E508" s="6" t="s">
        <v>2673</v>
      </c>
      <c r="F508" s="6" t="s">
        <v>5063</v>
      </c>
      <c r="G508" s="6" t="s">
        <v>5065</v>
      </c>
      <c r="H508" s="6" t="s">
        <v>5066</v>
      </c>
      <c r="I508">
        <v>1985</v>
      </c>
    </row>
    <row r="509" spans="1:9" x14ac:dyDescent="0.3">
      <c r="A509" s="6" t="s">
        <v>202</v>
      </c>
      <c r="B509" s="1" t="s">
        <v>4520</v>
      </c>
      <c r="C509" s="6" t="s">
        <v>2610</v>
      </c>
      <c r="D509" s="6" t="s">
        <v>2676</v>
      </c>
      <c r="E509" s="6" t="s">
        <v>2677</v>
      </c>
      <c r="F509" s="6" t="s">
        <v>5064</v>
      </c>
      <c r="G509" s="6" t="s">
        <v>5065</v>
      </c>
      <c r="H509" s="6" t="s">
        <v>5066</v>
      </c>
      <c r="I509">
        <v>1985</v>
      </c>
    </row>
    <row r="510" spans="1:9" x14ac:dyDescent="0.3">
      <c r="A510" s="6" t="s">
        <v>202</v>
      </c>
      <c r="B510" s="1" t="s">
        <v>4520</v>
      </c>
      <c r="C510" s="6" t="s">
        <v>2610</v>
      </c>
      <c r="D510" s="6" t="s">
        <v>2681</v>
      </c>
      <c r="E510" s="6" t="s">
        <v>2682</v>
      </c>
      <c r="F510" s="6" t="s">
        <v>5061</v>
      </c>
      <c r="G510" s="6" t="s">
        <v>5065</v>
      </c>
      <c r="H510" s="6" t="s">
        <v>5066</v>
      </c>
      <c r="I510">
        <v>1985</v>
      </c>
    </row>
    <row r="511" spans="1:9" x14ac:dyDescent="0.3">
      <c r="A511" s="6" t="s">
        <v>202</v>
      </c>
      <c r="B511" s="1" t="s">
        <v>4520</v>
      </c>
      <c r="C511" s="6" t="s">
        <v>2610</v>
      </c>
      <c r="D511" s="6" t="s">
        <v>2685</v>
      </c>
      <c r="E511" s="6" t="s">
        <v>2686</v>
      </c>
      <c r="F511" s="6" t="s">
        <v>5062</v>
      </c>
      <c r="G511" s="6" t="s">
        <v>5065</v>
      </c>
      <c r="H511" s="6" t="s">
        <v>5066</v>
      </c>
      <c r="I511">
        <v>1985</v>
      </c>
    </row>
    <row r="512" spans="1:9" x14ac:dyDescent="0.3">
      <c r="A512" s="6" t="s">
        <v>202</v>
      </c>
      <c r="B512" s="1" t="s">
        <v>4520</v>
      </c>
      <c r="C512" s="6" t="s">
        <v>2610</v>
      </c>
      <c r="D512" s="6" t="s">
        <v>2690</v>
      </c>
      <c r="E512" s="6" t="s">
        <v>2691</v>
      </c>
      <c r="F512" s="6" t="s">
        <v>5063</v>
      </c>
      <c r="G512" s="6" t="s">
        <v>5065</v>
      </c>
      <c r="H512" s="6" t="s">
        <v>5066</v>
      </c>
      <c r="I512">
        <v>1985</v>
      </c>
    </row>
    <row r="513" spans="1:9" x14ac:dyDescent="0.3">
      <c r="A513" s="6" t="s">
        <v>202</v>
      </c>
      <c r="B513" s="1" t="s">
        <v>4520</v>
      </c>
      <c r="C513" s="6" t="s">
        <v>2610</v>
      </c>
      <c r="D513" s="6" t="s">
        <v>2695</v>
      </c>
      <c r="E513" s="6" t="s">
        <v>2696</v>
      </c>
      <c r="F513" s="6" t="s">
        <v>5064</v>
      </c>
      <c r="G513" s="6" t="s">
        <v>5065</v>
      </c>
      <c r="H513" s="6" t="s">
        <v>5066</v>
      </c>
      <c r="I513">
        <v>1985</v>
      </c>
    </row>
    <row r="514" spans="1:9" x14ac:dyDescent="0.3">
      <c r="A514" s="6" t="s">
        <v>202</v>
      </c>
      <c r="B514" s="1" t="s">
        <v>4520</v>
      </c>
      <c r="C514" s="6" t="s">
        <v>2610</v>
      </c>
      <c r="D514" s="6" t="s">
        <v>2699</v>
      </c>
      <c r="E514" s="6" t="s">
        <v>2700</v>
      </c>
      <c r="F514" s="6" t="s">
        <v>5061</v>
      </c>
      <c r="G514" s="6" t="s">
        <v>5065</v>
      </c>
      <c r="H514" s="6" t="s">
        <v>5066</v>
      </c>
      <c r="I514">
        <v>1985</v>
      </c>
    </row>
    <row r="515" spans="1:9" x14ac:dyDescent="0.3">
      <c r="A515" s="6" t="s">
        <v>262</v>
      </c>
      <c r="B515" s="1" t="s">
        <v>4517</v>
      </c>
      <c r="C515" s="6" t="s">
        <v>2705</v>
      </c>
      <c r="D515" s="6" t="s">
        <v>2706</v>
      </c>
      <c r="E515" s="6" t="s">
        <v>2708</v>
      </c>
      <c r="F515" s="6" t="s">
        <v>5062</v>
      </c>
      <c r="G515" s="6" t="s">
        <v>5065</v>
      </c>
      <c r="H515" s="6" t="s">
        <v>5066</v>
      </c>
      <c r="I515">
        <v>1985</v>
      </c>
    </row>
    <row r="516" spans="1:9" x14ac:dyDescent="0.3">
      <c r="A516" s="6" t="s">
        <v>262</v>
      </c>
      <c r="B516" s="1" t="s">
        <v>4517</v>
      </c>
      <c r="C516" s="6" t="s">
        <v>2705</v>
      </c>
      <c r="D516" s="6" t="s">
        <v>2712</v>
      </c>
      <c r="E516" s="6" t="s">
        <v>2713</v>
      </c>
      <c r="F516" s="6" t="s">
        <v>5063</v>
      </c>
      <c r="G516" s="6" t="s">
        <v>5065</v>
      </c>
      <c r="H516" s="6" t="s">
        <v>5066</v>
      </c>
      <c r="I516">
        <v>1985</v>
      </c>
    </row>
    <row r="517" spans="1:9" x14ac:dyDescent="0.3">
      <c r="A517" s="6" t="s">
        <v>262</v>
      </c>
      <c r="B517" s="1" t="s">
        <v>4517</v>
      </c>
      <c r="C517" s="6" t="s">
        <v>2705</v>
      </c>
      <c r="D517" s="6" t="s">
        <v>2716</v>
      </c>
      <c r="E517" s="6" t="s">
        <v>2717</v>
      </c>
      <c r="F517" s="6" t="s">
        <v>5064</v>
      </c>
      <c r="G517" s="6" t="s">
        <v>5065</v>
      </c>
      <c r="H517" s="6" t="s">
        <v>5066</v>
      </c>
      <c r="I517">
        <v>1985</v>
      </c>
    </row>
    <row r="518" spans="1:9" x14ac:dyDescent="0.3">
      <c r="A518" s="6" t="s">
        <v>262</v>
      </c>
      <c r="B518" s="1" t="s">
        <v>4517</v>
      </c>
      <c r="C518" s="6" t="s">
        <v>2705</v>
      </c>
      <c r="D518" s="6" t="s">
        <v>2721</v>
      </c>
      <c r="E518" s="6" t="s">
        <v>2722</v>
      </c>
      <c r="F518" s="6" t="s">
        <v>5061</v>
      </c>
      <c r="G518" s="6" t="s">
        <v>5065</v>
      </c>
      <c r="H518" s="6" t="s">
        <v>5066</v>
      </c>
      <c r="I518">
        <v>1985</v>
      </c>
    </row>
    <row r="519" spans="1:9" x14ac:dyDescent="0.3">
      <c r="A519" s="6" t="s">
        <v>262</v>
      </c>
      <c r="B519" s="1" t="s">
        <v>4517</v>
      </c>
      <c r="C519" s="6" t="s">
        <v>2705</v>
      </c>
      <c r="D519" s="6" t="s">
        <v>2725</v>
      </c>
      <c r="E519" s="6" t="s">
        <v>2726</v>
      </c>
      <c r="F519" s="6" t="s">
        <v>5062</v>
      </c>
      <c r="G519" s="6" t="s">
        <v>5065</v>
      </c>
      <c r="H519" s="6" t="s">
        <v>5066</v>
      </c>
      <c r="I519">
        <v>1985</v>
      </c>
    </row>
    <row r="520" spans="1:9" x14ac:dyDescent="0.3">
      <c r="A520" s="6" t="s">
        <v>262</v>
      </c>
      <c r="B520" s="1" t="s">
        <v>4517</v>
      </c>
      <c r="C520" s="6" t="s">
        <v>2705</v>
      </c>
      <c r="D520" s="6" t="s">
        <v>2731</v>
      </c>
      <c r="E520" s="6" t="s">
        <v>2732</v>
      </c>
      <c r="F520" s="6" t="s">
        <v>5063</v>
      </c>
      <c r="G520" s="6" t="s">
        <v>5065</v>
      </c>
      <c r="H520" s="6" t="s">
        <v>5066</v>
      </c>
      <c r="I520">
        <v>1985</v>
      </c>
    </row>
    <row r="521" spans="1:9" x14ac:dyDescent="0.3">
      <c r="A521" s="6" t="s">
        <v>262</v>
      </c>
      <c r="B521" s="1" t="s">
        <v>4517</v>
      </c>
      <c r="C521" s="6" t="s">
        <v>2705</v>
      </c>
      <c r="D521" s="6" t="s">
        <v>2735</v>
      </c>
      <c r="E521" s="6" t="s">
        <v>2736</v>
      </c>
      <c r="F521" s="6" t="s">
        <v>5064</v>
      </c>
      <c r="G521" s="6" t="s">
        <v>5065</v>
      </c>
      <c r="H521" s="6" t="s">
        <v>5066</v>
      </c>
      <c r="I521">
        <v>1985</v>
      </c>
    </row>
    <row r="522" spans="1:9" x14ac:dyDescent="0.3">
      <c r="A522" s="6" t="s">
        <v>262</v>
      </c>
      <c r="B522" s="1" t="s">
        <v>4517</v>
      </c>
      <c r="C522" s="6" t="s">
        <v>2705</v>
      </c>
      <c r="D522" s="6" t="s">
        <v>2739</v>
      </c>
      <c r="E522" s="6" t="s">
        <v>2740</v>
      </c>
      <c r="F522" s="6" t="s">
        <v>5061</v>
      </c>
      <c r="G522" s="6" t="s">
        <v>5065</v>
      </c>
      <c r="H522" s="6" t="s">
        <v>5066</v>
      </c>
      <c r="I522">
        <v>1985</v>
      </c>
    </row>
    <row r="523" spans="1:9" x14ac:dyDescent="0.3">
      <c r="A523" s="6" t="s">
        <v>262</v>
      </c>
      <c r="B523" s="1" t="s">
        <v>4517</v>
      </c>
      <c r="C523" s="6" t="s">
        <v>2705</v>
      </c>
      <c r="D523" s="6" t="s">
        <v>2742</v>
      </c>
      <c r="E523" s="6" t="s">
        <v>2743</v>
      </c>
      <c r="F523" s="6" t="s">
        <v>5062</v>
      </c>
      <c r="G523" s="6" t="s">
        <v>5065</v>
      </c>
      <c r="H523" s="6" t="s">
        <v>5066</v>
      </c>
      <c r="I523">
        <v>1985</v>
      </c>
    </row>
    <row r="524" spans="1:9" x14ac:dyDescent="0.3">
      <c r="A524" s="6" t="s">
        <v>262</v>
      </c>
      <c r="B524" s="1" t="s">
        <v>4517</v>
      </c>
      <c r="C524" s="6" t="s">
        <v>2705</v>
      </c>
      <c r="D524" s="6" t="s">
        <v>2748</v>
      </c>
      <c r="E524" s="6" t="s">
        <v>2749</v>
      </c>
      <c r="F524" s="6" t="s">
        <v>5063</v>
      </c>
      <c r="G524" s="6" t="s">
        <v>5065</v>
      </c>
      <c r="H524" s="6" t="s">
        <v>5066</v>
      </c>
      <c r="I524">
        <v>1985</v>
      </c>
    </row>
    <row r="525" spans="1:9" x14ac:dyDescent="0.3">
      <c r="A525" s="6" t="s">
        <v>262</v>
      </c>
      <c r="B525" s="1" t="s">
        <v>4517</v>
      </c>
      <c r="C525" s="6" t="s">
        <v>2705</v>
      </c>
      <c r="D525" s="6" t="s">
        <v>2752</v>
      </c>
      <c r="E525" s="6" t="s">
        <v>2753</v>
      </c>
      <c r="F525" s="6" t="s">
        <v>5064</v>
      </c>
      <c r="G525" s="6" t="s">
        <v>5065</v>
      </c>
      <c r="H525" s="6" t="s">
        <v>5066</v>
      </c>
      <c r="I525">
        <v>1985</v>
      </c>
    </row>
    <row r="526" spans="1:9" x14ac:dyDescent="0.3">
      <c r="A526" s="6" t="s">
        <v>262</v>
      </c>
      <c r="B526" s="1" t="s">
        <v>4517</v>
      </c>
      <c r="C526" s="6" t="s">
        <v>2705</v>
      </c>
      <c r="D526" s="6" t="s">
        <v>2755</v>
      </c>
      <c r="E526" s="6" t="s">
        <v>2756</v>
      </c>
      <c r="F526" s="6" t="s">
        <v>5061</v>
      </c>
      <c r="G526" s="6" t="s">
        <v>5065</v>
      </c>
      <c r="H526" s="6" t="s">
        <v>5066</v>
      </c>
      <c r="I526">
        <v>1985</v>
      </c>
    </row>
    <row r="527" spans="1:9" x14ac:dyDescent="0.3">
      <c r="A527" s="6" t="s">
        <v>262</v>
      </c>
      <c r="B527" s="1" t="s">
        <v>4517</v>
      </c>
      <c r="C527" s="6" t="s">
        <v>2705</v>
      </c>
      <c r="D527" s="6" t="s">
        <v>2758</v>
      </c>
      <c r="E527" s="6" t="s">
        <v>2759</v>
      </c>
      <c r="F527" s="6" t="s">
        <v>5062</v>
      </c>
      <c r="G527" s="6" t="s">
        <v>5065</v>
      </c>
      <c r="H527" s="6" t="s">
        <v>5066</v>
      </c>
      <c r="I527">
        <v>1985</v>
      </c>
    </row>
    <row r="528" spans="1:9" x14ac:dyDescent="0.3">
      <c r="A528" s="6" t="s">
        <v>262</v>
      </c>
      <c r="B528" s="1" t="s">
        <v>4517</v>
      </c>
      <c r="C528" s="6" t="s">
        <v>2705</v>
      </c>
      <c r="D528" s="6" t="s">
        <v>2763</v>
      </c>
      <c r="E528" s="6" t="s">
        <v>2764</v>
      </c>
      <c r="F528" s="6" t="s">
        <v>5063</v>
      </c>
      <c r="G528" s="6" t="s">
        <v>5065</v>
      </c>
      <c r="H528" s="6" t="s">
        <v>5066</v>
      </c>
      <c r="I528">
        <v>1985</v>
      </c>
    </row>
    <row r="529" spans="1:9" x14ac:dyDescent="0.3">
      <c r="A529" s="6" t="s">
        <v>262</v>
      </c>
      <c r="B529" s="1" t="s">
        <v>4517</v>
      </c>
      <c r="C529" s="6" t="s">
        <v>2705</v>
      </c>
      <c r="D529" s="6" t="s">
        <v>2767</v>
      </c>
      <c r="E529" s="6" t="s">
        <v>2768</v>
      </c>
      <c r="F529" s="6" t="s">
        <v>5064</v>
      </c>
      <c r="G529" s="6" t="s">
        <v>5065</v>
      </c>
      <c r="H529" s="6" t="s">
        <v>5066</v>
      </c>
      <c r="I529">
        <v>1985</v>
      </c>
    </row>
  </sheetData>
  <autoFilter ref="A1:I1" xr:uid="{E31B67BC-4524-4EDF-9B4F-E23411BF7133}"/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2A65-3335-4A34-AA85-C7594210529F}">
  <dimension ref="A1:M529"/>
  <sheetViews>
    <sheetView workbookViewId="0"/>
  </sheetViews>
  <sheetFormatPr baseColWidth="10" defaultRowHeight="14.4" x14ac:dyDescent="0.3"/>
  <cols>
    <col min="1" max="1" width="14" customWidth="1"/>
    <col min="2" max="2" width="16.33203125" customWidth="1"/>
    <col min="3" max="3" width="18" customWidth="1"/>
    <col min="4" max="4" width="16" customWidth="1"/>
    <col min="5" max="6" width="18" customWidth="1"/>
    <col min="7" max="7" width="21.33203125" customWidth="1"/>
    <col min="11" max="11" width="13.5546875" customWidth="1"/>
    <col min="13" max="13" width="15.5546875" customWidth="1"/>
  </cols>
  <sheetData>
    <row r="1" spans="1:13" ht="27.6" x14ac:dyDescent="0.3">
      <c r="A1" s="3" t="s">
        <v>185</v>
      </c>
      <c r="B1" s="3" t="s">
        <v>4531</v>
      </c>
      <c r="C1" s="3" t="s">
        <v>188</v>
      </c>
      <c r="D1" s="3" t="s">
        <v>189</v>
      </c>
      <c r="E1" s="3" t="s">
        <v>190</v>
      </c>
      <c r="F1" s="19" t="s">
        <v>2773</v>
      </c>
      <c r="G1" s="19" t="s">
        <v>4527</v>
      </c>
      <c r="H1" s="19" t="s">
        <v>4528</v>
      </c>
      <c r="I1" s="19" t="s">
        <v>4529</v>
      </c>
      <c r="J1" s="19" t="s">
        <v>4530</v>
      </c>
      <c r="K1" s="19" t="s">
        <v>2775</v>
      </c>
      <c r="L1" s="19" t="s">
        <v>2776</v>
      </c>
      <c r="M1" s="19" t="s">
        <v>4383</v>
      </c>
    </row>
    <row r="2" spans="1:13" x14ac:dyDescent="0.3">
      <c r="A2" s="6" t="s">
        <v>204</v>
      </c>
      <c r="B2" t="s">
        <v>4532</v>
      </c>
      <c r="C2" s="7" t="s">
        <v>206</v>
      </c>
      <c r="D2" s="7" t="s">
        <v>207</v>
      </c>
      <c r="E2" s="7" t="s">
        <v>208</v>
      </c>
      <c r="F2" s="7"/>
      <c r="G2" s="7" t="s">
        <v>125</v>
      </c>
      <c r="H2" s="7" t="s">
        <v>90</v>
      </c>
      <c r="I2">
        <v>2025</v>
      </c>
    </row>
    <row r="3" spans="1:13" x14ac:dyDescent="0.3">
      <c r="A3" s="6" t="s">
        <v>210</v>
      </c>
      <c r="B3" t="s">
        <v>4533</v>
      </c>
      <c r="C3" s="7" t="s">
        <v>212</v>
      </c>
      <c r="D3" s="7" t="s">
        <v>213</v>
      </c>
      <c r="E3" s="7" t="s">
        <v>214</v>
      </c>
      <c r="F3" s="7"/>
      <c r="G3" s="7" t="s">
        <v>125</v>
      </c>
      <c r="H3" s="7" t="s">
        <v>90</v>
      </c>
      <c r="I3">
        <v>2025</v>
      </c>
    </row>
    <row r="4" spans="1:13" x14ac:dyDescent="0.3">
      <c r="A4" s="6" t="s">
        <v>216</v>
      </c>
      <c r="B4" t="s">
        <v>4534</v>
      </c>
      <c r="C4" s="7" t="s">
        <v>218</v>
      </c>
      <c r="D4" s="7" t="s">
        <v>219</v>
      </c>
      <c r="E4" s="7" t="s">
        <v>220</v>
      </c>
      <c r="F4" s="7"/>
      <c r="G4" s="7" t="s">
        <v>125</v>
      </c>
      <c r="H4" s="7" t="s">
        <v>90</v>
      </c>
      <c r="I4">
        <v>2025</v>
      </c>
    </row>
    <row r="5" spans="1:13" x14ac:dyDescent="0.3">
      <c r="A5" s="6" t="s">
        <v>223</v>
      </c>
      <c r="B5" t="s">
        <v>4535</v>
      </c>
      <c r="C5" s="7" t="s">
        <v>225</v>
      </c>
      <c r="D5" s="7" t="s">
        <v>226</v>
      </c>
      <c r="E5" s="7" t="s">
        <v>227</v>
      </c>
      <c r="F5" s="7"/>
      <c r="G5" s="7" t="s">
        <v>125</v>
      </c>
      <c r="H5" s="7" t="s">
        <v>90</v>
      </c>
      <c r="I5">
        <v>2025</v>
      </c>
    </row>
    <row r="6" spans="1:13" x14ac:dyDescent="0.3">
      <c r="A6" s="6" t="s">
        <v>228</v>
      </c>
      <c r="B6" t="s">
        <v>4536</v>
      </c>
      <c r="C6" s="7" t="s">
        <v>230</v>
      </c>
      <c r="D6" s="7" t="s">
        <v>231</v>
      </c>
      <c r="E6" s="7" t="s">
        <v>232</v>
      </c>
      <c r="F6" s="7"/>
      <c r="G6" s="7" t="s">
        <v>125</v>
      </c>
      <c r="H6" s="7" t="s">
        <v>90</v>
      </c>
      <c r="I6">
        <v>2025</v>
      </c>
    </row>
    <row r="7" spans="1:13" x14ac:dyDescent="0.3">
      <c r="A7" s="6" t="s">
        <v>233</v>
      </c>
      <c r="B7" t="s">
        <v>4537</v>
      </c>
      <c r="C7" s="7" t="s">
        <v>235</v>
      </c>
      <c r="D7" s="7" t="s">
        <v>236</v>
      </c>
      <c r="E7" s="7" t="s">
        <v>237</v>
      </c>
      <c r="F7" s="7"/>
      <c r="G7" s="7" t="s">
        <v>125</v>
      </c>
      <c r="H7" s="7" t="s">
        <v>90</v>
      </c>
      <c r="I7">
        <v>2025</v>
      </c>
    </row>
    <row r="8" spans="1:13" x14ac:dyDescent="0.3">
      <c r="A8" s="6" t="s">
        <v>238</v>
      </c>
      <c r="B8" t="s">
        <v>4538</v>
      </c>
      <c r="C8" s="7" t="s">
        <v>240</v>
      </c>
      <c r="D8" s="7" t="s">
        <v>241</v>
      </c>
      <c r="E8" s="7" t="s">
        <v>242</v>
      </c>
      <c r="F8" s="7"/>
      <c r="G8" s="7" t="s">
        <v>125</v>
      </c>
      <c r="H8" s="7" t="s">
        <v>90</v>
      </c>
      <c r="I8">
        <v>2025</v>
      </c>
    </row>
    <row r="9" spans="1:13" x14ac:dyDescent="0.3">
      <c r="A9" s="6" t="s">
        <v>243</v>
      </c>
      <c r="B9" t="s">
        <v>4539</v>
      </c>
      <c r="C9" s="7" t="s">
        <v>245</v>
      </c>
      <c r="D9" s="7" t="s">
        <v>246</v>
      </c>
      <c r="E9" s="7" t="s">
        <v>247</v>
      </c>
      <c r="F9" s="7"/>
      <c r="G9" s="7" t="s">
        <v>125</v>
      </c>
      <c r="H9" s="7" t="s">
        <v>90</v>
      </c>
      <c r="I9">
        <v>2025</v>
      </c>
    </row>
    <row r="10" spans="1:13" x14ac:dyDescent="0.3">
      <c r="A10" s="6" t="s">
        <v>249</v>
      </c>
      <c r="B10" t="s">
        <v>4540</v>
      </c>
      <c r="C10" s="7" t="s">
        <v>251</v>
      </c>
      <c r="D10" s="7" t="s">
        <v>252</v>
      </c>
      <c r="E10" s="7" t="s">
        <v>253</v>
      </c>
      <c r="F10" s="7"/>
      <c r="G10" s="7" t="s">
        <v>125</v>
      </c>
      <c r="H10" s="7" t="s">
        <v>90</v>
      </c>
      <c r="I10">
        <v>2025</v>
      </c>
    </row>
    <row r="11" spans="1:13" x14ac:dyDescent="0.3">
      <c r="A11" s="6" t="s">
        <v>256</v>
      </c>
      <c r="B11" t="s">
        <v>4541</v>
      </c>
      <c r="C11" s="7" t="s">
        <v>258</v>
      </c>
      <c r="D11" s="7" t="s">
        <v>259</v>
      </c>
      <c r="E11" s="7" t="s">
        <v>260</v>
      </c>
      <c r="F11" s="7"/>
      <c r="G11" s="7" t="s">
        <v>125</v>
      </c>
      <c r="H11" s="7" t="s">
        <v>90</v>
      </c>
      <c r="I11">
        <v>2025</v>
      </c>
    </row>
    <row r="12" spans="1:13" x14ac:dyDescent="0.3">
      <c r="A12" s="6" t="s">
        <v>261</v>
      </c>
      <c r="B12" t="s">
        <v>4542</v>
      </c>
      <c r="C12" s="7" t="s">
        <v>264</v>
      </c>
      <c r="D12" s="7" t="s">
        <v>265</v>
      </c>
      <c r="E12" s="7" t="s">
        <v>266</v>
      </c>
      <c r="F12" s="7"/>
      <c r="G12" s="7" t="s">
        <v>125</v>
      </c>
      <c r="H12" s="7" t="s">
        <v>90</v>
      </c>
      <c r="I12">
        <v>2025</v>
      </c>
    </row>
    <row r="13" spans="1:13" x14ac:dyDescent="0.3">
      <c r="A13" s="6" t="s">
        <v>269</v>
      </c>
      <c r="B13" t="s">
        <v>4543</v>
      </c>
      <c r="C13" s="7" t="s">
        <v>272</v>
      </c>
      <c r="D13" s="7" t="s">
        <v>273</v>
      </c>
      <c r="E13" s="7" t="s">
        <v>274</v>
      </c>
      <c r="F13" s="7"/>
      <c r="G13" s="7" t="s">
        <v>125</v>
      </c>
      <c r="H13" s="7" t="s">
        <v>90</v>
      </c>
      <c r="I13">
        <v>2025</v>
      </c>
    </row>
    <row r="14" spans="1:13" x14ac:dyDescent="0.3">
      <c r="A14" s="6" t="s">
        <v>277</v>
      </c>
      <c r="B14" t="s">
        <v>4544</v>
      </c>
      <c r="C14" s="7" t="s">
        <v>279</v>
      </c>
      <c r="D14" s="7" t="s">
        <v>280</v>
      </c>
      <c r="E14" s="7" t="s">
        <v>281</v>
      </c>
      <c r="F14" s="7"/>
      <c r="G14" s="7" t="s">
        <v>125</v>
      </c>
      <c r="H14" s="7" t="s">
        <v>90</v>
      </c>
      <c r="I14">
        <v>2025</v>
      </c>
    </row>
    <row r="15" spans="1:13" x14ac:dyDescent="0.3">
      <c r="A15" s="6" t="s">
        <v>282</v>
      </c>
      <c r="B15" t="s">
        <v>4545</v>
      </c>
      <c r="C15" s="7" t="s">
        <v>284</v>
      </c>
      <c r="D15" s="7" t="s">
        <v>285</v>
      </c>
      <c r="E15" s="7" t="s">
        <v>286</v>
      </c>
      <c r="F15" s="7"/>
      <c r="G15" s="7" t="s">
        <v>125</v>
      </c>
      <c r="H15" s="7" t="s">
        <v>90</v>
      </c>
      <c r="I15">
        <v>2025</v>
      </c>
    </row>
    <row r="16" spans="1:13" x14ac:dyDescent="0.3">
      <c r="A16" s="6" t="s">
        <v>287</v>
      </c>
      <c r="B16" t="s">
        <v>4546</v>
      </c>
      <c r="C16" s="7" t="s">
        <v>284</v>
      </c>
      <c r="D16" s="7" t="s">
        <v>289</v>
      </c>
      <c r="E16" s="7" t="s">
        <v>290</v>
      </c>
      <c r="F16" s="7"/>
      <c r="G16" s="7" t="s">
        <v>125</v>
      </c>
      <c r="H16" s="7" t="s">
        <v>90</v>
      </c>
      <c r="I16">
        <v>2025</v>
      </c>
    </row>
    <row r="17" spans="1:9" x14ac:dyDescent="0.3">
      <c r="A17" s="6" t="s">
        <v>291</v>
      </c>
      <c r="B17" t="s">
        <v>4547</v>
      </c>
      <c r="C17" s="7" t="s">
        <v>294</v>
      </c>
      <c r="D17" s="7" t="s">
        <v>295</v>
      </c>
      <c r="E17" s="7" t="s">
        <v>296</v>
      </c>
      <c r="F17" s="7"/>
      <c r="G17" s="7" t="s">
        <v>125</v>
      </c>
      <c r="H17" s="7" t="s">
        <v>90</v>
      </c>
      <c r="I17">
        <v>2025</v>
      </c>
    </row>
    <row r="18" spans="1:9" x14ac:dyDescent="0.3">
      <c r="A18" s="6" t="s">
        <v>297</v>
      </c>
      <c r="B18" t="s">
        <v>4548</v>
      </c>
      <c r="C18" s="7" t="s">
        <v>299</v>
      </c>
      <c r="D18" s="7" t="s">
        <v>300</v>
      </c>
      <c r="E18" s="7" t="s">
        <v>301</v>
      </c>
      <c r="F18" s="7"/>
      <c r="G18" s="7" t="s">
        <v>125</v>
      </c>
      <c r="H18" s="7" t="s">
        <v>90</v>
      </c>
      <c r="I18">
        <v>2025</v>
      </c>
    </row>
    <row r="19" spans="1:9" x14ac:dyDescent="0.3">
      <c r="A19" s="6" t="s">
        <v>303</v>
      </c>
      <c r="B19" t="s">
        <v>4549</v>
      </c>
      <c r="C19" s="7" t="s">
        <v>305</v>
      </c>
      <c r="D19" s="7" t="s">
        <v>306</v>
      </c>
      <c r="E19" s="7" t="s">
        <v>307</v>
      </c>
      <c r="F19" s="7"/>
      <c r="G19" s="7" t="s">
        <v>125</v>
      </c>
      <c r="H19" s="7" t="s">
        <v>90</v>
      </c>
      <c r="I19">
        <v>2025</v>
      </c>
    </row>
    <row r="20" spans="1:9" x14ac:dyDescent="0.3">
      <c r="A20" s="6" t="s">
        <v>309</v>
      </c>
      <c r="B20" t="s">
        <v>4550</v>
      </c>
      <c r="C20" s="7" t="s">
        <v>311</v>
      </c>
      <c r="D20" s="7" t="s">
        <v>312</v>
      </c>
      <c r="E20" s="7" t="s">
        <v>313</v>
      </c>
      <c r="F20" s="7"/>
      <c r="G20" s="7" t="s">
        <v>125</v>
      </c>
      <c r="H20" s="7" t="s">
        <v>90</v>
      </c>
      <c r="I20">
        <v>2025</v>
      </c>
    </row>
    <row r="21" spans="1:9" x14ac:dyDescent="0.3">
      <c r="A21" s="6" t="s">
        <v>315</v>
      </c>
      <c r="B21" t="s">
        <v>4551</v>
      </c>
      <c r="C21" s="7" t="s">
        <v>318</v>
      </c>
      <c r="D21" s="7" t="s">
        <v>319</v>
      </c>
      <c r="E21" s="7" t="s">
        <v>320</v>
      </c>
      <c r="F21" s="7"/>
      <c r="G21" s="7" t="s">
        <v>125</v>
      </c>
      <c r="H21" s="7" t="s">
        <v>90</v>
      </c>
      <c r="I21">
        <v>2025</v>
      </c>
    </row>
    <row r="22" spans="1:9" ht="27.6" x14ac:dyDescent="0.3">
      <c r="A22" s="6" t="s">
        <v>321</v>
      </c>
      <c r="B22" t="s">
        <v>4552</v>
      </c>
      <c r="C22" s="7" t="s">
        <v>323</v>
      </c>
      <c r="D22" s="7" t="s">
        <v>324</v>
      </c>
      <c r="E22" s="7" t="s">
        <v>325</v>
      </c>
      <c r="F22" s="7"/>
      <c r="G22" s="7" t="s">
        <v>125</v>
      </c>
      <c r="H22" s="7" t="s">
        <v>90</v>
      </c>
      <c r="I22">
        <v>2025</v>
      </c>
    </row>
    <row r="23" spans="1:9" x14ac:dyDescent="0.3">
      <c r="A23" s="6" t="s">
        <v>328</v>
      </c>
      <c r="B23" t="s">
        <v>4553</v>
      </c>
      <c r="C23" s="7" t="s">
        <v>294</v>
      </c>
      <c r="D23" s="7" t="s">
        <v>330</v>
      </c>
      <c r="E23" s="7" t="s">
        <v>331</v>
      </c>
      <c r="F23" s="7"/>
      <c r="G23" s="7" t="s">
        <v>125</v>
      </c>
      <c r="H23" s="7" t="s">
        <v>90</v>
      </c>
      <c r="I23">
        <v>2025</v>
      </c>
    </row>
    <row r="24" spans="1:9" x14ac:dyDescent="0.3">
      <c r="A24" s="6" t="s">
        <v>332</v>
      </c>
      <c r="B24" t="s">
        <v>4554</v>
      </c>
      <c r="C24" s="7" t="s">
        <v>334</v>
      </c>
      <c r="D24" s="7" t="s">
        <v>335</v>
      </c>
      <c r="E24" s="7" t="s">
        <v>336</v>
      </c>
      <c r="F24" s="7"/>
      <c r="G24" s="7" t="s">
        <v>125</v>
      </c>
      <c r="H24" s="7" t="s">
        <v>90</v>
      </c>
      <c r="I24">
        <v>2025</v>
      </c>
    </row>
    <row r="25" spans="1:9" x14ac:dyDescent="0.3">
      <c r="A25" s="6" t="s">
        <v>338</v>
      </c>
      <c r="B25" t="s">
        <v>4555</v>
      </c>
      <c r="C25" s="7" t="s">
        <v>334</v>
      </c>
      <c r="D25" s="7" t="s">
        <v>340</v>
      </c>
      <c r="E25" s="7" t="s">
        <v>341</v>
      </c>
      <c r="F25" s="7"/>
      <c r="G25" s="7" t="s">
        <v>125</v>
      </c>
      <c r="H25" s="7" t="s">
        <v>90</v>
      </c>
      <c r="I25">
        <v>2025</v>
      </c>
    </row>
    <row r="26" spans="1:9" ht="27.6" x14ac:dyDescent="0.3">
      <c r="A26" s="6" t="s">
        <v>342</v>
      </c>
      <c r="B26" t="s">
        <v>4556</v>
      </c>
      <c r="C26" s="7" t="s">
        <v>344</v>
      </c>
      <c r="D26" s="7" t="s">
        <v>345</v>
      </c>
      <c r="E26" s="7" t="s">
        <v>346</v>
      </c>
      <c r="F26" s="7"/>
      <c r="G26" s="7" t="s">
        <v>125</v>
      </c>
      <c r="H26" s="7" t="s">
        <v>90</v>
      </c>
      <c r="I26">
        <v>2025</v>
      </c>
    </row>
    <row r="27" spans="1:9" ht="27.6" x14ac:dyDescent="0.3">
      <c r="A27" s="6" t="s">
        <v>347</v>
      </c>
      <c r="B27" t="s">
        <v>4557</v>
      </c>
      <c r="C27" s="7" t="s">
        <v>349</v>
      </c>
      <c r="D27" s="7" t="s">
        <v>350</v>
      </c>
      <c r="E27" s="7" t="s">
        <v>351</v>
      </c>
      <c r="F27" s="7"/>
      <c r="G27" s="7" t="s">
        <v>125</v>
      </c>
      <c r="H27" s="7" t="s">
        <v>90</v>
      </c>
      <c r="I27">
        <v>2025</v>
      </c>
    </row>
    <row r="28" spans="1:9" x14ac:dyDescent="0.3">
      <c r="A28" s="6" t="s">
        <v>354</v>
      </c>
      <c r="B28" t="s">
        <v>4558</v>
      </c>
      <c r="C28" s="7" t="s">
        <v>356</v>
      </c>
      <c r="D28" s="7" t="s">
        <v>357</v>
      </c>
      <c r="E28" s="7" t="s">
        <v>358</v>
      </c>
      <c r="F28" s="7"/>
      <c r="G28" s="7" t="s">
        <v>125</v>
      </c>
      <c r="H28" s="7" t="s">
        <v>90</v>
      </c>
      <c r="I28">
        <v>2025</v>
      </c>
    </row>
    <row r="29" spans="1:9" x14ac:dyDescent="0.3">
      <c r="A29" s="6" t="s">
        <v>361</v>
      </c>
      <c r="B29" t="s">
        <v>4559</v>
      </c>
      <c r="C29" s="7" t="s">
        <v>284</v>
      </c>
      <c r="D29" s="7" t="s">
        <v>363</v>
      </c>
      <c r="E29" s="7" t="s">
        <v>364</v>
      </c>
      <c r="F29" s="7"/>
      <c r="G29" s="7" t="s">
        <v>125</v>
      </c>
      <c r="H29" s="7" t="s">
        <v>90</v>
      </c>
      <c r="I29">
        <v>2025</v>
      </c>
    </row>
    <row r="30" spans="1:9" x14ac:dyDescent="0.3">
      <c r="A30" s="6" t="s">
        <v>365</v>
      </c>
      <c r="B30" t="s">
        <v>4560</v>
      </c>
      <c r="C30" s="7" t="s">
        <v>284</v>
      </c>
      <c r="D30" s="7" t="s">
        <v>367</v>
      </c>
      <c r="E30" s="7" t="s">
        <v>368</v>
      </c>
      <c r="F30" s="7"/>
      <c r="G30" s="7" t="s">
        <v>125</v>
      </c>
      <c r="H30" s="7" t="s">
        <v>90</v>
      </c>
      <c r="I30">
        <v>2025</v>
      </c>
    </row>
    <row r="31" spans="1:9" x14ac:dyDescent="0.3">
      <c r="A31" s="6" t="s">
        <v>370</v>
      </c>
      <c r="B31" t="s">
        <v>4561</v>
      </c>
      <c r="C31" s="7" t="s">
        <v>372</v>
      </c>
      <c r="D31" s="7" t="s">
        <v>373</v>
      </c>
      <c r="E31" s="7" t="s">
        <v>374</v>
      </c>
      <c r="F31" s="7"/>
      <c r="G31" s="7" t="s">
        <v>125</v>
      </c>
      <c r="H31" s="7" t="s">
        <v>90</v>
      </c>
      <c r="I31">
        <v>2025</v>
      </c>
    </row>
    <row r="32" spans="1:9" x14ac:dyDescent="0.3">
      <c r="A32" s="6" t="s">
        <v>376</v>
      </c>
      <c r="B32" t="s">
        <v>4903</v>
      </c>
      <c r="C32" s="7" t="s">
        <v>379</v>
      </c>
      <c r="D32" s="7" t="s">
        <v>380</v>
      </c>
      <c r="E32" s="7" t="s">
        <v>381</v>
      </c>
      <c r="F32" s="7"/>
      <c r="G32" s="7" t="s">
        <v>125</v>
      </c>
      <c r="H32" s="7" t="s">
        <v>90</v>
      </c>
      <c r="I32">
        <v>2025</v>
      </c>
    </row>
    <row r="33" spans="1:9" x14ac:dyDescent="0.3">
      <c r="A33" s="6" t="s">
        <v>384</v>
      </c>
      <c r="B33" t="s">
        <v>4904</v>
      </c>
      <c r="C33" s="7" t="s">
        <v>386</v>
      </c>
      <c r="D33" s="7" t="s">
        <v>387</v>
      </c>
      <c r="E33" s="7" t="s">
        <v>388</v>
      </c>
      <c r="F33" s="7"/>
      <c r="G33" s="7" t="s">
        <v>125</v>
      </c>
      <c r="H33" s="7" t="s">
        <v>90</v>
      </c>
      <c r="I33">
        <v>2025</v>
      </c>
    </row>
    <row r="34" spans="1:9" x14ac:dyDescent="0.3">
      <c r="A34" s="6" t="s">
        <v>390</v>
      </c>
      <c r="B34" t="s">
        <v>4905</v>
      </c>
      <c r="C34" s="7" t="s">
        <v>392</v>
      </c>
      <c r="D34" s="7" t="s">
        <v>393</v>
      </c>
      <c r="E34" s="7" t="s">
        <v>394</v>
      </c>
      <c r="F34" s="7"/>
      <c r="G34" s="7" t="s">
        <v>125</v>
      </c>
      <c r="H34" s="7" t="s">
        <v>90</v>
      </c>
      <c r="I34">
        <v>2025</v>
      </c>
    </row>
    <row r="35" spans="1:9" ht="27.6" x14ac:dyDescent="0.3">
      <c r="A35" s="6" t="s">
        <v>396</v>
      </c>
      <c r="B35" t="s">
        <v>4566</v>
      </c>
      <c r="C35" s="7" t="s">
        <v>399</v>
      </c>
      <c r="D35" s="7" t="s">
        <v>400</v>
      </c>
      <c r="E35" s="7" t="s">
        <v>401</v>
      </c>
      <c r="F35" s="7"/>
      <c r="G35" s="7" t="s">
        <v>125</v>
      </c>
      <c r="H35" s="7" t="s">
        <v>90</v>
      </c>
      <c r="I35">
        <v>2025</v>
      </c>
    </row>
    <row r="36" spans="1:9" ht="27.6" x14ac:dyDescent="0.3">
      <c r="A36" s="6" t="s">
        <v>404</v>
      </c>
      <c r="B36" t="s">
        <v>4567</v>
      </c>
      <c r="C36" s="7" t="s">
        <v>406</v>
      </c>
      <c r="D36" s="7" t="s">
        <v>407</v>
      </c>
      <c r="E36" s="7" t="s">
        <v>408</v>
      </c>
      <c r="F36" s="7"/>
      <c r="G36" s="7" t="s">
        <v>125</v>
      </c>
      <c r="H36" s="7" t="s">
        <v>90</v>
      </c>
      <c r="I36">
        <v>2025</v>
      </c>
    </row>
    <row r="37" spans="1:9" ht="27.6" x14ac:dyDescent="0.3">
      <c r="A37" s="6" t="s">
        <v>409</v>
      </c>
      <c r="B37" t="s">
        <v>4568</v>
      </c>
      <c r="C37" s="7" t="s">
        <v>411</v>
      </c>
      <c r="D37" s="7" t="s">
        <v>412</v>
      </c>
      <c r="E37" s="7" t="s">
        <v>413</v>
      </c>
      <c r="F37" s="7"/>
      <c r="G37" s="7" t="s">
        <v>125</v>
      </c>
      <c r="H37" s="7" t="s">
        <v>90</v>
      </c>
      <c r="I37">
        <v>2025</v>
      </c>
    </row>
    <row r="38" spans="1:9" x14ac:dyDescent="0.3">
      <c r="A38" s="6" t="s">
        <v>414</v>
      </c>
      <c r="B38" t="s">
        <v>4569</v>
      </c>
      <c r="C38" s="7" t="s">
        <v>416</v>
      </c>
      <c r="D38" s="7" t="s">
        <v>417</v>
      </c>
      <c r="E38" s="7" t="s">
        <v>418</v>
      </c>
      <c r="F38" s="7"/>
      <c r="G38" s="7" t="s">
        <v>125</v>
      </c>
      <c r="H38" s="7" t="s">
        <v>90</v>
      </c>
      <c r="I38">
        <v>2025</v>
      </c>
    </row>
    <row r="39" spans="1:9" x14ac:dyDescent="0.3">
      <c r="A39" s="6" t="s">
        <v>420</v>
      </c>
      <c r="B39" t="s">
        <v>4570</v>
      </c>
      <c r="C39" s="7" t="s">
        <v>423</v>
      </c>
      <c r="D39" s="7" t="s">
        <v>424</v>
      </c>
      <c r="E39" s="7" t="s">
        <v>425</v>
      </c>
      <c r="F39" s="7"/>
      <c r="G39" s="7" t="s">
        <v>125</v>
      </c>
      <c r="H39" s="7" t="s">
        <v>90</v>
      </c>
      <c r="I39">
        <v>2025</v>
      </c>
    </row>
    <row r="40" spans="1:9" x14ac:dyDescent="0.3">
      <c r="A40" s="6" t="s">
        <v>426</v>
      </c>
      <c r="B40" t="s">
        <v>4571</v>
      </c>
      <c r="C40" s="7" t="s">
        <v>428</v>
      </c>
      <c r="D40" s="7"/>
      <c r="E40" s="7" t="s">
        <v>429</v>
      </c>
      <c r="F40" s="7"/>
      <c r="G40" s="7" t="s">
        <v>125</v>
      </c>
      <c r="H40" s="7" t="s">
        <v>90</v>
      </c>
      <c r="I40">
        <v>2025</v>
      </c>
    </row>
    <row r="41" spans="1:9" x14ac:dyDescent="0.3">
      <c r="A41" s="6" t="s">
        <v>430</v>
      </c>
      <c r="B41" t="s">
        <v>4572</v>
      </c>
      <c r="C41" s="7" t="s">
        <v>432</v>
      </c>
      <c r="D41" s="7" t="s">
        <v>433</v>
      </c>
      <c r="E41" s="7" t="s">
        <v>434</v>
      </c>
      <c r="F41" s="7"/>
      <c r="G41" s="7" t="s">
        <v>125</v>
      </c>
      <c r="H41" s="7" t="s">
        <v>90</v>
      </c>
      <c r="I41">
        <v>2025</v>
      </c>
    </row>
    <row r="42" spans="1:9" x14ac:dyDescent="0.3">
      <c r="A42" s="6" t="s">
        <v>437</v>
      </c>
      <c r="B42" t="s">
        <v>4573</v>
      </c>
      <c r="C42" s="7" t="s">
        <v>439</v>
      </c>
      <c r="D42" s="7" t="s">
        <v>440</v>
      </c>
      <c r="E42" s="7" t="s">
        <v>441</v>
      </c>
      <c r="F42" s="7"/>
      <c r="G42" s="7" t="s">
        <v>125</v>
      </c>
      <c r="H42" s="7" t="s">
        <v>90</v>
      </c>
      <c r="I42">
        <v>2025</v>
      </c>
    </row>
    <row r="43" spans="1:9" x14ac:dyDescent="0.3">
      <c r="A43" s="6" t="s">
        <v>442</v>
      </c>
      <c r="B43" t="s">
        <v>4574</v>
      </c>
      <c r="C43" s="7" t="s">
        <v>444</v>
      </c>
      <c r="D43" s="7" t="s">
        <v>445</v>
      </c>
      <c r="E43" s="7" t="s">
        <v>446</v>
      </c>
      <c r="F43" s="7"/>
      <c r="G43" s="7" t="s">
        <v>125</v>
      </c>
      <c r="H43" s="7" t="s">
        <v>90</v>
      </c>
      <c r="I43">
        <v>2025</v>
      </c>
    </row>
    <row r="44" spans="1:9" x14ac:dyDescent="0.3">
      <c r="A44" s="6" t="s">
        <v>447</v>
      </c>
      <c r="B44" t="s">
        <v>4575</v>
      </c>
      <c r="C44" s="7" t="s">
        <v>449</v>
      </c>
      <c r="D44" s="7" t="s">
        <v>450</v>
      </c>
      <c r="E44" s="7"/>
      <c r="F44" s="7"/>
      <c r="G44" s="7" t="s">
        <v>125</v>
      </c>
      <c r="H44" s="7" t="s">
        <v>90</v>
      </c>
      <c r="I44">
        <v>2025</v>
      </c>
    </row>
    <row r="45" spans="1:9" ht="27.6" x14ac:dyDescent="0.3">
      <c r="A45" s="6" t="s">
        <v>451</v>
      </c>
      <c r="B45" t="s">
        <v>4576</v>
      </c>
      <c r="C45" s="7" t="s">
        <v>453</v>
      </c>
      <c r="D45" s="7" t="s">
        <v>454</v>
      </c>
      <c r="E45" s="7" t="s">
        <v>455</v>
      </c>
      <c r="F45" s="7"/>
      <c r="G45" s="7" t="s">
        <v>125</v>
      </c>
      <c r="H45" s="7" t="s">
        <v>90</v>
      </c>
      <c r="I45">
        <v>2025</v>
      </c>
    </row>
    <row r="46" spans="1:9" x14ac:dyDescent="0.3">
      <c r="A46" s="6" t="s">
        <v>456</v>
      </c>
      <c r="B46" t="s">
        <v>4577</v>
      </c>
      <c r="C46" s="7" t="s">
        <v>458</v>
      </c>
      <c r="D46" s="7" t="s">
        <v>459</v>
      </c>
      <c r="E46" s="7" t="s">
        <v>460</v>
      </c>
      <c r="F46" s="7"/>
      <c r="G46" s="7" t="s">
        <v>125</v>
      </c>
      <c r="H46" s="7" t="s">
        <v>90</v>
      </c>
      <c r="I46">
        <v>2025</v>
      </c>
    </row>
    <row r="47" spans="1:9" x14ac:dyDescent="0.3">
      <c r="A47" s="6" t="s">
        <v>463</v>
      </c>
      <c r="B47" t="s">
        <v>4578</v>
      </c>
      <c r="C47" s="7" t="s">
        <v>465</v>
      </c>
      <c r="D47" s="7" t="s">
        <v>466</v>
      </c>
      <c r="E47" s="7" t="s">
        <v>467</v>
      </c>
      <c r="F47" s="7"/>
      <c r="G47" s="7" t="s">
        <v>125</v>
      </c>
      <c r="H47" s="7" t="s">
        <v>90</v>
      </c>
      <c r="I47">
        <v>2025</v>
      </c>
    </row>
    <row r="48" spans="1:9" x14ac:dyDescent="0.3">
      <c r="A48" s="6" t="s">
        <v>470</v>
      </c>
      <c r="B48" t="s">
        <v>4579</v>
      </c>
      <c r="C48" s="7" t="s">
        <v>472</v>
      </c>
      <c r="D48" s="7" t="s">
        <v>473</v>
      </c>
      <c r="E48" s="7" t="s">
        <v>474</v>
      </c>
      <c r="F48" s="7"/>
      <c r="G48" s="7" t="s">
        <v>125</v>
      </c>
      <c r="H48" s="7" t="s">
        <v>90</v>
      </c>
      <c r="I48">
        <v>2025</v>
      </c>
    </row>
    <row r="49" spans="1:9" x14ac:dyDescent="0.3">
      <c r="A49" s="6" t="s">
        <v>475</v>
      </c>
      <c r="B49" t="s">
        <v>4580</v>
      </c>
      <c r="C49" s="7" t="s">
        <v>477</v>
      </c>
      <c r="D49" s="7" t="s">
        <v>380</v>
      </c>
      <c r="E49" s="7" t="s">
        <v>478</v>
      </c>
      <c r="F49" s="7"/>
      <c r="G49" s="7" t="s">
        <v>125</v>
      </c>
      <c r="H49" s="7" t="s">
        <v>90</v>
      </c>
      <c r="I49">
        <v>2025</v>
      </c>
    </row>
    <row r="50" spans="1:9" ht="27.6" x14ac:dyDescent="0.3">
      <c r="A50" s="6" t="s">
        <v>479</v>
      </c>
      <c r="B50" t="s">
        <v>4581</v>
      </c>
      <c r="C50" s="7" t="s">
        <v>481</v>
      </c>
      <c r="D50" s="7" t="s">
        <v>482</v>
      </c>
      <c r="E50" s="7" t="s">
        <v>483</v>
      </c>
      <c r="F50" s="7"/>
      <c r="G50" s="7" t="s">
        <v>125</v>
      </c>
      <c r="H50" s="7" t="s">
        <v>90</v>
      </c>
      <c r="I50">
        <v>2025</v>
      </c>
    </row>
    <row r="51" spans="1:9" x14ac:dyDescent="0.3">
      <c r="A51" s="6" t="s">
        <v>486</v>
      </c>
      <c r="B51" t="s">
        <v>4582</v>
      </c>
      <c r="C51" s="7" t="s">
        <v>488</v>
      </c>
      <c r="D51" s="7" t="s">
        <v>489</v>
      </c>
      <c r="E51" s="7" t="s">
        <v>490</v>
      </c>
      <c r="F51" s="7"/>
      <c r="G51" s="7" t="s">
        <v>125</v>
      </c>
      <c r="H51" s="7" t="s">
        <v>90</v>
      </c>
      <c r="I51">
        <v>2025</v>
      </c>
    </row>
    <row r="52" spans="1:9" x14ac:dyDescent="0.3">
      <c r="A52" s="6" t="s">
        <v>491</v>
      </c>
      <c r="B52" t="s">
        <v>4583</v>
      </c>
      <c r="C52" s="7" t="s">
        <v>294</v>
      </c>
      <c r="D52" s="7" t="s">
        <v>493</v>
      </c>
      <c r="E52" s="7"/>
      <c r="F52" s="7"/>
      <c r="G52" s="7" t="s">
        <v>125</v>
      </c>
      <c r="H52" s="7" t="s">
        <v>90</v>
      </c>
      <c r="I52">
        <v>2025</v>
      </c>
    </row>
    <row r="53" spans="1:9" x14ac:dyDescent="0.3">
      <c r="A53" s="6" t="s">
        <v>494</v>
      </c>
      <c r="B53" t="s">
        <v>4584</v>
      </c>
      <c r="C53" s="7" t="s">
        <v>496</v>
      </c>
      <c r="D53" s="7" t="s">
        <v>497</v>
      </c>
      <c r="E53" s="7" t="s">
        <v>498</v>
      </c>
      <c r="F53" s="7"/>
      <c r="G53" s="7" t="s">
        <v>125</v>
      </c>
      <c r="H53" s="7" t="s">
        <v>90</v>
      </c>
      <c r="I53">
        <v>2025</v>
      </c>
    </row>
    <row r="54" spans="1:9" x14ac:dyDescent="0.3">
      <c r="A54" s="6" t="s">
        <v>499</v>
      </c>
      <c r="B54" t="s">
        <v>4585</v>
      </c>
      <c r="C54" s="7" t="s">
        <v>501</v>
      </c>
      <c r="D54" s="7"/>
      <c r="E54" s="7"/>
      <c r="F54" s="7"/>
      <c r="G54" s="7" t="s">
        <v>125</v>
      </c>
      <c r="H54" s="7" t="s">
        <v>90</v>
      </c>
      <c r="I54">
        <v>2025</v>
      </c>
    </row>
    <row r="55" spans="1:9" x14ac:dyDescent="0.3">
      <c r="A55" s="6" t="s">
        <v>503</v>
      </c>
      <c r="B55" t="s">
        <v>4586</v>
      </c>
      <c r="C55" s="7" t="s">
        <v>505</v>
      </c>
      <c r="D55" s="7" t="s">
        <v>506</v>
      </c>
      <c r="E55" s="7" t="s">
        <v>507</v>
      </c>
      <c r="F55" s="7"/>
      <c r="G55" s="7" t="s">
        <v>125</v>
      </c>
      <c r="H55" s="7" t="s">
        <v>90</v>
      </c>
      <c r="I55">
        <v>2025</v>
      </c>
    </row>
    <row r="56" spans="1:9" x14ac:dyDescent="0.3">
      <c r="A56" s="6" t="s">
        <v>508</v>
      </c>
      <c r="B56" t="s">
        <v>4587</v>
      </c>
      <c r="C56" s="7" t="s">
        <v>305</v>
      </c>
      <c r="D56" s="7" t="s">
        <v>510</v>
      </c>
      <c r="E56" s="7" t="s">
        <v>511</v>
      </c>
      <c r="F56" s="7"/>
      <c r="G56" s="7" t="s">
        <v>125</v>
      </c>
      <c r="H56" s="7" t="s">
        <v>90</v>
      </c>
      <c r="I56">
        <v>2025</v>
      </c>
    </row>
    <row r="57" spans="1:9" x14ac:dyDescent="0.3">
      <c r="A57" s="6" t="s">
        <v>512</v>
      </c>
      <c r="B57" t="s">
        <v>4588</v>
      </c>
      <c r="C57" s="7" t="s">
        <v>305</v>
      </c>
      <c r="D57" s="7" t="s">
        <v>514</v>
      </c>
      <c r="E57" s="7" t="s">
        <v>515</v>
      </c>
      <c r="F57" s="7"/>
      <c r="G57" s="7" t="s">
        <v>125</v>
      </c>
      <c r="H57" s="7" t="s">
        <v>90</v>
      </c>
      <c r="I57">
        <v>2025</v>
      </c>
    </row>
    <row r="58" spans="1:9" x14ac:dyDescent="0.3">
      <c r="A58" s="6" t="s">
        <v>516</v>
      </c>
      <c r="B58" t="s">
        <v>4589</v>
      </c>
      <c r="C58" s="7" t="s">
        <v>518</v>
      </c>
      <c r="D58" s="7" t="s">
        <v>519</v>
      </c>
      <c r="E58" s="7" t="s">
        <v>520</v>
      </c>
      <c r="F58" s="7"/>
      <c r="G58" s="7" t="s">
        <v>125</v>
      </c>
      <c r="H58" s="7" t="s">
        <v>90</v>
      </c>
      <c r="I58">
        <v>2025</v>
      </c>
    </row>
    <row r="59" spans="1:9" x14ac:dyDescent="0.3">
      <c r="A59" s="6" t="s">
        <v>521</v>
      </c>
      <c r="B59" t="s">
        <v>4590</v>
      </c>
      <c r="C59" s="7" t="s">
        <v>523</v>
      </c>
      <c r="D59" s="7" t="s">
        <v>524</v>
      </c>
      <c r="E59" s="7"/>
      <c r="F59" s="7"/>
      <c r="G59" s="7" t="s">
        <v>125</v>
      </c>
      <c r="H59" s="7" t="s">
        <v>90</v>
      </c>
      <c r="I59">
        <v>2025</v>
      </c>
    </row>
    <row r="60" spans="1:9" ht="27.6" x14ac:dyDescent="0.3">
      <c r="A60" s="6" t="s">
        <v>525</v>
      </c>
      <c r="B60" t="s">
        <v>4591</v>
      </c>
      <c r="C60" s="7" t="s">
        <v>527</v>
      </c>
      <c r="D60" s="7" t="s">
        <v>528</v>
      </c>
      <c r="E60" s="7" t="s">
        <v>529</v>
      </c>
      <c r="F60" s="7"/>
      <c r="G60" s="7" t="s">
        <v>125</v>
      </c>
      <c r="H60" s="7" t="s">
        <v>90</v>
      </c>
      <c r="I60">
        <v>2025</v>
      </c>
    </row>
    <row r="61" spans="1:9" x14ac:dyDescent="0.3">
      <c r="A61" s="6" t="s">
        <v>531</v>
      </c>
      <c r="B61" t="s">
        <v>4592</v>
      </c>
      <c r="C61" s="7" t="s">
        <v>533</v>
      </c>
      <c r="D61" s="7" t="s">
        <v>534</v>
      </c>
      <c r="E61" s="7" t="s">
        <v>535</v>
      </c>
      <c r="F61" s="7"/>
      <c r="G61" s="7" t="s">
        <v>125</v>
      </c>
      <c r="H61" s="7" t="s">
        <v>90</v>
      </c>
      <c r="I61">
        <v>2025</v>
      </c>
    </row>
    <row r="62" spans="1:9" x14ac:dyDescent="0.3">
      <c r="A62" s="6" t="s">
        <v>538</v>
      </c>
      <c r="B62" t="s">
        <v>4593</v>
      </c>
      <c r="C62" s="7" t="s">
        <v>540</v>
      </c>
      <c r="D62" s="7" t="s">
        <v>541</v>
      </c>
      <c r="E62" s="7" t="s">
        <v>542</v>
      </c>
      <c r="F62" s="7"/>
      <c r="G62" s="7" t="s">
        <v>125</v>
      </c>
      <c r="H62" s="7" t="s">
        <v>90</v>
      </c>
      <c r="I62">
        <v>2025</v>
      </c>
    </row>
    <row r="63" spans="1:9" x14ac:dyDescent="0.3">
      <c r="A63" s="6" t="s">
        <v>543</v>
      </c>
      <c r="B63" t="s">
        <v>4594</v>
      </c>
      <c r="C63" s="7" t="s">
        <v>545</v>
      </c>
      <c r="D63" s="7" t="s">
        <v>546</v>
      </c>
      <c r="E63" s="7" t="s">
        <v>547</v>
      </c>
      <c r="F63" s="7"/>
      <c r="G63" s="7" t="s">
        <v>125</v>
      </c>
      <c r="H63" s="7" t="s">
        <v>90</v>
      </c>
      <c r="I63">
        <v>2025</v>
      </c>
    </row>
    <row r="64" spans="1:9" x14ac:dyDescent="0.3">
      <c r="A64" s="6" t="s">
        <v>549</v>
      </c>
      <c r="B64" t="s">
        <v>4595</v>
      </c>
      <c r="C64" s="7" t="s">
        <v>552</v>
      </c>
      <c r="D64" s="7" t="s">
        <v>553</v>
      </c>
      <c r="E64" s="7" t="s">
        <v>554</v>
      </c>
      <c r="F64" s="7"/>
      <c r="G64" s="7" t="s">
        <v>125</v>
      </c>
      <c r="H64" s="7" t="s">
        <v>90</v>
      </c>
      <c r="I64">
        <v>2025</v>
      </c>
    </row>
    <row r="65" spans="1:9" x14ac:dyDescent="0.3">
      <c r="A65" s="6" t="s">
        <v>555</v>
      </c>
      <c r="B65" t="s">
        <v>4596</v>
      </c>
      <c r="C65" s="7" t="s">
        <v>557</v>
      </c>
      <c r="D65" s="7" t="s">
        <v>558</v>
      </c>
      <c r="E65" s="7" t="s">
        <v>559</v>
      </c>
      <c r="F65" s="7"/>
      <c r="G65" s="7" t="s">
        <v>125</v>
      </c>
      <c r="H65" s="7" t="s">
        <v>90</v>
      </c>
      <c r="I65">
        <v>2025</v>
      </c>
    </row>
    <row r="66" spans="1:9" x14ac:dyDescent="0.3">
      <c r="A66" s="6" t="s">
        <v>560</v>
      </c>
      <c r="B66" t="s">
        <v>4597</v>
      </c>
      <c r="C66" s="7" t="s">
        <v>311</v>
      </c>
      <c r="D66" s="7" t="s">
        <v>562</v>
      </c>
      <c r="E66" s="7" t="s">
        <v>563</v>
      </c>
      <c r="F66" s="7"/>
      <c r="G66" s="7" t="s">
        <v>125</v>
      </c>
      <c r="H66" s="7" t="s">
        <v>90</v>
      </c>
      <c r="I66">
        <v>2025</v>
      </c>
    </row>
    <row r="67" spans="1:9" x14ac:dyDescent="0.3">
      <c r="A67" s="6" t="s">
        <v>565</v>
      </c>
      <c r="B67" t="s">
        <v>4598</v>
      </c>
      <c r="C67" s="7" t="s">
        <v>567</v>
      </c>
      <c r="D67" s="7" t="s">
        <v>568</v>
      </c>
      <c r="E67" s="7" t="s">
        <v>569</v>
      </c>
      <c r="F67" s="7"/>
      <c r="G67" s="7" t="s">
        <v>125</v>
      </c>
      <c r="H67" s="7" t="s">
        <v>90</v>
      </c>
      <c r="I67">
        <v>2025</v>
      </c>
    </row>
    <row r="68" spans="1:9" x14ac:dyDescent="0.3">
      <c r="A68" s="6" t="s">
        <v>570</v>
      </c>
      <c r="B68" t="s">
        <v>4599</v>
      </c>
      <c r="C68" s="7" t="s">
        <v>567</v>
      </c>
      <c r="D68" s="7" t="s">
        <v>572</v>
      </c>
      <c r="E68" s="7" t="s">
        <v>573</v>
      </c>
      <c r="F68" s="7"/>
      <c r="G68" s="7" t="s">
        <v>125</v>
      </c>
      <c r="H68" s="7" t="s">
        <v>90</v>
      </c>
      <c r="I68">
        <v>2025</v>
      </c>
    </row>
    <row r="69" spans="1:9" x14ac:dyDescent="0.3">
      <c r="A69" s="6" t="s">
        <v>574</v>
      </c>
      <c r="B69" t="s">
        <v>4600</v>
      </c>
      <c r="C69" s="7" t="s">
        <v>576</v>
      </c>
      <c r="D69" s="7" t="s">
        <v>577</v>
      </c>
      <c r="E69" s="7" t="s">
        <v>578</v>
      </c>
      <c r="F69" s="7"/>
      <c r="G69" s="7" t="s">
        <v>125</v>
      </c>
      <c r="H69" s="7" t="s">
        <v>90</v>
      </c>
      <c r="I69">
        <v>2025</v>
      </c>
    </row>
    <row r="70" spans="1:9" x14ac:dyDescent="0.3">
      <c r="A70" s="6" t="s">
        <v>579</v>
      </c>
      <c r="B70" t="s">
        <v>4601</v>
      </c>
      <c r="C70" s="7" t="s">
        <v>581</v>
      </c>
      <c r="D70" s="7" t="s">
        <v>582</v>
      </c>
      <c r="E70" s="7" t="s">
        <v>583</v>
      </c>
      <c r="F70" s="7"/>
      <c r="G70" s="7" t="s">
        <v>125</v>
      </c>
      <c r="H70" s="7" t="s">
        <v>90</v>
      </c>
      <c r="I70">
        <v>2025</v>
      </c>
    </row>
    <row r="71" spans="1:9" x14ac:dyDescent="0.3">
      <c r="A71" s="6" t="s">
        <v>585</v>
      </c>
      <c r="B71" t="s">
        <v>4602</v>
      </c>
      <c r="C71" s="7" t="s">
        <v>587</v>
      </c>
      <c r="D71" s="7" t="s">
        <v>485</v>
      </c>
      <c r="E71" s="7" t="s">
        <v>588</v>
      </c>
      <c r="F71" s="7"/>
      <c r="G71" s="7" t="s">
        <v>125</v>
      </c>
      <c r="H71" s="7" t="s">
        <v>90</v>
      </c>
      <c r="I71">
        <v>2025</v>
      </c>
    </row>
    <row r="72" spans="1:9" x14ac:dyDescent="0.3">
      <c r="A72" s="6" t="s">
        <v>589</v>
      </c>
      <c r="B72" t="s">
        <v>4603</v>
      </c>
      <c r="C72" s="7" t="s">
        <v>458</v>
      </c>
      <c r="D72" s="7" t="s">
        <v>591</v>
      </c>
      <c r="E72" s="7" t="s">
        <v>592</v>
      </c>
      <c r="F72" s="7"/>
      <c r="G72" s="7" t="s">
        <v>125</v>
      </c>
      <c r="H72" s="7" t="s">
        <v>90</v>
      </c>
      <c r="I72">
        <v>2025</v>
      </c>
    </row>
    <row r="73" spans="1:9" x14ac:dyDescent="0.3">
      <c r="A73" s="6" t="s">
        <v>594</v>
      </c>
      <c r="B73" t="s">
        <v>4604</v>
      </c>
      <c r="C73" s="7" t="s">
        <v>587</v>
      </c>
      <c r="D73" s="7" t="s">
        <v>596</v>
      </c>
      <c r="E73" s="7" t="s">
        <v>597</v>
      </c>
      <c r="F73" s="7"/>
      <c r="G73" s="7" t="s">
        <v>125</v>
      </c>
      <c r="H73" s="7" t="s">
        <v>90</v>
      </c>
      <c r="I73">
        <v>2025</v>
      </c>
    </row>
    <row r="74" spans="1:9" x14ac:dyDescent="0.3">
      <c r="A74" s="6" t="s">
        <v>598</v>
      </c>
      <c r="B74" t="s">
        <v>4605</v>
      </c>
      <c r="C74" s="7" t="s">
        <v>600</v>
      </c>
      <c r="D74" s="7" t="s">
        <v>601</v>
      </c>
      <c r="E74" s="7" t="s">
        <v>602</v>
      </c>
      <c r="F74" s="7"/>
      <c r="G74" s="7" t="s">
        <v>125</v>
      </c>
      <c r="H74" s="7" t="s">
        <v>90</v>
      </c>
      <c r="I74">
        <v>2025</v>
      </c>
    </row>
    <row r="75" spans="1:9" x14ac:dyDescent="0.3">
      <c r="A75" s="6" t="s">
        <v>603</v>
      </c>
      <c r="B75" t="s">
        <v>4606</v>
      </c>
      <c r="C75" s="7" t="s">
        <v>605</v>
      </c>
      <c r="D75" s="7" t="s">
        <v>606</v>
      </c>
      <c r="E75" s="7" t="s">
        <v>607</v>
      </c>
      <c r="F75" s="7"/>
      <c r="G75" s="7" t="s">
        <v>125</v>
      </c>
      <c r="H75" s="7" t="s">
        <v>90</v>
      </c>
      <c r="I75">
        <v>2025</v>
      </c>
    </row>
    <row r="76" spans="1:9" x14ac:dyDescent="0.3">
      <c r="A76" s="6" t="s">
        <v>609</v>
      </c>
      <c r="B76" t="s">
        <v>4607</v>
      </c>
      <c r="C76" s="7" t="s">
        <v>605</v>
      </c>
      <c r="D76" s="7" t="s">
        <v>611</v>
      </c>
      <c r="E76" s="7" t="s">
        <v>612</v>
      </c>
      <c r="F76" s="7"/>
      <c r="G76" s="7" t="s">
        <v>125</v>
      </c>
      <c r="H76" s="7" t="s">
        <v>90</v>
      </c>
      <c r="I76">
        <v>2025</v>
      </c>
    </row>
    <row r="77" spans="1:9" x14ac:dyDescent="0.3">
      <c r="A77" s="6" t="s">
        <v>613</v>
      </c>
      <c r="B77" t="s">
        <v>4608</v>
      </c>
      <c r="C77" s="7" t="s">
        <v>615</v>
      </c>
      <c r="D77" s="7" t="s">
        <v>616</v>
      </c>
      <c r="E77" s="7" t="s">
        <v>617</v>
      </c>
      <c r="F77" s="7"/>
      <c r="G77" s="7" t="s">
        <v>125</v>
      </c>
      <c r="H77" s="7" t="s">
        <v>90</v>
      </c>
      <c r="I77">
        <v>2025</v>
      </c>
    </row>
    <row r="78" spans="1:9" x14ac:dyDescent="0.3">
      <c r="A78" s="6" t="s">
        <v>618</v>
      </c>
      <c r="B78" t="s">
        <v>4609</v>
      </c>
      <c r="C78" s="7" t="s">
        <v>620</v>
      </c>
      <c r="D78" s="7" t="s">
        <v>621</v>
      </c>
      <c r="E78" s="7" t="s">
        <v>622</v>
      </c>
      <c r="F78" s="7"/>
      <c r="G78" s="7" t="s">
        <v>125</v>
      </c>
      <c r="H78" s="7" t="s">
        <v>90</v>
      </c>
      <c r="I78">
        <v>2025</v>
      </c>
    </row>
    <row r="79" spans="1:9" x14ac:dyDescent="0.3">
      <c r="A79" s="6" t="s">
        <v>623</v>
      </c>
      <c r="B79" t="s">
        <v>4610</v>
      </c>
      <c r="C79" s="7" t="s">
        <v>625</v>
      </c>
      <c r="D79" s="7" t="s">
        <v>626</v>
      </c>
      <c r="E79" s="7" t="s">
        <v>627</v>
      </c>
      <c r="F79" s="7"/>
      <c r="G79" s="7" t="s">
        <v>125</v>
      </c>
      <c r="H79" s="7" t="s">
        <v>90</v>
      </c>
      <c r="I79">
        <v>2025</v>
      </c>
    </row>
    <row r="80" spans="1:9" x14ac:dyDescent="0.3">
      <c r="A80" s="6" t="s">
        <v>628</v>
      </c>
      <c r="B80" t="s">
        <v>4611</v>
      </c>
      <c r="C80" s="7" t="s">
        <v>630</v>
      </c>
      <c r="D80" s="7" t="s">
        <v>631</v>
      </c>
      <c r="E80" s="7" t="s">
        <v>632</v>
      </c>
      <c r="F80" s="7"/>
      <c r="G80" s="7" t="s">
        <v>125</v>
      </c>
      <c r="H80" s="7" t="s">
        <v>90</v>
      </c>
      <c r="I80">
        <v>2025</v>
      </c>
    </row>
    <row r="81" spans="1:9" x14ac:dyDescent="0.3">
      <c r="A81" s="6" t="s">
        <v>633</v>
      </c>
      <c r="B81" t="s">
        <v>4612</v>
      </c>
      <c r="C81" s="7" t="s">
        <v>635</v>
      </c>
      <c r="D81" s="7" t="s">
        <v>636</v>
      </c>
      <c r="E81" s="7" t="s">
        <v>637</v>
      </c>
      <c r="F81" s="7"/>
      <c r="G81" s="7" t="s">
        <v>125</v>
      </c>
      <c r="H81" s="7" t="s">
        <v>90</v>
      </c>
      <c r="I81">
        <v>2025</v>
      </c>
    </row>
    <row r="82" spans="1:9" x14ac:dyDescent="0.3">
      <c r="A82" s="6" t="s">
        <v>640</v>
      </c>
      <c r="B82" t="s">
        <v>4613</v>
      </c>
      <c r="C82" s="7" t="s">
        <v>311</v>
      </c>
      <c r="D82" s="7" t="s">
        <v>642</v>
      </c>
      <c r="E82" s="7" t="s">
        <v>643</v>
      </c>
      <c r="F82" s="7"/>
      <c r="G82" s="7" t="s">
        <v>125</v>
      </c>
      <c r="H82" s="7" t="s">
        <v>90</v>
      </c>
      <c r="I82">
        <v>2025</v>
      </c>
    </row>
    <row r="83" spans="1:9" x14ac:dyDescent="0.3">
      <c r="A83" s="6" t="s">
        <v>644</v>
      </c>
      <c r="B83" t="s">
        <v>4614</v>
      </c>
      <c r="C83" s="7" t="s">
        <v>646</v>
      </c>
      <c r="D83" s="7" t="s">
        <v>647</v>
      </c>
      <c r="E83" s="7" t="s">
        <v>648</v>
      </c>
      <c r="F83" s="7"/>
      <c r="G83" s="7" t="s">
        <v>125</v>
      </c>
      <c r="H83" s="7" t="s">
        <v>90</v>
      </c>
      <c r="I83">
        <v>2025</v>
      </c>
    </row>
    <row r="84" spans="1:9" x14ac:dyDescent="0.3">
      <c r="A84" s="6" t="s">
        <v>651</v>
      </c>
      <c r="B84" t="s">
        <v>4615</v>
      </c>
      <c r="C84" s="7" t="s">
        <v>653</v>
      </c>
      <c r="D84" s="7" t="s">
        <v>654</v>
      </c>
      <c r="E84" s="7" t="s">
        <v>655</v>
      </c>
      <c r="F84" s="7"/>
      <c r="G84" s="7" t="s">
        <v>125</v>
      </c>
      <c r="H84" s="7" t="s">
        <v>90</v>
      </c>
      <c r="I84">
        <v>2025</v>
      </c>
    </row>
    <row r="85" spans="1:9" x14ac:dyDescent="0.3">
      <c r="A85" s="6" t="s">
        <v>656</v>
      </c>
      <c r="B85" t="s">
        <v>4616</v>
      </c>
      <c r="C85" s="7" t="s">
        <v>658</v>
      </c>
      <c r="D85" s="7" t="s">
        <v>659</v>
      </c>
      <c r="E85" s="7" t="s">
        <v>660</v>
      </c>
      <c r="F85" s="7"/>
      <c r="G85" s="7" t="s">
        <v>125</v>
      </c>
      <c r="H85" s="7" t="s">
        <v>90</v>
      </c>
      <c r="I85">
        <v>2025</v>
      </c>
    </row>
    <row r="86" spans="1:9" x14ac:dyDescent="0.3">
      <c r="A86" s="6" t="s">
        <v>661</v>
      </c>
      <c r="B86" t="s">
        <v>4617</v>
      </c>
      <c r="C86" s="7" t="s">
        <v>658</v>
      </c>
      <c r="D86" s="7" t="s">
        <v>663</v>
      </c>
      <c r="E86" s="7" t="s">
        <v>664</v>
      </c>
      <c r="F86" s="7"/>
      <c r="G86" s="7" t="s">
        <v>125</v>
      </c>
      <c r="H86" s="7" t="s">
        <v>90</v>
      </c>
      <c r="I86">
        <v>2025</v>
      </c>
    </row>
    <row r="87" spans="1:9" x14ac:dyDescent="0.3">
      <c r="A87" s="6" t="s">
        <v>666</v>
      </c>
      <c r="B87" t="s">
        <v>4618</v>
      </c>
      <c r="C87" s="7" t="s">
        <v>668</v>
      </c>
      <c r="D87" s="7" t="s">
        <v>669</v>
      </c>
      <c r="E87" s="7" t="s">
        <v>670</v>
      </c>
      <c r="F87" s="7"/>
      <c r="G87" s="7" t="s">
        <v>125</v>
      </c>
      <c r="H87" s="7" t="s">
        <v>90</v>
      </c>
      <c r="I87">
        <v>2025</v>
      </c>
    </row>
    <row r="88" spans="1:9" x14ac:dyDescent="0.3">
      <c r="A88" s="6" t="s">
        <v>674</v>
      </c>
      <c r="B88" t="s">
        <v>4619</v>
      </c>
      <c r="C88" s="7" t="s">
        <v>677</v>
      </c>
      <c r="D88" s="7"/>
      <c r="E88" s="7" t="s">
        <v>678</v>
      </c>
      <c r="F88" s="7"/>
      <c r="G88" s="7" t="s">
        <v>125</v>
      </c>
      <c r="H88" s="7" t="s">
        <v>90</v>
      </c>
      <c r="I88">
        <v>2025</v>
      </c>
    </row>
    <row r="89" spans="1:9" x14ac:dyDescent="0.3">
      <c r="A89" s="6" t="s">
        <v>679</v>
      </c>
      <c r="B89" t="s">
        <v>4620</v>
      </c>
      <c r="C89" s="7" t="s">
        <v>681</v>
      </c>
      <c r="D89" s="7"/>
      <c r="E89" s="7" t="s">
        <v>682</v>
      </c>
      <c r="F89" s="7"/>
      <c r="G89" s="7" t="s">
        <v>125</v>
      </c>
      <c r="H89" s="7" t="s">
        <v>90</v>
      </c>
      <c r="I89">
        <v>2025</v>
      </c>
    </row>
    <row r="90" spans="1:9" x14ac:dyDescent="0.3">
      <c r="A90" s="6" t="s">
        <v>684</v>
      </c>
      <c r="B90" t="s">
        <v>4621</v>
      </c>
      <c r="C90" s="7" t="s">
        <v>687</v>
      </c>
      <c r="D90" s="7" t="s">
        <v>688</v>
      </c>
      <c r="E90" s="7" t="s">
        <v>689</v>
      </c>
      <c r="F90" s="7"/>
      <c r="G90" s="7" t="s">
        <v>125</v>
      </c>
      <c r="H90" s="7" t="s">
        <v>90</v>
      </c>
      <c r="I90">
        <v>2025</v>
      </c>
    </row>
    <row r="91" spans="1:9" x14ac:dyDescent="0.3">
      <c r="A91" s="6" t="s">
        <v>690</v>
      </c>
      <c r="B91" t="s">
        <v>4622</v>
      </c>
      <c r="C91" s="7" t="s">
        <v>692</v>
      </c>
      <c r="D91" s="7" t="s">
        <v>693</v>
      </c>
      <c r="E91" s="7" t="s">
        <v>694</v>
      </c>
      <c r="F91" s="7"/>
      <c r="G91" s="7" t="s">
        <v>125</v>
      </c>
      <c r="H91" s="7" t="s">
        <v>90</v>
      </c>
      <c r="I91">
        <v>2025</v>
      </c>
    </row>
    <row r="92" spans="1:9" x14ac:dyDescent="0.3">
      <c r="A92" s="6" t="s">
        <v>695</v>
      </c>
      <c r="B92" t="s">
        <v>4623</v>
      </c>
      <c r="C92" s="7" t="s">
        <v>697</v>
      </c>
      <c r="D92" s="7" t="s">
        <v>698</v>
      </c>
      <c r="E92" s="7" t="s">
        <v>699</v>
      </c>
      <c r="F92" s="7"/>
      <c r="G92" s="7" t="s">
        <v>125</v>
      </c>
      <c r="H92" s="7" t="s">
        <v>90</v>
      </c>
      <c r="I92">
        <v>2025</v>
      </c>
    </row>
    <row r="93" spans="1:9" x14ac:dyDescent="0.3">
      <c r="A93" s="6" t="s">
        <v>701</v>
      </c>
      <c r="B93" t="s">
        <v>4624</v>
      </c>
      <c r="C93" s="7" t="s">
        <v>703</v>
      </c>
      <c r="D93" s="7" t="s">
        <v>424</v>
      </c>
      <c r="E93" s="7"/>
      <c r="F93" s="7"/>
      <c r="G93" s="7" t="s">
        <v>125</v>
      </c>
      <c r="H93" s="7" t="s">
        <v>90</v>
      </c>
      <c r="I93">
        <v>2025</v>
      </c>
    </row>
    <row r="94" spans="1:9" x14ac:dyDescent="0.3">
      <c r="A94" s="6" t="s">
        <v>704</v>
      </c>
      <c r="B94" t="s">
        <v>4625</v>
      </c>
      <c r="C94" s="7" t="s">
        <v>428</v>
      </c>
      <c r="D94" s="7" t="s">
        <v>706</v>
      </c>
      <c r="E94" s="7" t="s">
        <v>707</v>
      </c>
      <c r="F94" s="7"/>
      <c r="G94" s="7" t="s">
        <v>125</v>
      </c>
      <c r="H94" s="7" t="s">
        <v>90</v>
      </c>
      <c r="I94">
        <v>2025</v>
      </c>
    </row>
    <row r="95" spans="1:9" x14ac:dyDescent="0.3">
      <c r="A95" s="6" t="s">
        <v>710</v>
      </c>
      <c r="B95" t="s">
        <v>4626</v>
      </c>
      <c r="C95" s="7" t="s">
        <v>712</v>
      </c>
      <c r="D95" s="7" t="s">
        <v>713</v>
      </c>
      <c r="E95" s="7" t="s">
        <v>714</v>
      </c>
      <c r="F95" s="7"/>
      <c r="G95" s="7" t="s">
        <v>125</v>
      </c>
      <c r="H95" s="7" t="s">
        <v>90</v>
      </c>
      <c r="I95">
        <v>2025</v>
      </c>
    </row>
    <row r="96" spans="1:9" x14ac:dyDescent="0.3">
      <c r="A96" s="6" t="s">
        <v>715</v>
      </c>
      <c r="B96" t="s">
        <v>4627</v>
      </c>
      <c r="C96" s="7" t="s">
        <v>712</v>
      </c>
      <c r="D96" s="7" t="s">
        <v>506</v>
      </c>
      <c r="E96" s="7" t="s">
        <v>717</v>
      </c>
      <c r="F96" s="7"/>
      <c r="G96" s="7" t="s">
        <v>125</v>
      </c>
      <c r="H96" s="7" t="s">
        <v>90</v>
      </c>
      <c r="I96">
        <v>2025</v>
      </c>
    </row>
    <row r="97" spans="1:9" ht="27.6" x14ac:dyDescent="0.3">
      <c r="A97" s="6" t="s">
        <v>718</v>
      </c>
      <c r="B97" t="s">
        <v>4628</v>
      </c>
      <c r="C97" s="7" t="s">
        <v>720</v>
      </c>
      <c r="D97" s="7" t="s">
        <v>721</v>
      </c>
      <c r="E97" s="7" t="s">
        <v>722</v>
      </c>
      <c r="F97" s="7"/>
      <c r="G97" s="7" t="s">
        <v>125</v>
      </c>
      <c r="H97" s="7" t="s">
        <v>90</v>
      </c>
      <c r="I97">
        <v>2025</v>
      </c>
    </row>
    <row r="98" spans="1:9" x14ac:dyDescent="0.3">
      <c r="A98" s="6" t="s">
        <v>724</v>
      </c>
      <c r="B98" t="s">
        <v>4629</v>
      </c>
      <c r="C98" s="7" t="s">
        <v>658</v>
      </c>
      <c r="D98" s="7" t="s">
        <v>726</v>
      </c>
      <c r="E98" s="7" t="s">
        <v>727</v>
      </c>
      <c r="F98" s="7"/>
      <c r="G98" s="7" t="s">
        <v>125</v>
      </c>
      <c r="H98" s="7" t="s">
        <v>90</v>
      </c>
      <c r="I98">
        <v>2025</v>
      </c>
    </row>
    <row r="99" spans="1:9" x14ac:dyDescent="0.3">
      <c r="A99" s="6" t="s">
        <v>730</v>
      </c>
      <c r="B99" t="s">
        <v>4630</v>
      </c>
      <c r="C99" s="7" t="s">
        <v>732</v>
      </c>
      <c r="D99" s="7" t="s">
        <v>733</v>
      </c>
      <c r="E99" s="7" t="s">
        <v>734</v>
      </c>
      <c r="F99" s="7"/>
      <c r="G99" s="7" t="s">
        <v>125</v>
      </c>
      <c r="H99" s="7" t="s">
        <v>90</v>
      </c>
      <c r="I99">
        <v>2025</v>
      </c>
    </row>
    <row r="100" spans="1:9" x14ac:dyDescent="0.3">
      <c r="A100" s="6" t="s">
        <v>735</v>
      </c>
      <c r="B100" t="s">
        <v>4631</v>
      </c>
      <c r="C100" s="7" t="s">
        <v>737</v>
      </c>
      <c r="D100" s="7" t="s">
        <v>738</v>
      </c>
      <c r="E100" s="7" t="s">
        <v>739</v>
      </c>
      <c r="F100" s="7"/>
      <c r="G100" s="7" t="s">
        <v>125</v>
      </c>
      <c r="H100" s="7" t="s">
        <v>90</v>
      </c>
      <c r="I100">
        <v>2025</v>
      </c>
    </row>
    <row r="101" spans="1:9" ht="27.6" x14ac:dyDescent="0.3">
      <c r="A101" s="6" t="s">
        <v>740</v>
      </c>
      <c r="B101" t="s">
        <v>4632</v>
      </c>
      <c r="C101" s="7" t="s">
        <v>567</v>
      </c>
      <c r="D101" s="7" t="s">
        <v>742</v>
      </c>
      <c r="E101" s="7" t="s">
        <v>743</v>
      </c>
      <c r="F101" s="7"/>
      <c r="G101" s="7" t="s">
        <v>125</v>
      </c>
      <c r="H101" s="7" t="s">
        <v>90</v>
      </c>
      <c r="I101">
        <v>2025</v>
      </c>
    </row>
    <row r="102" spans="1:9" x14ac:dyDescent="0.3">
      <c r="A102" s="6" t="s">
        <v>745</v>
      </c>
      <c r="B102" t="s">
        <v>4633</v>
      </c>
      <c r="C102" s="7" t="s">
        <v>747</v>
      </c>
      <c r="D102" s="7" t="s">
        <v>748</v>
      </c>
      <c r="E102" s="7" t="s">
        <v>749</v>
      </c>
      <c r="F102" s="7"/>
      <c r="G102" s="7" t="s">
        <v>125</v>
      </c>
      <c r="H102" s="7" t="s">
        <v>90</v>
      </c>
      <c r="I102">
        <v>2025</v>
      </c>
    </row>
    <row r="103" spans="1:9" x14ac:dyDescent="0.3">
      <c r="A103" s="6" t="s">
        <v>751</v>
      </c>
      <c r="B103" t="s">
        <v>4634</v>
      </c>
      <c r="C103" s="7" t="s">
        <v>753</v>
      </c>
      <c r="D103" s="7" t="s">
        <v>754</v>
      </c>
      <c r="E103" s="7" t="s">
        <v>755</v>
      </c>
      <c r="F103" s="7"/>
      <c r="G103" s="7" t="s">
        <v>125</v>
      </c>
      <c r="H103" s="7" t="s">
        <v>90</v>
      </c>
      <c r="I103">
        <v>2025</v>
      </c>
    </row>
    <row r="104" spans="1:9" x14ac:dyDescent="0.3">
      <c r="A104" s="6" t="s">
        <v>756</v>
      </c>
      <c r="B104" t="s">
        <v>4635</v>
      </c>
      <c r="C104" s="7" t="s">
        <v>758</v>
      </c>
      <c r="D104" s="7" t="s">
        <v>759</v>
      </c>
      <c r="E104" s="7" t="s">
        <v>760</v>
      </c>
      <c r="F104" s="7"/>
      <c r="G104" s="7" t="s">
        <v>125</v>
      </c>
      <c r="H104" s="7" t="s">
        <v>90</v>
      </c>
      <c r="I104">
        <v>2025</v>
      </c>
    </row>
    <row r="105" spans="1:9" x14ac:dyDescent="0.3">
      <c r="A105" s="6" t="s">
        <v>761</v>
      </c>
      <c r="B105" t="s">
        <v>4636</v>
      </c>
      <c r="C105" s="7" t="s">
        <v>687</v>
      </c>
      <c r="D105" s="7" t="s">
        <v>763</v>
      </c>
      <c r="E105" s="7" t="s">
        <v>764</v>
      </c>
      <c r="F105" s="7"/>
      <c r="G105" s="7" t="s">
        <v>125</v>
      </c>
      <c r="H105" s="7" t="s">
        <v>90</v>
      </c>
      <c r="I105">
        <v>2025</v>
      </c>
    </row>
    <row r="106" spans="1:9" x14ac:dyDescent="0.3">
      <c r="A106" s="6" t="s">
        <v>766</v>
      </c>
      <c r="B106" t="s">
        <v>4637</v>
      </c>
      <c r="C106" s="7" t="s">
        <v>687</v>
      </c>
      <c r="D106" s="7" t="s">
        <v>236</v>
      </c>
      <c r="E106" s="7" t="s">
        <v>768</v>
      </c>
      <c r="F106" s="7"/>
      <c r="G106" s="7" t="s">
        <v>125</v>
      </c>
      <c r="H106" s="7" t="s">
        <v>90</v>
      </c>
      <c r="I106">
        <v>2025</v>
      </c>
    </row>
    <row r="107" spans="1:9" x14ac:dyDescent="0.3">
      <c r="A107" s="6" t="s">
        <v>769</v>
      </c>
      <c r="B107" t="s">
        <v>4638</v>
      </c>
      <c r="C107" s="7" t="s">
        <v>771</v>
      </c>
      <c r="D107" s="7" t="s">
        <v>772</v>
      </c>
      <c r="E107" s="7" t="s">
        <v>773</v>
      </c>
      <c r="F107" s="7"/>
      <c r="G107" s="7" t="s">
        <v>5068</v>
      </c>
      <c r="H107" s="7" t="s">
        <v>93</v>
      </c>
    </row>
    <row r="108" spans="1:9" ht="27.6" x14ac:dyDescent="0.3">
      <c r="A108" s="6" t="s">
        <v>774</v>
      </c>
      <c r="B108" t="s">
        <v>4639</v>
      </c>
      <c r="C108" s="7" t="s">
        <v>458</v>
      </c>
      <c r="D108" s="7" t="s">
        <v>776</v>
      </c>
      <c r="E108" s="7" t="s">
        <v>777</v>
      </c>
      <c r="F108" s="7"/>
      <c r="G108" s="7" t="s">
        <v>125</v>
      </c>
      <c r="H108" s="7" t="s">
        <v>90</v>
      </c>
      <c r="I108">
        <v>2025</v>
      </c>
    </row>
    <row r="109" spans="1:9" x14ac:dyDescent="0.3">
      <c r="A109" s="6" t="s">
        <v>778</v>
      </c>
      <c r="B109" t="s">
        <v>4640</v>
      </c>
      <c r="C109" s="7" t="s">
        <v>780</v>
      </c>
      <c r="D109" s="7" t="s">
        <v>781</v>
      </c>
      <c r="E109" s="7" t="s">
        <v>782</v>
      </c>
      <c r="F109" s="7"/>
      <c r="G109" s="7" t="s">
        <v>125</v>
      </c>
      <c r="H109" s="7" t="s">
        <v>90</v>
      </c>
      <c r="I109">
        <v>2025</v>
      </c>
    </row>
    <row r="110" spans="1:9" x14ac:dyDescent="0.3">
      <c r="A110" s="6" t="s">
        <v>783</v>
      </c>
      <c r="B110" t="s">
        <v>4641</v>
      </c>
      <c r="C110" s="7" t="s">
        <v>279</v>
      </c>
      <c r="D110" s="7" t="s">
        <v>785</v>
      </c>
      <c r="E110" s="7" t="s">
        <v>786</v>
      </c>
      <c r="F110" s="7"/>
      <c r="G110" s="7" t="s">
        <v>125</v>
      </c>
      <c r="H110" s="7" t="s">
        <v>90</v>
      </c>
      <c r="I110">
        <v>2025</v>
      </c>
    </row>
    <row r="111" spans="1:9" x14ac:dyDescent="0.3">
      <c r="A111" s="6" t="s">
        <v>787</v>
      </c>
      <c r="B111" t="s">
        <v>4642</v>
      </c>
      <c r="C111" s="7" t="s">
        <v>789</v>
      </c>
      <c r="D111" s="7" t="s">
        <v>790</v>
      </c>
      <c r="E111" s="7"/>
      <c r="F111" s="7"/>
      <c r="G111" s="7" t="s">
        <v>125</v>
      </c>
      <c r="H111" s="7" t="s">
        <v>90</v>
      </c>
      <c r="I111">
        <v>2025</v>
      </c>
    </row>
    <row r="112" spans="1:9" x14ac:dyDescent="0.3">
      <c r="A112" s="6" t="s">
        <v>791</v>
      </c>
      <c r="B112" t="s">
        <v>4643</v>
      </c>
      <c r="C112" s="7" t="s">
        <v>793</v>
      </c>
      <c r="D112" s="7" t="s">
        <v>794</v>
      </c>
      <c r="E112" s="7" t="s">
        <v>795</v>
      </c>
      <c r="F112" s="7"/>
      <c r="G112" s="7" t="s">
        <v>125</v>
      </c>
      <c r="H112" s="7" t="s">
        <v>90</v>
      </c>
      <c r="I112">
        <v>2025</v>
      </c>
    </row>
    <row r="113" spans="1:9" x14ac:dyDescent="0.3">
      <c r="A113" s="6" t="s">
        <v>798</v>
      </c>
      <c r="B113" t="s">
        <v>4644</v>
      </c>
      <c r="C113" s="7" t="s">
        <v>800</v>
      </c>
      <c r="D113" s="7" t="s">
        <v>801</v>
      </c>
      <c r="E113" s="7" t="s">
        <v>802</v>
      </c>
      <c r="F113" s="7"/>
      <c r="G113" s="7" t="s">
        <v>125</v>
      </c>
      <c r="H113" s="7" t="s">
        <v>90</v>
      </c>
      <c r="I113">
        <v>2025</v>
      </c>
    </row>
    <row r="114" spans="1:9" x14ac:dyDescent="0.3">
      <c r="A114" s="6" t="s">
        <v>805</v>
      </c>
      <c r="B114" t="s">
        <v>4645</v>
      </c>
      <c r="C114" s="7" t="s">
        <v>807</v>
      </c>
      <c r="D114" s="7" t="s">
        <v>808</v>
      </c>
      <c r="E114" s="7" t="s">
        <v>809</v>
      </c>
      <c r="F114" s="7"/>
      <c r="G114" s="7" t="s">
        <v>5068</v>
      </c>
      <c r="H114" s="7" t="s">
        <v>93</v>
      </c>
    </row>
    <row r="115" spans="1:9" x14ac:dyDescent="0.3">
      <c r="A115" s="6" t="s">
        <v>810</v>
      </c>
      <c r="B115" t="s">
        <v>4646</v>
      </c>
      <c r="C115" s="7" t="s">
        <v>812</v>
      </c>
      <c r="D115" s="7" t="s">
        <v>813</v>
      </c>
      <c r="E115" s="7" t="s">
        <v>814</v>
      </c>
      <c r="F115" s="7"/>
      <c r="G115" s="7" t="s">
        <v>125</v>
      </c>
      <c r="H115" s="7" t="s">
        <v>90</v>
      </c>
      <c r="I115">
        <v>2025</v>
      </c>
    </row>
    <row r="116" spans="1:9" x14ac:dyDescent="0.3">
      <c r="A116" s="6" t="s">
        <v>815</v>
      </c>
      <c r="B116" t="s">
        <v>4647</v>
      </c>
      <c r="C116" s="7" t="s">
        <v>817</v>
      </c>
      <c r="D116" s="7" t="s">
        <v>818</v>
      </c>
      <c r="E116" s="7" t="s">
        <v>819</v>
      </c>
      <c r="F116" s="7"/>
      <c r="G116" s="7" t="s">
        <v>125</v>
      </c>
      <c r="H116" s="7" t="s">
        <v>90</v>
      </c>
      <c r="I116">
        <v>2025</v>
      </c>
    </row>
    <row r="117" spans="1:9" x14ac:dyDescent="0.3">
      <c r="A117" s="6" t="s">
        <v>820</v>
      </c>
      <c r="B117" t="s">
        <v>4648</v>
      </c>
      <c r="C117" s="7" t="s">
        <v>822</v>
      </c>
      <c r="D117" s="7" t="s">
        <v>823</v>
      </c>
      <c r="E117" s="7"/>
      <c r="F117" s="7"/>
      <c r="G117" s="7" t="s">
        <v>125</v>
      </c>
      <c r="H117" s="7" t="s">
        <v>90</v>
      </c>
      <c r="I117">
        <v>2025</v>
      </c>
    </row>
    <row r="118" spans="1:9" x14ac:dyDescent="0.3">
      <c r="A118" s="6" t="s">
        <v>824</v>
      </c>
      <c r="B118" t="s">
        <v>4649</v>
      </c>
      <c r="C118" s="7" t="s">
        <v>311</v>
      </c>
      <c r="D118" s="7" t="s">
        <v>826</v>
      </c>
      <c r="E118" s="7" t="s">
        <v>827</v>
      </c>
      <c r="F118" s="7"/>
      <c r="G118" s="7" t="s">
        <v>125</v>
      </c>
      <c r="H118" s="7" t="s">
        <v>90</v>
      </c>
      <c r="I118">
        <v>2025</v>
      </c>
    </row>
    <row r="119" spans="1:9" x14ac:dyDescent="0.3">
      <c r="A119" s="6" t="s">
        <v>828</v>
      </c>
      <c r="B119" t="s">
        <v>4650</v>
      </c>
      <c r="C119" s="7" t="s">
        <v>830</v>
      </c>
      <c r="D119" s="7" t="s">
        <v>831</v>
      </c>
      <c r="E119" s="7" t="s">
        <v>832</v>
      </c>
      <c r="F119" s="7"/>
      <c r="G119" s="7" t="s">
        <v>125</v>
      </c>
      <c r="H119" s="7" t="s">
        <v>90</v>
      </c>
      <c r="I119">
        <v>2025</v>
      </c>
    </row>
    <row r="120" spans="1:9" ht="27.6" x14ac:dyDescent="0.3">
      <c r="A120" s="6" t="s">
        <v>833</v>
      </c>
      <c r="B120" t="s">
        <v>4651</v>
      </c>
      <c r="C120" s="7" t="s">
        <v>835</v>
      </c>
      <c r="D120" s="7" t="s">
        <v>836</v>
      </c>
      <c r="E120" s="7" t="s">
        <v>837</v>
      </c>
      <c r="F120" s="7"/>
      <c r="G120" s="7" t="s">
        <v>125</v>
      </c>
      <c r="H120" s="7" t="s">
        <v>90</v>
      </c>
      <c r="I120">
        <v>2025</v>
      </c>
    </row>
    <row r="121" spans="1:9" x14ac:dyDescent="0.3">
      <c r="A121" s="6" t="s">
        <v>839</v>
      </c>
      <c r="B121" t="s">
        <v>4652</v>
      </c>
      <c r="C121" s="7" t="s">
        <v>841</v>
      </c>
      <c r="D121" s="7" t="s">
        <v>219</v>
      </c>
      <c r="E121" s="7" t="s">
        <v>842</v>
      </c>
      <c r="F121" s="7"/>
      <c r="G121" s="7" t="s">
        <v>125</v>
      </c>
      <c r="H121" s="7" t="s">
        <v>90</v>
      </c>
      <c r="I121">
        <v>2025</v>
      </c>
    </row>
    <row r="122" spans="1:9" x14ac:dyDescent="0.3">
      <c r="A122" s="6" t="s">
        <v>843</v>
      </c>
      <c r="B122" t="s">
        <v>4653</v>
      </c>
      <c r="C122" s="7" t="s">
        <v>845</v>
      </c>
      <c r="D122" s="7" t="s">
        <v>846</v>
      </c>
      <c r="E122" s="7" t="s">
        <v>847</v>
      </c>
      <c r="F122" s="7"/>
      <c r="G122" s="7" t="s">
        <v>125</v>
      </c>
      <c r="H122" s="7" t="s">
        <v>90</v>
      </c>
      <c r="I122">
        <v>2025</v>
      </c>
    </row>
    <row r="123" spans="1:9" x14ac:dyDescent="0.3">
      <c r="A123" s="6" t="s">
        <v>848</v>
      </c>
      <c r="B123" t="s">
        <v>4654</v>
      </c>
      <c r="C123" s="7" t="s">
        <v>850</v>
      </c>
      <c r="D123" s="7" t="s">
        <v>851</v>
      </c>
      <c r="E123" s="7" t="s">
        <v>852</v>
      </c>
      <c r="F123" s="7"/>
      <c r="G123" s="7" t="s">
        <v>125</v>
      </c>
      <c r="H123" s="7" t="s">
        <v>90</v>
      </c>
      <c r="I123">
        <v>2025</v>
      </c>
    </row>
    <row r="124" spans="1:9" x14ac:dyDescent="0.3">
      <c r="A124" s="6" t="s">
        <v>854</v>
      </c>
      <c r="B124" t="s">
        <v>4655</v>
      </c>
      <c r="C124" s="7" t="s">
        <v>856</v>
      </c>
      <c r="D124" s="7" t="s">
        <v>857</v>
      </c>
      <c r="E124" s="7" t="s">
        <v>858</v>
      </c>
      <c r="F124" s="7"/>
      <c r="G124" s="7" t="s">
        <v>125</v>
      </c>
      <c r="H124" s="7" t="s">
        <v>90</v>
      </c>
      <c r="I124">
        <v>2025</v>
      </c>
    </row>
    <row r="125" spans="1:9" x14ac:dyDescent="0.3">
      <c r="A125" s="6" t="s">
        <v>859</v>
      </c>
      <c r="B125" t="s">
        <v>4656</v>
      </c>
      <c r="C125" s="7"/>
      <c r="D125" s="7"/>
      <c r="E125" s="7"/>
      <c r="F125" s="7"/>
      <c r="G125" s="7" t="s">
        <v>125</v>
      </c>
      <c r="H125" s="7" t="s">
        <v>90</v>
      </c>
      <c r="I125">
        <v>2025</v>
      </c>
    </row>
    <row r="126" spans="1:9" ht="27.6" x14ac:dyDescent="0.3">
      <c r="A126" s="6" t="s">
        <v>862</v>
      </c>
      <c r="B126" t="s">
        <v>4657</v>
      </c>
      <c r="C126" s="7" t="s">
        <v>625</v>
      </c>
      <c r="D126" s="7" t="s">
        <v>865</v>
      </c>
      <c r="E126" s="7" t="s">
        <v>866</v>
      </c>
      <c r="F126" s="7"/>
      <c r="G126" s="7" t="s">
        <v>125</v>
      </c>
      <c r="H126" s="7" t="s">
        <v>90</v>
      </c>
      <c r="I126">
        <v>2025</v>
      </c>
    </row>
    <row r="127" spans="1:9" x14ac:dyDescent="0.3">
      <c r="A127" s="6" t="s">
        <v>869</v>
      </c>
      <c r="B127" t="s">
        <v>4658</v>
      </c>
      <c r="C127" s="7"/>
      <c r="D127" s="7"/>
      <c r="E127" s="7"/>
      <c r="F127" s="7"/>
      <c r="G127" s="7" t="s">
        <v>125</v>
      </c>
      <c r="H127" s="7" t="s">
        <v>90</v>
      </c>
      <c r="I127">
        <v>2025</v>
      </c>
    </row>
    <row r="128" spans="1:9" x14ac:dyDescent="0.3">
      <c r="A128" s="6" t="s">
        <v>872</v>
      </c>
      <c r="B128" t="s">
        <v>4659</v>
      </c>
      <c r="C128" s="7" t="s">
        <v>875</v>
      </c>
      <c r="D128" s="7" t="s">
        <v>876</v>
      </c>
      <c r="E128" s="7" t="s">
        <v>877</v>
      </c>
      <c r="F128" s="7"/>
      <c r="G128" s="7" t="s">
        <v>125</v>
      </c>
      <c r="H128" s="7" t="s">
        <v>90</v>
      </c>
      <c r="I128">
        <v>2025</v>
      </c>
    </row>
    <row r="129" spans="1:9" x14ac:dyDescent="0.3">
      <c r="A129" s="6" t="s">
        <v>878</v>
      </c>
      <c r="B129" t="s">
        <v>4660</v>
      </c>
      <c r="C129" s="7" t="s">
        <v>880</v>
      </c>
      <c r="D129" s="7" t="s">
        <v>881</v>
      </c>
      <c r="E129" s="7"/>
      <c r="F129" s="7"/>
      <c r="G129" s="7" t="s">
        <v>125</v>
      </c>
      <c r="H129" s="7" t="s">
        <v>90</v>
      </c>
      <c r="I129">
        <v>2025</v>
      </c>
    </row>
    <row r="130" spans="1:9" x14ac:dyDescent="0.3">
      <c r="A130" s="6" t="s">
        <v>882</v>
      </c>
      <c r="B130" t="s">
        <v>4661</v>
      </c>
      <c r="C130" s="7" t="s">
        <v>884</v>
      </c>
      <c r="D130" s="7" t="s">
        <v>885</v>
      </c>
      <c r="E130" s="7" t="s">
        <v>886</v>
      </c>
      <c r="F130" s="7"/>
      <c r="G130" s="7" t="s">
        <v>125</v>
      </c>
      <c r="H130" s="7" t="s">
        <v>90</v>
      </c>
      <c r="I130">
        <v>2025</v>
      </c>
    </row>
    <row r="131" spans="1:9" x14ac:dyDescent="0.3">
      <c r="A131" s="6" t="s">
        <v>888</v>
      </c>
      <c r="B131" t="s">
        <v>4662</v>
      </c>
      <c r="C131" s="7" t="s">
        <v>891</v>
      </c>
      <c r="D131" s="7" t="s">
        <v>892</v>
      </c>
      <c r="E131" s="7" t="s">
        <v>893</v>
      </c>
      <c r="F131" s="7"/>
      <c r="G131" s="7" t="s">
        <v>125</v>
      </c>
      <c r="H131" s="7" t="s">
        <v>90</v>
      </c>
      <c r="I131">
        <v>2025</v>
      </c>
    </row>
    <row r="132" spans="1:9" x14ac:dyDescent="0.3">
      <c r="A132" s="6" t="s">
        <v>894</v>
      </c>
      <c r="B132" t="s">
        <v>4663</v>
      </c>
      <c r="C132" s="7" t="s">
        <v>458</v>
      </c>
      <c r="D132" s="7" t="s">
        <v>896</v>
      </c>
      <c r="E132" s="7"/>
      <c r="F132" s="7"/>
      <c r="G132" s="7" t="s">
        <v>125</v>
      </c>
      <c r="H132" s="7" t="s">
        <v>90</v>
      </c>
      <c r="I132">
        <v>2025</v>
      </c>
    </row>
    <row r="133" spans="1:9" x14ac:dyDescent="0.3">
      <c r="A133" s="6" t="s">
        <v>898</v>
      </c>
      <c r="B133" t="s">
        <v>4664</v>
      </c>
      <c r="C133" s="7" t="s">
        <v>901</v>
      </c>
      <c r="D133" s="7" t="s">
        <v>902</v>
      </c>
      <c r="E133" s="7" t="s">
        <v>903</v>
      </c>
      <c r="F133" s="7"/>
      <c r="G133" s="7" t="s">
        <v>125</v>
      </c>
      <c r="H133" s="7" t="s">
        <v>90</v>
      </c>
      <c r="I133">
        <v>2025</v>
      </c>
    </row>
    <row r="134" spans="1:9" x14ac:dyDescent="0.3">
      <c r="A134" s="6" t="s">
        <v>904</v>
      </c>
      <c r="B134" t="s">
        <v>4665</v>
      </c>
      <c r="C134" s="7" t="s">
        <v>906</v>
      </c>
      <c r="D134" s="7" t="s">
        <v>907</v>
      </c>
      <c r="E134" s="7" t="s">
        <v>908</v>
      </c>
      <c r="F134" s="7"/>
      <c r="G134" s="7" t="s">
        <v>125</v>
      </c>
      <c r="H134" s="7" t="s">
        <v>90</v>
      </c>
      <c r="I134">
        <v>2025</v>
      </c>
    </row>
    <row r="135" spans="1:9" x14ac:dyDescent="0.3">
      <c r="A135" s="6" t="s">
        <v>909</v>
      </c>
      <c r="B135" t="s">
        <v>4666</v>
      </c>
      <c r="C135" s="7" t="s">
        <v>687</v>
      </c>
      <c r="D135" s="7" t="s">
        <v>911</v>
      </c>
      <c r="E135" s="7" t="s">
        <v>912</v>
      </c>
      <c r="F135" s="7"/>
      <c r="G135" s="7" t="s">
        <v>125</v>
      </c>
      <c r="H135" s="7" t="s">
        <v>90</v>
      </c>
      <c r="I135">
        <v>2025</v>
      </c>
    </row>
    <row r="136" spans="1:9" x14ac:dyDescent="0.3">
      <c r="A136" s="6" t="s">
        <v>914</v>
      </c>
      <c r="B136" t="s">
        <v>4667</v>
      </c>
      <c r="C136" s="7" t="s">
        <v>916</v>
      </c>
      <c r="D136" s="7" t="s">
        <v>917</v>
      </c>
      <c r="E136" s="7" t="s">
        <v>918</v>
      </c>
      <c r="F136" s="7"/>
      <c r="G136" s="7" t="s">
        <v>125</v>
      </c>
      <c r="H136" s="7" t="s">
        <v>90</v>
      </c>
      <c r="I136">
        <v>2025</v>
      </c>
    </row>
    <row r="137" spans="1:9" ht="27.6" x14ac:dyDescent="0.3">
      <c r="A137" s="6" t="s">
        <v>920</v>
      </c>
      <c r="B137" t="s">
        <v>4668</v>
      </c>
      <c r="C137" s="7" t="s">
        <v>923</v>
      </c>
      <c r="D137" s="7" t="s">
        <v>924</v>
      </c>
      <c r="E137" s="7" t="s">
        <v>925</v>
      </c>
      <c r="F137" s="7"/>
      <c r="G137" s="7" t="s">
        <v>125</v>
      </c>
      <c r="H137" s="7" t="s">
        <v>90</v>
      </c>
      <c r="I137">
        <v>2025</v>
      </c>
    </row>
    <row r="138" spans="1:9" x14ac:dyDescent="0.3">
      <c r="A138" s="6" t="s">
        <v>926</v>
      </c>
      <c r="B138" t="s">
        <v>4669</v>
      </c>
      <c r="C138" s="7" t="s">
        <v>567</v>
      </c>
      <c r="D138" s="7" t="s">
        <v>928</v>
      </c>
      <c r="E138" s="7" t="s">
        <v>929</v>
      </c>
      <c r="F138" s="7"/>
      <c r="G138" s="7" t="s">
        <v>125</v>
      </c>
      <c r="H138" s="7" t="s">
        <v>90</v>
      </c>
      <c r="I138">
        <v>2025</v>
      </c>
    </row>
    <row r="139" spans="1:9" x14ac:dyDescent="0.3">
      <c r="A139" s="6" t="s">
        <v>930</v>
      </c>
      <c r="B139" t="s">
        <v>4670</v>
      </c>
      <c r="C139" s="7" t="s">
        <v>932</v>
      </c>
      <c r="D139" s="7" t="s">
        <v>933</v>
      </c>
      <c r="E139" s="7" t="s">
        <v>934</v>
      </c>
      <c r="F139" s="7"/>
      <c r="G139" s="7" t="s">
        <v>125</v>
      </c>
      <c r="H139" s="7" t="s">
        <v>90</v>
      </c>
      <c r="I139">
        <v>2025</v>
      </c>
    </row>
    <row r="140" spans="1:9" x14ac:dyDescent="0.3">
      <c r="A140" s="6" t="s">
        <v>937</v>
      </c>
      <c r="B140" t="s">
        <v>4671</v>
      </c>
      <c r="C140" s="7" t="s">
        <v>587</v>
      </c>
      <c r="D140" s="7" t="s">
        <v>939</v>
      </c>
      <c r="E140" s="7" t="s">
        <v>940</v>
      </c>
      <c r="F140" s="7"/>
      <c r="G140" s="7" t="s">
        <v>125</v>
      </c>
      <c r="H140" s="7" t="s">
        <v>90</v>
      </c>
      <c r="I140">
        <v>2025</v>
      </c>
    </row>
    <row r="141" spans="1:9" x14ac:dyDescent="0.3">
      <c r="A141" s="6" t="s">
        <v>942</v>
      </c>
      <c r="B141" t="s">
        <v>4672</v>
      </c>
      <c r="C141" s="7" t="s">
        <v>944</v>
      </c>
      <c r="D141" s="7" t="s">
        <v>939</v>
      </c>
      <c r="E141" s="7" t="s">
        <v>945</v>
      </c>
      <c r="F141" s="7"/>
      <c r="G141" s="7" t="s">
        <v>125</v>
      </c>
      <c r="H141" s="7" t="s">
        <v>90</v>
      </c>
      <c r="I141">
        <v>2025</v>
      </c>
    </row>
    <row r="142" spans="1:9" x14ac:dyDescent="0.3">
      <c r="A142" s="6" t="s">
        <v>946</v>
      </c>
      <c r="B142" t="s">
        <v>4673</v>
      </c>
      <c r="C142" s="7" t="s">
        <v>948</v>
      </c>
      <c r="D142" s="7" t="s">
        <v>949</v>
      </c>
      <c r="E142" s="7" t="s">
        <v>950</v>
      </c>
      <c r="F142" s="7"/>
      <c r="G142" s="7" t="s">
        <v>125</v>
      </c>
      <c r="H142" s="7" t="s">
        <v>90</v>
      </c>
      <c r="I142">
        <v>2025</v>
      </c>
    </row>
    <row r="143" spans="1:9" ht="27.6" x14ac:dyDescent="0.3">
      <c r="A143" s="6" t="s">
        <v>952</v>
      </c>
      <c r="B143" t="s">
        <v>4674</v>
      </c>
      <c r="C143" s="7" t="s">
        <v>658</v>
      </c>
      <c r="D143" s="7" t="s">
        <v>954</v>
      </c>
      <c r="E143" s="7" t="s">
        <v>955</v>
      </c>
      <c r="F143" s="7"/>
      <c r="G143" s="7" t="s">
        <v>125</v>
      </c>
      <c r="H143" s="7" t="s">
        <v>90</v>
      </c>
      <c r="I143">
        <v>2025</v>
      </c>
    </row>
    <row r="144" spans="1:9" x14ac:dyDescent="0.3">
      <c r="A144" s="6" t="s">
        <v>956</v>
      </c>
      <c r="B144" t="s">
        <v>4675</v>
      </c>
      <c r="C144" s="7" t="s">
        <v>658</v>
      </c>
      <c r="D144" s="7" t="s">
        <v>958</v>
      </c>
      <c r="E144" s="7" t="s">
        <v>959</v>
      </c>
      <c r="F144" s="7"/>
      <c r="G144" s="7" t="s">
        <v>125</v>
      </c>
      <c r="H144" s="7" t="s">
        <v>90</v>
      </c>
      <c r="I144">
        <v>2025</v>
      </c>
    </row>
    <row r="145" spans="1:9" x14ac:dyDescent="0.3">
      <c r="A145" s="6" t="s">
        <v>962</v>
      </c>
      <c r="B145" t="s">
        <v>4676</v>
      </c>
      <c r="C145" s="7" t="s">
        <v>965</v>
      </c>
      <c r="D145" s="7" t="s">
        <v>966</v>
      </c>
      <c r="E145" s="7" t="s">
        <v>967</v>
      </c>
      <c r="F145" s="7"/>
      <c r="G145" s="7" t="s">
        <v>125</v>
      </c>
      <c r="H145" s="7" t="s">
        <v>90</v>
      </c>
      <c r="I145">
        <v>2025</v>
      </c>
    </row>
    <row r="146" spans="1:9" x14ac:dyDescent="0.3">
      <c r="A146" s="6" t="s">
        <v>969</v>
      </c>
      <c r="B146" t="s">
        <v>4677</v>
      </c>
      <c r="C146" s="7" t="s">
        <v>971</v>
      </c>
      <c r="D146" s="7" t="s">
        <v>972</v>
      </c>
      <c r="E146" s="7"/>
      <c r="F146" s="7"/>
      <c r="G146" s="7" t="s">
        <v>125</v>
      </c>
      <c r="H146" s="7" t="s">
        <v>90</v>
      </c>
      <c r="I146">
        <v>2025</v>
      </c>
    </row>
    <row r="147" spans="1:9" ht="27.6" x14ac:dyDescent="0.3">
      <c r="A147" s="6" t="s">
        <v>973</v>
      </c>
      <c r="B147" t="s">
        <v>4678</v>
      </c>
      <c r="C147" s="7" t="s">
        <v>975</v>
      </c>
      <c r="D147" s="7" t="s">
        <v>949</v>
      </c>
      <c r="E147" s="7"/>
      <c r="F147" s="7"/>
      <c r="G147" s="7" t="s">
        <v>125</v>
      </c>
      <c r="H147" s="7" t="s">
        <v>90</v>
      </c>
      <c r="I147">
        <v>2025</v>
      </c>
    </row>
    <row r="148" spans="1:9" x14ac:dyDescent="0.3">
      <c r="A148" s="6" t="s">
        <v>976</v>
      </c>
      <c r="B148" t="s">
        <v>4679</v>
      </c>
      <c r="C148" s="7" t="s">
        <v>978</v>
      </c>
      <c r="D148" s="7" t="s">
        <v>979</v>
      </c>
      <c r="E148" s="7" t="s">
        <v>980</v>
      </c>
      <c r="F148" s="7"/>
      <c r="G148" s="7" t="s">
        <v>125</v>
      </c>
      <c r="H148" s="7" t="s">
        <v>90</v>
      </c>
      <c r="I148">
        <v>2025</v>
      </c>
    </row>
    <row r="149" spans="1:9" x14ac:dyDescent="0.3">
      <c r="A149" s="6" t="s">
        <v>981</v>
      </c>
      <c r="B149" t="s">
        <v>4680</v>
      </c>
      <c r="C149" s="7" t="s">
        <v>712</v>
      </c>
      <c r="D149" s="7" t="s">
        <v>983</v>
      </c>
      <c r="E149" s="7" t="s">
        <v>984</v>
      </c>
      <c r="F149" s="7"/>
      <c r="G149" s="7" t="s">
        <v>125</v>
      </c>
      <c r="H149" s="7" t="s">
        <v>90</v>
      </c>
      <c r="I149">
        <v>2025</v>
      </c>
    </row>
    <row r="150" spans="1:9" x14ac:dyDescent="0.3">
      <c r="A150" s="6" t="s">
        <v>985</v>
      </c>
      <c r="B150" t="s">
        <v>4681</v>
      </c>
      <c r="C150" s="7" t="s">
        <v>305</v>
      </c>
      <c r="D150" s="7" t="s">
        <v>987</v>
      </c>
      <c r="E150" s="7" t="s">
        <v>988</v>
      </c>
      <c r="F150" s="7"/>
      <c r="G150" s="7" t="s">
        <v>125</v>
      </c>
      <c r="H150" s="7" t="s">
        <v>90</v>
      </c>
      <c r="I150">
        <v>2025</v>
      </c>
    </row>
    <row r="151" spans="1:9" x14ac:dyDescent="0.3">
      <c r="A151" s="6" t="s">
        <v>991</v>
      </c>
      <c r="B151" t="s">
        <v>4682</v>
      </c>
      <c r="C151" s="7" t="s">
        <v>993</v>
      </c>
      <c r="D151" s="7" t="s">
        <v>994</v>
      </c>
      <c r="E151" s="7"/>
      <c r="F151" s="7"/>
      <c r="G151" s="7" t="s">
        <v>125</v>
      </c>
      <c r="H151" s="7" t="s">
        <v>90</v>
      </c>
      <c r="I151">
        <v>2025</v>
      </c>
    </row>
    <row r="152" spans="1:9" x14ac:dyDescent="0.3">
      <c r="A152" s="6" t="s">
        <v>995</v>
      </c>
      <c r="B152" t="s">
        <v>4683</v>
      </c>
      <c r="C152" s="7" t="s">
        <v>997</v>
      </c>
      <c r="D152" s="7" t="s">
        <v>998</v>
      </c>
      <c r="E152" s="7" t="s">
        <v>999</v>
      </c>
      <c r="F152" s="7"/>
      <c r="G152" s="7" t="s">
        <v>125</v>
      </c>
      <c r="H152" s="7" t="s">
        <v>90</v>
      </c>
      <c r="I152">
        <v>2025</v>
      </c>
    </row>
    <row r="153" spans="1:9" x14ac:dyDescent="0.3">
      <c r="A153" s="6" t="s">
        <v>1000</v>
      </c>
      <c r="B153" t="s">
        <v>4684</v>
      </c>
      <c r="C153" s="7" t="s">
        <v>334</v>
      </c>
      <c r="D153" s="7" t="s">
        <v>1002</v>
      </c>
      <c r="E153" s="7" t="s">
        <v>1003</v>
      </c>
      <c r="F153" s="7"/>
      <c r="G153" s="7" t="s">
        <v>125</v>
      </c>
      <c r="H153" s="7" t="s">
        <v>90</v>
      </c>
      <c r="I153">
        <v>2025</v>
      </c>
    </row>
    <row r="154" spans="1:9" x14ac:dyDescent="0.3">
      <c r="A154" s="6" t="s">
        <v>1004</v>
      </c>
      <c r="B154" t="s">
        <v>4685</v>
      </c>
      <c r="C154" s="7" t="s">
        <v>334</v>
      </c>
      <c r="D154" s="7" t="s">
        <v>1006</v>
      </c>
      <c r="E154" s="7" t="s">
        <v>1007</v>
      </c>
      <c r="F154" s="7"/>
      <c r="G154" s="7" t="s">
        <v>125</v>
      </c>
      <c r="H154" s="7" t="s">
        <v>90</v>
      </c>
      <c r="I154">
        <v>2025</v>
      </c>
    </row>
    <row r="155" spans="1:9" x14ac:dyDescent="0.3">
      <c r="A155" s="6" t="s">
        <v>1009</v>
      </c>
      <c r="B155" t="s">
        <v>4686</v>
      </c>
      <c r="C155" s="7" t="s">
        <v>567</v>
      </c>
      <c r="D155" s="7" t="s">
        <v>1012</v>
      </c>
      <c r="E155" s="7" t="s">
        <v>1013</v>
      </c>
      <c r="F155" s="7"/>
      <c r="G155" s="7" t="s">
        <v>125</v>
      </c>
      <c r="H155" s="7" t="s">
        <v>90</v>
      </c>
      <c r="I155">
        <v>2025</v>
      </c>
    </row>
    <row r="156" spans="1:9" ht="27.6" x14ac:dyDescent="0.3">
      <c r="A156" s="6" t="s">
        <v>1014</v>
      </c>
      <c r="B156" t="s">
        <v>4687</v>
      </c>
      <c r="C156" s="7" t="s">
        <v>1016</v>
      </c>
      <c r="D156" s="7" t="s">
        <v>1017</v>
      </c>
      <c r="E156" s="7" t="s">
        <v>1018</v>
      </c>
      <c r="F156" s="7"/>
      <c r="G156" s="7" t="s">
        <v>125</v>
      </c>
      <c r="H156" s="7" t="s">
        <v>90</v>
      </c>
      <c r="I156">
        <v>2025</v>
      </c>
    </row>
    <row r="157" spans="1:9" x14ac:dyDescent="0.3">
      <c r="A157" s="6" t="s">
        <v>1019</v>
      </c>
      <c r="B157" t="s">
        <v>4688</v>
      </c>
      <c r="C157" s="7" t="s">
        <v>1021</v>
      </c>
      <c r="D157" s="7"/>
      <c r="E157" s="7" t="s">
        <v>1022</v>
      </c>
      <c r="F157" s="7"/>
      <c r="G157" s="7" t="s">
        <v>125</v>
      </c>
      <c r="H157" s="7" t="s">
        <v>90</v>
      </c>
      <c r="I157">
        <v>2025</v>
      </c>
    </row>
    <row r="158" spans="1:9" x14ac:dyDescent="0.3">
      <c r="A158" s="6" t="s">
        <v>1024</v>
      </c>
      <c r="B158" t="s">
        <v>4689</v>
      </c>
      <c r="C158" s="7" t="s">
        <v>1026</v>
      </c>
      <c r="D158" s="7" t="s">
        <v>1027</v>
      </c>
      <c r="E158" s="7" t="s">
        <v>1028</v>
      </c>
      <c r="F158" s="7"/>
      <c r="G158" s="7" t="s">
        <v>125</v>
      </c>
      <c r="H158" s="7" t="s">
        <v>90</v>
      </c>
      <c r="I158">
        <v>2025</v>
      </c>
    </row>
    <row r="159" spans="1:9" x14ac:dyDescent="0.3">
      <c r="A159" s="6" t="s">
        <v>1029</v>
      </c>
      <c r="B159" t="s">
        <v>4690</v>
      </c>
      <c r="C159" s="7" t="s">
        <v>1031</v>
      </c>
      <c r="D159" s="7" t="s">
        <v>312</v>
      </c>
      <c r="E159" s="7" t="s">
        <v>1032</v>
      </c>
      <c r="F159" s="7"/>
      <c r="G159" s="7" t="s">
        <v>125</v>
      </c>
      <c r="H159" s="7" t="s">
        <v>90</v>
      </c>
      <c r="I159">
        <v>2025</v>
      </c>
    </row>
    <row r="160" spans="1:9" x14ac:dyDescent="0.3">
      <c r="A160" s="6" t="s">
        <v>1034</v>
      </c>
      <c r="B160" t="s">
        <v>4691</v>
      </c>
      <c r="C160" s="7" t="s">
        <v>1036</v>
      </c>
      <c r="D160" s="7" t="s">
        <v>1037</v>
      </c>
      <c r="E160" s="7" t="s">
        <v>1038</v>
      </c>
      <c r="F160" s="7"/>
      <c r="G160" s="7" t="s">
        <v>125</v>
      </c>
      <c r="H160" s="7" t="s">
        <v>90</v>
      </c>
      <c r="I160">
        <v>2025</v>
      </c>
    </row>
    <row r="161" spans="1:9" x14ac:dyDescent="0.3">
      <c r="A161" s="6" t="s">
        <v>1039</v>
      </c>
      <c r="B161" t="s">
        <v>4692</v>
      </c>
      <c r="C161" s="7" t="s">
        <v>206</v>
      </c>
      <c r="D161" s="7" t="s">
        <v>1041</v>
      </c>
      <c r="E161" s="7" t="s">
        <v>1042</v>
      </c>
      <c r="F161" s="7"/>
      <c r="G161" s="7" t="s">
        <v>125</v>
      </c>
      <c r="H161" s="7" t="s">
        <v>90</v>
      </c>
      <c r="I161">
        <v>2025</v>
      </c>
    </row>
    <row r="162" spans="1:9" x14ac:dyDescent="0.3">
      <c r="A162" s="6" t="s">
        <v>1043</v>
      </c>
      <c r="B162" t="s">
        <v>4693</v>
      </c>
      <c r="C162" s="7" t="s">
        <v>1045</v>
      </c>
      <c r="D162" s="7" t="s">
        <v>1046</v>
      </c>
      <c r="E162" s="7" t="s">
        <v>1047</v>
      </c>
      <c r="F162" s="7"/>
      <c r="G162" s="7" t="s">
        <v>125</v>
      </c>
      <c r="H162" s="7" t="s">
        <v>90</v>
      </c>
      <c r="I162">
        <v>2025</v>
      </c>
    </row>
    <row r="163" spans="1:9" x14ac:dyDescent="0.3">
      <c r="A163" s="6" t="s">
        <v>1049</v>
      </c>
      <c r="B163" t="s">
        <v>4694</v>
      </c>
      <c r="C163" s="7" t="s">
        <v>272</v>
      </c>
      <c r="D163" s="7" t="s">
        <v>902</v>
      </c>
      <c r="E163" s="7" t="s">
        <v>1051</v>
      </c>
      <c r="F163" s="7"/>
      <c r="G163" s="7" t="s">
        <v>125</v>
      </c>
      <c r="H163" s="7" t="s">
        <v>90</v>
      </c>
      <c r="I163">
        <v>2025</v>
      </c>
    </row>
    <row r="164" spans="1:9" ht="27.6" x14ac:dyDescent="0.3">
      <c r="A164" s="6" t="s">
        <v>1052</v>
      </c>
      <c r="B164" t="s">
        <v>4695</v>
      </c>
      <c r="C164" s="7" t="s">
        <v>1054</v>
      </c>
      <c r="D164" s="7" t="s">
        <v>1055</v>
      </c>
      <c r="E164" s="7" t="s">
        <v>1056</v>
      </c>
      <c r="F164" s="7"/>
      <c r="G164" s="7" t="s">
        <v>125</v>
      </c>
      <c r="H164" s="7" t="s">
        <v>90</v>
      </c>
      <c r="I164">
        <v>2025</v>
      </c>
    </row>
    <row r="165" spans="1:9" x14ac:dyDescent="0.3">
      <c r="A165" s="6" t="s">
        <v>1060</v>
      </c>
      <c r="B165" t="s">
        <v>4696</v>
      </c>
      <c r="C165" s="7" t="s">
        <v>1063</v>
      </c>
      <c r="D165" s="7" t="s">
        <v>1064</v>
      </c>
      <c r="E165" s="7" t="s">
        <v>1065</v>
      </c>
      <c r="F165" s="7"/>
      <c r="G165" s="7" t="s">
        <v>125</v>
      </c>
      <c r="H165" s="7" t="s">
        <v>90</v>
      </c>
      <c r="I165">
        <v>2025</v>
      </c>
    </row>
    <row r="166" spans="1:9" ht="27.6" x14ac:dyDescent="0.3">
      <c r="A166" s="6" t="s">
        <v>1068</v>
      </c>
      <c r="B166" t="s">
        <v>4697</v>
      </c>
      <c r="C166" s="7" t="s">
        <v>1070</v>
      </c>
      <c r="D166" s="7" t="s">
        <v>1071</v>
      </c>
      <c r="E166" s="7" t="s">
        <v>1072</v>
      </c>
      <c r="F166" s="7"/>
      <c r="G166" s="7" t="s">
        <v>125</v>
      </c>
      <c r="H166" s="7" t="s">
        <v>90</v>
      </c>
      <c r="I166">
        <v>2025</v>
      </c>
    </row>
    <row r="167" spans="1:9" x14ac:dyDescent="0.3">
      <c r="A167" s="6" t="s">
        <v>1074</v>
      </c>
      <c r="B167" t="s">
        <v>4698</v>
      </c>
      <c r="C167" s="7" t="s">
        <v>1076</v>
      </c>
      <c r="D167" s="7" t="s">
        <v>754</v>
      </c>
      <c r="E167" s="7" t="s">
        <v>1077</v>
      </c>
      <c r="F167" s="7"/>
      <c r="G167" s="7" t="s">
        <v>125</v>
      </c>
      <c r="H167" s="7" t="s">
        <v>90</v>
      </c>
      <c r="I167">
        <v>2025</v>
      </c>
    </row>
    <row r="168" spans="1:9" x14ac:dyDescent="0.3">
      <c r="A168" s="6" t="s">
        <v>1078</v>
      </c>
      <c r="B168" t="s">
        <v>4699</v>
      </c>
      <c r="C168" s="7" t="s">
        <v>965</v>
      </c>
      <c r="D168" s="7" t="s">
        <v>1080</v>
      </c>
      <c r="E168" s="7" t="s">
        <v>1081</v>
      </c>
      <c r="F168" s="7"/>
      <c r="G168" s="7" t="s">
        <v>125</v>
      </c>
      <c r="H168" s="7" t="s">
        <v>90</v>
      </c>
      <c r="I168">
        <v>2025</v>
      </c>
    </row>
    <row r="169" spans="1:9" x14ac:dyDescent="0.3">
      <c r="A169" s="6" t="s">
        <v>1084</v>
      </c>
      <c r="B169" t="s">
        <v>4700</v>
      </c>
      <c r="C169" s="7" t="s">
        <v>965</v>
      </c>
      <c r="D169" s="7" t="s">
        <v>1086</v>
      </c>
      <c r="E169" s="7" t="s">
        <v>1087</v>
      </c>
      <c r="F169" s="7"/>
      <c r="G169" s="7" t="s">
        <v>125</v>
      </c>
      <c r="H169" s="7" t="s">
        <v>90</v>
      </c>
      <c r="I169">
        <v>2025</v>
      </c>
    </row>
    <row r="170" spans="1:9" x14ac:dyDescent="0.3">
      <c r="A170" s="6" t="s">
        <v>1088</v>
      </c>
      <c r="B170" t="s">
        <v>4701</v>
      </c>
      <c r="C170" s="7" t="s">
        <v>1090</v>
      </c>
      <c r="D170" s="7" t="s">
        <v>1091</v>
      </c>
      <c r="E170" s="7" t="s">
        <v>1092</v>
      </c>
      <c r="F170" s="7"/>
      <c r="G170" s="7" t="s">
        <v>125</v>
      </c>
      <c r="H170" s="7" t="s">
        <v>90</v>
      </c>
      <c r="I170">
        <v>2025</v>
      </c>
    </row>
    <row r="171" spans="1:9" x14ac:dyDescent="0.3">
      <c r="A171" s="6" t="s">
        <v>1093</v>
      </c>
      <c r="B171" t="s">
        <v>4702</v>
      </c>
      <c r="C171" s="7" t="s">
        <v>1095</v>
      </c>
      <c r="D171" s="7" t="s">
        <v>1096</v>
      </c>
      <c r="E171" s="7" t="s">
        <v>1097</v>
      </c>
      <c r="F171" s="7"/>
      <c r="G171" s="7" t="s">
        <v>125</v>
      </c>
      <c r="H171" s="7" t="s">
        <v>90</v>
      </c>
      <c r="I171">
        <v>2025</v>
      </c>
    </row>
    <row r="172" spans="1:9" x14ac:dyDescent="0.3">
      <c r="A172" s="6" t="s">
        <v>1098</v>
      </c>
      <c r="B172" t="s">
        <v>4703</v>
      </c>
      <c r="C172" s="7" t="s">
        <v>1100</v>
      </c>
      <c r="D172" s="7" t="s">
        <v>1096</v>
      </c>
      <c r="E172" s="7" t="s">
        <v>1101</v>
      </c>
      <c r="F172" s="7"/>
      <c r="G172" s="7" t="s">
        <v>125</v>
      </c>
      <c r="H172" s="7" t="s">
        <v>90</v>
      </c>
      <c r="I172">
        <v>2025</v>
      </c>
    </row>
    <row r="173" spans="1:9" x14ac:dyDescent="0.3">
      <c r="A173" s="6" t="s">
        <v>1102</v>
      </c>
      <c r="B173" t="s">
        <v>4704</v>
      </c>
      <c r="C173" s="7" t="s">
        <v>687</v>
      </c>
      <c r="D173" s="7" t="s">
        <v>546</v>
      </c>
      <c r="E173" s="7" t="s">
        <v>1104</v>
      </c>
      <c r="F173" s="7"/>
      <c r="G173" s="7" t="s">
        <v>125</v>
      </c>
      <c r="H173" s="7" t="s">
        <v>90</v>
      </c>
      <c r="I173">
        <v>2025</v>
      </c>
    </row>
    <row r="174" spans="1:9" ht="27.6" x14ac:dyDescent="0.3">
      <c r="A174" s="6" t="s">
        <v>1105</v>
      </c>
      <c r="B174" t="s">
        <v>4705</v>
      </c>
      <c r="C174" s="7" t="s">
        <v>1107</v>
      </c>
      <c r="D174" s="7" t="s">
        <v>1108</v>
      </c>
      <c r="E174" s="7" t="s">
        <v>1109</v>
      </c>
      <c r="F174" s="7"/>
      <c r="G174" s="7" t="s">
        <v>125</v>
      </c>
      <c r="H174" s="7" t="s">
        <v>90</v>
      </c>
      <c r="I174">
        <v>2025</v>
      </c>
    </row>
    <row r="175" spans="1:9" x14ac:dyDescent="0.3">
      <c r="A175" s="6" t="s">
        <v>1111</v>
      </c>
      <c r="B175" t="s">
        <v>4706</v>
      </c>
      <c r="C175" s="7" t="s">
        <v>687</v>
      </c>
      <c r="D175" s="7" t="s">
        <v>1113</v>
      </c>
      <c r="E175" s="7" t="s">
        <v>1114</v>
      </c>
      <c r="F175" s="7"/>
      <c r="G175" s="7" t="s">
        <v>125</v>
      </c>
      <c r="H175" s="7" t="s">
        <v>90</v>
      </c>
      <c r="I175">
        <v>2025</v>
      </c>
    </row>
    <row r="176" spans="1:9" x14ac:dyDescent="0.3">
      <c r="A176" s="6" t="s">
        <v>1115</v>
      </c>
      <c r="B176" t="s">
        <v>4707</v>
      </c>
      <c r="C176" s="7" t="s">
        <v>687</v>
      </c>
      <c r="D176" s="7" t="s">
        <v>231</v>
      </c>
      <c r="E176" s="7" t="s">
        <v>1117</v>
      </c>
      <c r="F176" s="7"/>
      <c r="G176" s="7" t="s">
        <v>125</v>
      </c>
      <c r="H176" s="7" t="s">
        <v>90</v>
      </c>
      <c r="I176">
        <v>2025</v>
      </c>
    </row>
    <row r="177" spans="1:9" x14ac:dyDescent="0.3">
      <c r="A177" s="6" t="s">
        <v>1119</v>
      </c>
      <c r="B177" t="s">
        <v>4708</v>
      </c>
      <c r="C177" s="7" t="s">
        <v>1121</v>
      </c>
      <c r="D177" s="7" t="s">
        <v>1122</v>
      </c>
      <c r="E177" s="7" t="s">
        <v>1123</v>
      </c>
      <c r="F177" s="7"/>
      <c r="G177" s="7" t="s">
        <v>125</v>
      </c>
      <c r="H177" s="7" t="s">
        <v>90</v>
      </c>
      <c r="I177">
        <v>2025</v>
      </c>
    </row>
    <row r="178" spans="1:9" x14ac:dyDescent="0.3">
      <c r="A178" s="6" t="s">
        <v>1125</v>
      </c>
      <c r="B178" t="s">
        <v>4709</v>
      </c>
      <c r="C178" s="7" t="s">
        <v>630</v>
      </c>
      <c r="D178" s="7" t="s">
        <v>1127</v>
      </c>
      <c r="E178" s="7"/>
      <c r="F178" s="7"/>
      <c r="G178" s="7" t="s">
        <v>125</v>
      </c>
      <c r="H178" s="7" t="s">
        <v>90</v>
      </c>
      <c r="I178">
        <v>2025</v>
      </c>
    </row>
    <row r="179" spans="1:9" x14ac:dyDescent="0.3">
      <c r="A179" s="6" t="s">
        <v>1128</v>
      </c>
      <c r="B179" t="s">
        <v>4710</v>
      </c>
      <c r="C179" s="7" t="s">
        <v>1130</v>
      </c>
      <c r="D179" s="7" t="s">
        <v>892</v>
      </c>
      <c r="E179" s="7" t="s">
        <v>1131</v>
      </c>
      <c r="F179" s="7"/>
      <c r="G179" s="7" t="s">
        <v>125</v>
      </c>
      <c r="H179" s="7" t="s">
        <v>90</v>
      </c>
      <c r="I179">
        <v>2025</v>
      </c>
    </row>
    <row r="180" spans="1:9" ht="27.6" x14ac:dyDescent="0.3">
      <c r="A180" s="6" t="s">
        <v>1132</v>
      </c>
      <c r="B180" t="s">
        <v>4711</v>
      </c>
      <c r="C180" s="7" t="s">
        <v>1130</v>
      </c>
      <c r="D180" s="7" t="s">
        <v>1134</v>
      </c>
      <c r="E180" s="7" t="s">
        <v>1135</v>
      </c>
      <c r="F180" s="7"/>
      <c r="G180" s="7" t="s">
        <v>125</v>
      </c>
      <c r="H180" s="7" t="s">
        <v>90</v>
      </c>
      <c r="I180">
        <v>2025</v>
      </c>
    </row>
    <row r="181" spans="1:9" x14ac:dyDescent="0.3">
      <c r="A181" s="6" t="s">
        <v>1137</v>
      </c>
      <c r="B181" t="s">
        <v>4712</v>
      </c>
      <c r="C181" s="7" t="s">
        <v>1063</v>
      </c>
      <c r="D181" s="7" t="s">
        <v>280</v>
      </c>
      <c r="E181" s="7" t="s">
        <v>1139</v>
      </c>
      <c r="F181" s="7"/>
      <c r="G181" s="7" t="s">
        <v>125</v>
      </c>
      <c r="H181" s="7" t="s">
        <v>90</v>
      </c>
      <c r="I181">
        <v>2025</v>
      </c>
    </row>
    <row r="182" spans="1:9" x14ac:dyDescent="0.3">
      <c r="A182" s="6" t="s">
        <v>1141</v>
      </c>
      <c r="B182" t="s">
        <v>4713</v>
      </c>
      <c r="C182" s="7" t="s">
        <v>1143</v>
      </c>
      <c r="D182" s="7" t="s">
        <v>1144</v>
      </c>
      <c r="E182" s="7" t="s">
        <v>1145</v>
      </c>
      <c r="F182" s="7"/>
      <c r="G182" s="7" t="s">
        <v>125</v>
      </c>
      <c r="H182" s="7" t="s">
        <v>90</v>
      </c>
      <c r="I182">
        <v>2025</v>
      </c>
    </row>
    <row r="183" spans="1:9" x14ac:dyDescent="0.3">
      <c r="A183" s="6" t="s">
        <v>1146</v>
      </c>
      <c r="B183" t="s">
        <v>4714</v>
      </c>
      <c r="C183" s="7" t="s">
        <v>1148</v>
      </c>
      <c r="D183" s="7" t="s">
        <v>972</v>
      </c>
      <c r="E183" s="7" t="s">
        <v>1149</v>
      </c>
      <c r="F183" s="7"/>
      <c r="G183" s="7" t="s">
        <v>125</v>
      </c>
      <c r="H183" s="7" t="s">
        <v>90</v>
      </c>
      <c r="I183">
        <v>2025</v>
      </c>
    </row>
    <row r="184" spans="1:9" x14ac:dyDescent="0.3">
      <c r="A184" s="6" t="s">
        <v>1151</v>
      </c>
      <c r="B184" t="s">
        <v>4715</v>
      </c>
      <c r="C184" s="7" t="s">
        <v>1153</v>
      </c>
      <c r="D184" s="7" t="s">
        <v>1154</v>
      </c>
      <c r="E184" s="7" t="s">
        <v>1155</v>
      </c>
      <c r="F184" s="7"/>
      <c r="G184" s="7" t="s">
        <v>125</v>
      </c>
      <c r="H184" s="7" t="s">
        <v>90</v>
      </c>
      <c r="I184">
        <v>2025</v>
      </c>
    </row>
    <row r="185" spans="1:9" x14ac:dyDescent="0.3">
      <c r="A185" s="6" t="s">
        <v>1156</v>
      </c>
      <c r="B185" t="s">
        <v>4716</v>
      </c>
      <c r="C185" s="7" t="s">
        <v>1158</v>
      </c>
      <c r="D185" s="7" t="s">
        <v>1159</v>
      </c>
      <c r="E185" s="7" t="s">
        <v>1160</v>
      </c>
      <c r="F185" s="7"/>
      <c r="G185" s="7" t="s">
        <v>125</v>
      </c>
      <c r="H185" s="7" t="s">
        <v>90</v>
      </c>
      <c r="I185">
        <v>2025</v>
      </c>
    </row>
    <row r="186" spans="1:9" x14ac:dyDescent="0.3">
      <c r="A186" s="6" t="s">
        <v>1161</v>
      </c>
      <c r="B186" t="s">
        <v>4717</v>
      </c>
      <c r="C186" s="7" t="s">
        <v>1163</v>
      </c>
      <c r="D186" s="7" t="s">
        <v>1164</v>
      </c>
      <c r="E186" s="7" t="s">
        <v>1165</v>
      </c>
      <c r="F186" s="7"/>
      <c r="G186" s="7" t="s">
        <v>125</v>
      </c>
      <c r="H186" s="7" t="s">
        <v>90</v>
      </c>
      <c r="I186">
        <v>2025</v>
      </c>
    </row>
    <row r="187" spans="1:9" x14ac:dyDescent="0.3">
      <c r="A187" s="6" t="s">
        <v>1166</v>
      </c>
      <c r="B187" t="s">
        <v>4718</v>
      </c>
      <c r="C187" s="7" t="s">
        <v>1168</v>
      </c>
      <c r="D187" s="7" t="s">
        <v>759</v>
      </c>
      <c r="E187" s="7" t="s">
        <v>1169</v>
      </c>
      <c r="F187" s="7"/>
      <c r="G187" s="7" t="s">
        <v>125</v>
      </c>
      <c r="H187" s="7" t="s">
        <v>90</v>
      </c>
      <c r="I187">
        <v>2025</v>
      </c>
    </row>
    <row r="188" spans="1:9" x14ac:dyDescent="0.3">
      <c r="A188" s="6" t="s">
        <v>1171</v>
      </c>
      <c r="B188" t="s">
        <v>4719</v>
      </c>
      <c r="C188" s="7" t="s">
        <v>697</v>
      </c>
      <c r="D188" s="7" t="s">
        <v>1173</v>
      </c>
      <c r="E188" s="7" t="s">
        <v>1174</v>
      </c>
      <c r="F188" s="7"/>
      <c r="G188" s="7" t="s">
        <v>125</v>
      </c>
      <c r="H188" s="7" t="s">
        <v>90</v>
      </c>
      <c r="I188">
        <v>2025</v>
      </c>
    </row>
    <row r="189" spans="1:9" x14ac:dyDescent="0.3">
      <c r="A189" s="6" t="s">
        <v>1176</v>
      </c>
      <c r="B189" t="s">
        <v>4720</v>
      </c>
      <c r="C189" s="7" t="s">
        <v>697</v>
      </c>
      <c r="D189" s="7" t="s">
        <v>1178</v>
      </c>
      <c r="E189" s="7"/>
      <c r="F189" s="7"/>
      <c r="G189" s="7" t="s">
        <v>125</v>
      </c>
      <c r="H189" s="7" t="s">
        <v>90</v>
      </c>
      <c r="I189">
        <v>2025</v>
      </c>
    </row>
    <row r="190" spans="1:9" x14ac:dyDescent="0.3">
      <c r="A190" s="6" t="s">
        <v>1179</v>
      </c>
      <c r="B190" t="s">
        <v>4721</v>
      </c>
      <c r="C190" s="7" t="s">
        <v>1181</v>
      </c>
      <c r="D190" s="7" t="s">
        <v>1182</v>
      </c>
      <c r="E190" s="7" t="s">
        <v>1183</v>
      </c>
      <c r="F190" s="7"/>
      <c r="G190" s="7" t="s">
        <v>125</v>
      </c>
      <c r="H190" s="7" t="s">
        <v>90</v>
      </c>
      <c r="I190">
        <v>2025</v>
      </c>
    </row>
    <row r="191" spans="1:9" x14ac:dyDescent="0.3">
      <c r="A191" s="6" t="s">
        <v>1184</v>
      </c>
      <c r="B191" t="s">
        <v>4722</v>
      </c>
      <c r="C191" s="7" t="s">
        <v>1186</v>
      </c>
      <c r="D191" s="7" t="s">
        <v>1187</v>
      </c>
      <c r="E191" s="7" t="s">
        <v>1188</v>
      </c>
      <c r="F191" s="7"/>
      <c r="G191" s="7" t="s">
        <v>125</v>
      </c>
      <c r="H191" s="7" t="s">
        <v>90</v>
      </c>
      <c r="I191">
        <v>2025</v>
      </c>
    </row>
    <row r="192" spans="1:9" x14ac:dyDescent="0.3">
      <c r="A192" s="6" t="s">
        <v>1190</v>
      </c>
      <c r="B192" t="s">
        <v>4723</v>
      </c>
      <c r="C192" s="7" t="s">
        <v>1192</v>
      </c>
      <c r="D192" s="7" t="s">
        <v>1193</v>
      </c>
      <c r="E192" s="7" t="s">
        <v>1194</v>
      </c>
      <c r="F192" s="7"/>
      <c r="G192" s="7" t="s">
        <v>125</v>
      </c>
      <c r="H192" s="7" t="s">
        <v>90</v>
      </c>
      <c r="I192">
        <v>2025</v>
      </c>
    </row>
    <row r="193" spans="1:9" x14ac:dyDescent="0.3">
      <c r="A193" s="6" t="s">
        <v>1195</v>
      </c>
      <c r="B193" t="s">
        <v>4724</v>
      </c>
      <c r="C193" s="7" t="s">
        <v>1197</v>
      </c>
      <c r="D193" s="7" t="s">
        <v>998</v>
      </c>
      <c r="E193" s="7" t="s">
        <v>1198</v>
      </c>
      <c r="F193" s="7"/>
      <c r="G193" s="7" t="s">
        <v>125</v>
      </c>
      <c r="H193" s="7" t="s">
        <v>90</v>
      </c>
      <c r="I193">
        <v>2025</v>
      </c>
    </row>
    <row r="194" spans="1:9" x14ac:dyDescent="0.3">
      <c r="A194" s="6" t="s">
        <v>1199</v>
      </c>
      <c r="B194" t="s">
        <v>4725</v>
      </c>
      <c r="C194" s="7" t="s">
        <v>1201</v>
      </c>
      <c r="D194" s="7" t="s">
        <v>1202</v>
      </c>
      <c r="E194" s="7" t="s">
        <v>1203</v>
      </c>
      <c r="F194" s="7"/>
      <c r="G194" s="7" t="s">
        <v>125</v>
      </c>
      <c r="H194" s="7" t="s">
        <v>90</v>
      </c>
      <c r="I194">
        <v>2025</v>
      </c>
    </row>
    <row r="195" spans="1:9" x14ac:dyDescent="0.3">
      <c r="A195" s="6" t="s">
        <v>1204</v>
      </c>
      <c r="B195" t="s">
        <v>4726</v>
      </c>
      <c r="C195" s="7" t="s">
        <v>1206</v>
      </c>
      <c r="D195" s="7" t="s">
        <v>1207</v>
      </c>
      <c r="E195" s="7" t="s">
        <v>1208</v>
      </c>
      <c r="F195" s="7"/>
      <c r="G195" s="7" t="s">
        <v>125</v>
      </c>
      <c r="H195" s="7" t="s">
        <v>90</v>
      </c>
      <c r="I195">
        <v>2025</v>
      </c>
    </row>
    <row r="196" spans="1:9" ht="27.6" x14ac:dyDescent="0.3">
      <c r="A196" s="6" t="s">
        <v>1210</v>
      </c>
      <c r="B196" t="s">
        <v>4727</v>
      </c>
      <c r="C196" s="7" t="s">
        <v>1212</v>
      </c>
      <c r="D196" s="7" t="s">
        <v>1213</v>
      </c>
      <c r="E196" s="7" t="s">
        <v>1214</v>
      </c>
      <c r="F196" s="7"/>
      <c r="G196" s="7" t="s">
        <v>125</v>
      </c>
      <c r="H196" s="7" t="s">
        <v>90</v>
      </c>
      <c r="I196">
        <v>2025</v>
      </c>
    </row>
    <row r="197" spans="1:9" x14ac:dyDescent="0.3">
      <c r="A197" s="6" t="s">
        <v>1215</v>
      </c>
      <c r="B197" t="s">
        <v>4728</v>
      </c>
      <c r="C197" s="7" t="s">
        <v>1217</v>
      </c>
      <c r="D197" s="7" t="s">
        <v>1218</v>
      </c>
      <c r="E197" s="7" t="s">
        <v>1219</v>
      </c>
      <c r="F197" s="7"/>
      <c r="G197" s="7" t="s">
        <v>125</v>
      </c>
      <c r="H197" s="7" t="s">
        <v>90</v>
      </c>
      <c r="I197">
        <v>2025</v>
      </c>
    </row>
    <row r="198" spans="1:9" x14ac:dyDescent="0.3">
      <c r="A198" s="6" t="s">
        <v>1221</v>
      </c>
      <c r="B198" t="s">
        <v>4729</v>
      </c>
      <c r="C198" s="7" t="s">
        <v>1217</v>
      </c>
      <c r="D198" s="7" t="s">
        <v>1223</v>
      </c>
      <c r="E198" s="7" t="s">
        <v>1214</v>
      </c>
      <c r="F198" s="7"/>
      <c r="G198" s="7" t="s">
        <v>125</v>
      </c>
      <c r="H198" s="7" t="s">
        <v>90</v>
      </c>
      <c r="I198">
        <v>2025</v>
      </c>
    </row>
    <row r="199" spans="1:9" x14ac:dyDescent="0.3">
      <c r="A199" s="6" t="s">
        <v>1224</v>
      </c>
      <c r="B199" t="s">
        <v>4730</v>
      </c>
      <c r="C199" s="7" t="s">
        <v>697</v>
      </c>
      <c r="D199" s="7" t="s">
        <v>1226</v>
      </c>
      <c r="E199" s="7" t="s">
        <v>1227</v>
      </c>
      <c r="F199" s="7"/>
      <c r="G199" s="7" t="s">
        <v>125</v>
      </c>
      <c r="H199" s="7" t="s">
        <v>90</v>
      </c>
      <c r="I199">
        <v>2025</v>
      </c>
    </row>
    <row r="200" spans="1:9" x14ac:dyDescent="0.3">
      <c r="A200" s="6" t="s">
        <v>1230</v>
      </c>
      <c r="B200" t="s">
        <v>4731</v>
      </c>
      <c r="C200" s="7" t="s">
        <v>1232</v>
      </c>
      <c r="D200" s="7" t="s">
        <v>1233</v>
      </c>
      <c r="E200" s="7" t="s">
        <v>1234</v>
      </c>
      <c r="F200" s="7"/>
      <c r="G200" s="7" t="s">
        <v>125</v>
      </c>
      <c r="H200" s="7" t="s">
        <v>90</v>
      </c>
      <c r="I200">
        <v>2025</v>
      </c>
    </row>
    <row r="201" spans="1:9" x14ac:dyDescent="0.3">
      <c r="A201" s="6" t="s">
        <v>1235</v>
      </c>
      <c r="B201" t="s">
        <v>4732</v>
      </c>
      <c r="C201" s="7" t="s">
        <v>299</v>
      </c>
      <c r="D201" s="7" t="s">
        <v>1237</v>
      </c>
      <c r="E201" s="7" t="s">
        <v>1238</v>
      </c>
      <c r="F201" s="7"/>
      <c r="G201" s="7" t="s">
        <v>125</v>
      </c>
      <c r="H201" s="7" t="s">
        <v>90</v>
      </c>
      <c r="I201">
        <v>2025</v>
      </c>
    </row>
    <row r="202" spans="1:9" ht="27.6" x14ac:dyDescent="0.3">
      <c r="A202" s="6" t="s">
        <v>1240</v>
      </c>
      <c r="B202" t="s">
        <v>4733</v>
      </c>
      <c r="C202" s="7" t="s">
        <v>1090</v>
      </c>
      <c r="D202" s="7" t="s">
        <v>1242</v>
      </c>
      <c r="E202" s="7" t="s">
        <v>1243</v>
      </c>
      <c r="F202" s="7"/>
      <c r="G202" s="7" t="s">
        <v>125</v>
      </c>
      <c r="H202" s="7" t="s">
        <v>90</v>
      </c>
      <c r="I202">
        <v>2025</v>
      </c>
    </row>
    <row r="203" spans="1:9" ht="41.4" x14ac:dyDescent="0.3">
      <c r="A203" s="6" t="s">
        <v>1244</v>
      </c>
      <c r="B203" t="s">
        <v>4734</v>
      </c>
      <c r="C203" s="7" t="s">
        <v>1246</v>
      </c>
      <c r="D203" s="7" t="s">
        <v>1247</v>
      </c>
      <c r="E203" s="7" t="s">
        <v>1248</v>
      </c>
      <c r="F203" s="7"/>
      <c r="G203" s="7" t="s">
        <v>125</v>
      </c>
      <c r="H203" s="7" t="s">
        <v>90</v>
      </c>
      <c r="I203">
        <v>2025</v>
      </c>
    </row>
    <row r="204" spans="1:9" x14ac:dyDescent="0.3">
      <c r="A204" s="6" t="s">
        <v>1249</v>
      </c>
      <c r="B204" t="s">
        <v>4735</v>
      </c>
      <c r="C204" s="7" t="s">
        <v>1251</v>
      </c>
      <c r="D204" s="7" t="s">
        <v>1252</v>
      </c>
      <c r="E204" s="7" t="s">
        <v>1253</v>
      </c>
      <c r="F204" s="7"/>
      <c r="G204" s="7" t="s">
        <v>125</v>
      </c>
      <c r="H204" s="7" t="s">
        <v>90</v>
      </c>
      <c r="I204">
        <v>2025</v>
      </c>
    </row>
    <row r="205" spans="1:9" ht="27.6" x14ac:dyDescent="0.3">
      <c r="A205" s="6" t="s">
        <v>1254</v>
      </c>
      <c r="B205" t="s">
        <v>4736</v>
      </c>
      <c r="C205" s="7" t="s">
        <v>1256</v>
      </c>
      <c r="D205" s="7" t="s">
        <v>1257</v>
      </c>
      <c r="E205" s="7" t="s">
        <v>1258</v>
      </c>
      <c r="F205" s="7"/>
      <c r="G205" s="7" t="s">
        <v>125</v>
      </c>
      <c r="H205" s="7" t="s">
        <v>90</v>
      </c>
      <c r="I205">
        <v>2025</v>
      </c>
    </row>
    <row r="206" spans="1:9" x14ac:dyDescent="0.3">
      <c r="A206" s="6" t="s">
        <v>1259</v>
      </c>
      <c r="B206" t="s">
        <v>4737</v>
      </c>
      <c r="C206" s="7"/>
      <c r="D206" s="7"/>
      <c r="E206" s="7"/>
      <c r="F206" s="7"/>
      <c r="G206" s="7" t="s">
        <v>125</v>
      </c>
      <c r="H206" s="7" t="s">
        <v>90</v>
      </c>
      <c r="I206">
        <v>2025</v>
      </c>
    </row>
    <row r="207" spans="1:9" x14ac:dyDescent="0.3">
      <c r="A207" s="6" t="s">
        <v>1261</v>
      </c>
      <c r="B207" t="s">
        <v>4738</v>
      </c>
      <c r="C207" s="7" t="s">
        <v>1263</v>
      </c>
      <c r="D207" s="7" t="s">
        <v>1264</v>
      </c>
      <c r="E207" s="7" t="s">
        <v>1265</v>
      </c>
      <c r="F207" s="7"/>
      <c r="G207" s="7" t="s">
        <v>125</v>
      </c>
      <c r="H207" s="7" t="s">
        <v>90</v>
      </c>
      <c r="I207">
        <v>2025</v>
      </c>
    </row>
    <row r="208" spans="1:9" x14ac:dyDescent="0.3">
      <c r="A208" s="6" t="s">
        <v>1266</v>
      </c>
      <c r="B208" t="s">
        <v>4739</v>
      </c>
      <c r="C208" s="7" t="s">
        <v>1268</v>
      </c>
      <c r="D208" s="7" t="s">
        <v>1269</v>
      </c>
      <c r="E208" s="7" t="s">
        <v>1270</v>
      </c>
      <c r="F208" s="7"/>
      <c r="G208" s="7" t="s">
        <v>125</v>
      </c>
      <c r="H208" s="7" t="s">
        <v>90</v>
      </c>
      <c r="I208">
        <v>2025</v>
      </c>
    </row>
    <row r="209" spans="1:9" x14ac:dyDescent="0.3">
      <c r="A209" s="6" t="s">
        <v>1271</v>
      </c>
      <c r="B209" t="s">
        <v>4740</v>
      </c>
      <c r="C209" s="7" t="s">
        <v>1273</v>
      </c>
      <c r="D209" s="7" t="s">
        <v>1274</v>
      </c>
      <c r="E209" s="7" t="s">
        <v>1275</v>
      </c>
      <c r="F209" s="7"/>
      <c r="G209" s="7" t="s">
        <v>125</v>
      </c>
      <c r="H209" s="7" t="s">
        <v>90</v>
      </c>
      <c r="I209">
        <v>2025</v>
      </c>
    </row>
    <row r="210" spans="1:9" x14ac:dyDescent="0.3">
      <c r="A210" s="6" t="s">
        <v>1277</v>
      </c>
      <c r="B210" t="s">
        <v>4741</v>
      </c>
      <c r="C210" s="7" t="s">
        <v>1279</v>
      </c>
      <c r="D210" s="7" t="s">
        <v>1280</v>
      </c>
      <c r="E210" s="7" t="s">
        <v>1281</v>
      </c>
      <c r="F210" s="7"/>
      <c r="G210" s="7" t="s">
        <v>125</v>
      </c>
      <c r="H210" s="7" t="s">
        <v>90</v>
      </c>
      <c r="I210">
        <v>2025</v>
      </c>
    </row>
    <row r="211" spans="1:9" x14ac:dyDescent="0.3">
      <c r="A211" s="6" t="s">
        <v>1283</v>
      </c>
      <c r="B211" t="s">
        <v>4742</v>
      </c>
      <c r="C211" s="7" t="s">
        <v>1285</v>
      </c>
      <c r="D211" s="7" t="s">
        <v>1286</v>
      </c>
      <c r="E211" s="7" t="s">
        <v>1287</v>
      </c>
      <c r="F211" s="7"/>
      <c r="G211" s="7" t="s">
        <v>125</v>
      </c>
      <c r="H211" s="7" t="s">
        <v>90</v>
      </c>
      <c r="I211">
        <v>2025</v>
      </c>
    </row>
    <row r="212" spans="1:9" x14ac:dyDescent="0.3">
      <c r="A212" s="6" t="s">
        <v>1289</v>
      </c>
      <c r="B212" t="s">
        <v>4756</v>
      </c>
      <c r="C212" s="7" t="s">
        <v>1292</v>
      </c>
      <c r="D212" s="7" t="s">
        <v>892</v>
      </c>
      <c r="E212" s="7" t="s">
        <v>1293</v>
      </c>
      <c r="F212" s="7"/>
      <c r="G212" s="7" t="s">
        <v>125</v>
      </c>
      <c r="H212" s="7" t="s">
        <v>90</v>
      </c>
      <c r="I212">
        <v>2025</v>
      </c>
    </row>
    <row r="213" spans="1:9" x14ac:dyDescent="0.3">
      <c r="A213" s="6" t="s">
        <v>1294</v>
      </c>
      <c r="B213" t="s">
        <v>4757</v>
      </c>
      <c r="C213" s="7" t="s">
        <v>1296</v>
      </c>
      <c r="D213" s="7" t="s">
        <v>1297</v>
      </c>
      <c r="E213" s="7" t="s">
        <v>1298</v>
      </c>
      <c r="F213" s="7"/>
      <c r="G213" s="7" t="s">
        <v>125</v>
      </c>
      <c r="H213" s="7" t="s">
        <v>90</v>
      </c>
      <c r="I213">
        <v>2025</v>
      </c>
    </row>
    <row r="214" spans="1:9" x14ac:dyDescent="0.3">
      <c r="A214" s="6" t="s">
        <v>1300</v>
      </c>
      <c r="B214" t="s">
        <v>4758</v>
      </c>
      <c r="C214" s="7" t="s">
        <v>1302</v>
      </c>
      <c r="D214" s="7" t="s">
        <v>1303</v>
      </c>
      <c r="E214" s="7" t="s">
        <v>1304</v>
      </c>
      <c r="F214" s="7"/>
      <c r="G214" s="7" t="s">
        <v>125</v>
      </c>
      <c r="H214" s="7" t="s">
        <v>90</v>
      </c>
      <c r="I214">
        <v>2025</v>
      </c>
    </row>
    <row r="215" spans="1:9" x14ac:dyDescent="0.3">
      <c r="A215" s="6" t="s">
        <v>1305</v>
      </c>
      <c r="B215" t="s">
        <v>4759</v>
      </c>
      <c r="C215" s="7" t="s">
        <v>1307</v>
      </c>
      <c r="D215" s="7" t="s">
        <v>424</v>
      </c>
      <c r="E215" s="7" t="s">
        <v>1308</v>
      </c>
      <c r="F215" s="7"/>
      <c r="G215" s="7" t="s">
        <v>125</v>
      </c>
      <c r="H215" s="7" t="s">
        <v>90</v>
      </c>
      <c r="I215">
        <v>2025</v>
      </c>
    </row>
    <row r="216" spans="1:9" x14ac:dyDescent="0.3">
      <c r="A216" s="6" t="s">
        <v>1309</v>
      </c>
      <c r="B216" t="s">
        <v>4760</v>
      </c>
      <c r="C216" s="7" t="s">
        <v>1307</v>
      </c>
      <c r="D216" s="7" t="s">
        <v>1311</v>
      </c>
      <c r="E216" s="7" t="s">
        <v>1149</v>
      </c>
      <c r="F216" s="7"/>
      <c r="G216" s="7" t="s">
        <v>125</v>
      </c>
      <c r="H216" s="7" t="s">
        <v>90</v>
      </c>
      <c r="I216">
        <v>2025</v>
      </c>
    </row>
    <row r="217" spans="1:9" x14ac:dyDescent="0.3">
      <c r="A217" s="6" t="s">
        <v>1312</v>
      </c>
      <c r="B217" t="s">
        <v>4761</v>
      </c>
      <c r="C217" s="7" t="s">
        <v>1314</v>
      </c>
      <c r="D217" s="7" t="s">
        <v>1315</v>
      </c>
      <c r="E217" s="7" t="s">
        <v>1316</v>
      </c>
      <c r="F217" s="7"/>
      <c r="G217" s="7" t="s">
        <v>125</v>
      </c>
      <c r="H217" s="7" t="s">
        <v>90</v>
      </c>
      <c r="I217">
        <v>2025</v>
      </c>
    </row>
    <row r="218" spans="1:9" x14ac:dyDescent="0.3">
      <c r="A218" s="6" t="s">
        <v>1317</v>
      </c>
      <c r="B218" t="s">
        <v>4762</v>
      </c>
      <c r="C218" s="7" t="s">
        <v>1319</v>
      </c>
      <c r="D218" s="7" t="s">
        <v>1320</v>
      </c>
      <c r="E218" s="7" t="s">
        <v>1321</v>
      </c>
      <c r="F218" s="7"/>
      <c r="G218" s="7" t="s">
        <v>125</v>
      </c>
      <c r="H218" s="7" t="s">
        <v>90</v>
      </c>
      <c r="I218">
        <v>2025</v>
      </c>
    </row>
    <row r="219" spans="1:9" x14ac:dyDescent="0.3">
      <c r="A219" s="6" t="s">
        <v>1322</v>
      </c>
      <c r="B219" t="s">
        <v>4763</v>
      </c>
      <c r="C219" s="7" t="s">
        <v>1324</v>
      </c>
      <c r="D219" s="7"/>
      <c r="E219" s="7" t="s">
        <v>1325</v>
      </c>
      <c r="F219" s="7"/>
      <c r="G219" s="7" t="s">
        <v>125</v>
      </c>
      <c r="H219" s="7" t="s">
        <v>90</v>
      </c>
      <c r="I219">
        <v>2025</v>
      </c>
    </row>
    <row r="220" spans="1:9" x14ac:dyDescent="0.3">
      <c r="A220" s="6" t="s">
        <v>1327</v>
      </c>
      <c r="B220" t="s">
        <v>4764</v>
      </c>
      <c r="C220" s="7" t="s">
        <v>1329</v>
      </c>
      <c r="D220" s="7" t="s">
        <v>1330</v>
      </c>
      <c r="E220" s="7" t="s">
        <v>1331</v>
      </c>
      <c r="F220" s="7"/>
      <c r="G220" s="7" t="s">
        <v>125</v>
      </c>
      <c r="H220" s="7" t="s">
        <v>90</v>
      </c>
      <c r="I220">
        <v>2025</v>
      </c>
    </row>
    <row r="221" spans="1:9" x14ac:dyDescent="0.3">
      <c r="A221" s="6" t="s">
        <v>1332</v>
      </c>
      <c r="B221" t="s">
        <v>4765</v>
      </c>
      <c r="C221" s="7" t="s">
        <v>1334</v>
      </c>
      <c r="D221" s="7" t="s">
        <v>1037</v>
      </c>
      <c r="E221" s="7" t="s">
        <v>1335</v>
      </c>
      <c r="F221" s="7"/>
      <c r="G221" s="7" t="s">
        <v>125</v>
      </c>
      <c r="H221" s="7" t="s">
        <v>90</v>
      </c>
      <c r="I221">
        <v>2025</v>
      </c>
    </row>
    <row r="222" spans="1:9" x14ac:dyDescent="0.3">
      <c r="A222" s="6" t="s">
        <v>1336</v>
      </c>
      <c r="B222" t="s">
        <v>4766</v>
      </c>
      <c r="C222" s="7" t="s">
        <v>687</v>
      </c>
      <c r="D222" s="7" t="s">
        <v>1338</v>
      </c>
      <c r="E222" s="7" t="s">
        <v>1339</v>
      </c>
      <c r="F222" s="7"/>
      <c r="G222" s="7" t="s">
        <v>125</v>
      </c>
      <c r="H222" s="7" t="s">
        <v>90</v>
      </c>
      <c r="I222">
        <v>2025</v>
      </c>
    </row>
    <row r="223" spans="1:9" x14ac:dyDescent="0.3">
      <c r="A223" s="6" t="s">
        <v>1341</v>
      </c>
      <c r="B223" t="s">
        <v>4767</v>
      </c>
      <c r="C223" s="7" t="s">
        <v>697</v>
      </c>
      <c r="D223" s="7" t="s">
        <v>1343</v>
      </c>
      <c r="E223" s="7" t="s">
        <v>1344</v>
      </c>
      <c r="F223" s="7"/>
      <c r="G223" s="7" t="s">
        <v>125</v>
      </c>
      <c r="H223" s="7" t="s">
        <v>90</v>
      </c>
      <c r="I223">
        <v>2025</v>
      </c>
    </row>
    <row r="224" spans="1:9" ht="27.6" x14ac:dyDescent="0.3">
      <c r="A224" s="6" t="s">
        <v>1345</v>
      </c>
      <c r="B224" t="s">
        <v>4768</v>
      </c>
      <c r="C224" s="7" t="s">
        <v>1347</v>
      </c>
      <c r="D224" s="7" t="s">
        <v>1348</v>
      </c>
      <c r="E224" s="7" t="s">
        <v>1349</v>
      </c>
      <c r="F224" s="7"/>
      <c r="G224" s="7" t="s">
        <v>125</v>
      </c>
      <c r="H224" s="7" t="s">
        <v>90</v>
      </c>
      <c r="I224">
        <v>2025</v>
      </c>
    </row>
    <row r="225" spans="1:9" x14ac:dyDescent="0.3">
      <c r="A225" s="6" t="s">
        <v>1350</v>
      </c>
      <c r="B225" t="s">
        <v>4769</v>
      </c>
      <c r="C225" s="7" t="s">
        <v>1347</v>
      </c>
      <c r="D225" s="7" t="s">
        <v>1352</v>
      </c>
      <c r="E225" s="7" t="s">
        <v>1353</v>
      </c>
      <c r="F225" s="7"/>
      <c r="G225" s="7" t="s">
        <v>125</v>
      </c>
      <c r="H225" s="7" t="s">
        <v>90</v>
      </c>
      <c r="I225">
        <v>2025</v>
      </c>
    </row>
    <row r="226" spans="1:9" x14ac:dyDescent="0.3">
      <c r="A226" s="6" t="s">
        <v>1354</v>
      </c>
      <c r="B226" t="s">
        <v>4770</v>
      </c>
      <c r="C226" s="7" t="s">
        <v>1356</v>
      </c>
      <c r="D226" s="7" t="s">
        <v>1357</v>
      </c>
      <c r="E226" s="7"/>
      <c r="F226" s="7"/>
      <c r="G226" s="7" t="s">
        <v>125</v>
      </c>
      <c r="H226" s="7" t="s">
        <v>90</v>
      </c>
      <c r="I226">
        <v>2025</v>
      </c>
    </row>
    <row r="227" spans="1:9" x14ac:dyDescent="0.3">
      <c r="A227" s="6" t="s">
        <v>1358</v>
      </c>
      <c r="B227" t="s">
        <v>4771</v>
      </c>
      <c r="C227" s="7" t="s">
        <v>1360</v>
      </c>
      <c r="D227" s="7" t="s">
        <v>1361</v>
      </c>
      <c r="E227" s="7" t="s">
        <v>1362</v>
      </c>
      <c r="F227" s="7"/>
      <c r="G227" s="7" t="s">
        <v>125</v>
      </c>
      <c r="H227" s="7" t="s">
        <v>90</v>
      </c>
      <c r="I227">
        <v>2025</v>
      </c>
    </row>
    <row r="228" spans="1:9" x14ac:dyDescent="0.3">
      <c r="A228" s="6" t="s">
        <v>1365</v>
      </c>
      <c r="B228" t="s">
        <v>4772</v>
      </c>
      <c r="C228" s="7" t="s">
        <v>1367</v>
      </c>
      <c r="D228" s="7" t="s">
        <v>738</v>
      </c>
      <c r="E228" s="7" t="s">
        <v>1368</v>
      </c>
      <c r="F228" s="7"/>
      <c r="G228" s="7" t="s">
        <v>125</v>
      </c>
      <c r="H228" s="7" t="s">
        <v>90</v>
      </c>
      <c r="I228">
        <v>2025</v>
      </c>
    </row>
    <row r="229" spans="1:9" x14ac:dyDescent="0.3">
      <c r="A229" s="6" t="s">
        <v>1369</v>
      </c>
      <c r="B229" t="s">
        <v>4773</v>
      </c>
      <c r="C229" s="7" t="s">
        <v>625</v>
      </c>
      <c r="D229" s="7" t="s">
        <v>1371</v>
      </c>
      <c r="E229" s="7"/>
      <c r="F229" s="7"/>
      <c r="G229" s="7" t="s">
        <v>125</v>
      </c>
      <c r="H229" s="7" t="s">
        <v>90</v>
      </c>
      <c r="I229">
        <v>2025</v>
      </c>
    </row>
    <row r="230" spans="1:9" x14ac:dyDescent="0.3">
      <c r="A230" s="6" t="s">
        <v>1372</v>
      </c>
      <c r="B230" t="s">
        <v>4774</v>
      </c>
      <c r="C230" s="7" t="s">
        <v>1374</v>
      </c>
      <c r="D230" s="7" t="s">
        <v>1375</v>
      </c>
      <c r="E230" s="7" t="s">
        <v>1376</v>
      </c>
      <c r="F230" s="7"/>
      <c r="G230" s="7" t="s">
        <v>125</v>
      </c>
      <c r="H230" s="7" t="s">
        <v>90</v>
      </c>
      <c r="I230">
        <v>2025</v>
      </c>
    </row>
    <row r="231" spans="1:9" x14ac:dyDescent="0.3">
      <c r="A231" s="6" t="s">
        <v>1377</v>
      </c>
      <c r="B231" t="s">
        <v>4775</v>
      </c>
      <c r="C231" s="7" t="s">
        <v>428</v>
      </c>
      <c r="D231" s="7" t="s">
        <v>1379</v>
      </c>
      <c r="E231" s="7" t="s">
        <v>1380</v>
      </c>
      <c r="F231" s="7"/>
      <c r="G231" s="7" t="s">
        <v>125</v>
      </c>
      <c r="H231" s="7" t="s">
        <v>90</v>
      </c>
      <c r="I231">
        <v>2025</v>
      </c>
    </row>
    <row r="232" spans="1:9" x14ac:dyDescent="0.3">
      <c r="A232" s="6" t="s">
        <v>1381</v>
      </c>
      <c r="B232" t="s">
        <v>4776</v>
      </c>
      <c r="C232" s="7" t="s">
        <v>1383</v>
      </c>
      <c r="D232" s="7" t="s">
        <v>1384</v>
      </c>
      <c r="E232" s="7" t="s">
        <v>1385</v>
      </c>
      <c r="F232" s="7"/>
      <c r="G232" s="7" t="s">
        <v>125</v>
      </c>
      <c r="H232" s="7" t="s">
        <v>90</v>
      </c>
      <c r="I232">
        <v>2025</v>
      </c>
    </row>
    <row r="233" spans="1:9" ht="27.6" x14ac:dyDescent="0.3">
      <c r="A233" s="6" t="s">
        <v>1386</v>
      </c>
      <c r="B233" t="s">
        <v>4777</v>
      </c>
      <c r="C233" s="7" t="s">
        <v>1383</v>
      </c>
      <c r="D233" s="7" t="s">
        <v>1388</v>
      </c>
      <c r="E233" s="7" t="s">
        <v>1389</v>
      </c>
      <c r="F233" s="7"/>
      <c r="G233" s="7" t="s">
        <v>125</v>
      </c>
      <c r="H233" s="7" t="s">
        <v>90</v>
      </c>
      <c r="I233">
        <v>2025</v>
      </c>
    </row>
    <row r="234" spans="1:9" x14ac:dyDescent="0.3">
      <c r="A234" s="6" t="s">
        <v>1390</v>
      </c>
      <c r="B234" t="s">
        <v>4778</v>
      </c>
      <c r="C234" s="7" t="s">
        <v>299</v>
      </c>
      <c r="D234" s="7" t="s">
        <v>1392</v>
      </c>
      <c r="E234" s="7" t="s">
        <v>1393</v>
      </c>
      <c r="F234" s="7"/>
      <c r="G234" s="7" t="s">
        <v>125</v>
      </c>
      <c r="H234" s="7" t="s">
        <v>90</v>
      </c>
      <c r="I234">
        <v>2025</v>
      </c>
    </row>
    <row r="235" spans="1:9" x14ac:dyDescent="0.3">
      <c r="A235" s="6" t="s">
        <v>1394</v>
      </c>
      <c r="B235" t="s">
        <v>4779</v>
      </c>
      <c r="C235" s="7" t="s">
        <v>1396</v>
      </c>
      <c r="D235" s="7" t="s">
        <v>259</v>
      </c>
      <c r="E235" s="7" t="s">
        <v>1397</v>
      </c>
      <c r="F235" s="7"/>
      <c r="G235" s="7" t="s">
        <v>125</v>
      </c>
      <c r="H235" s="7" t="s">
        <v>90</v>
      </c>
      <c r="I235">
        <v>2025</v>
      </c>
    </row>
    <row r="236" spans="1:9" ht="27.6" x14ac:dyDescent="0.3">
      <c r="A236" s="6" t="s">
        <v>1398</v>
      </c>
      <c r="B236" t="s">
        <v>4780</v>
      </c>
      <c r="C236" s="7" t="s">
        <v>1400</v>
      </c>
      <c r="D236" s="7" t="s">
        <v>1401</v>
      </c>
      <c r="E236" s="7" t="s">
        <v>1402</v>
      </c>
      <c r="F236" s="7"/>
      <c r="G236" s="7" t="s">
        <v>125</v>
      </c>
      <c r="H236" s="7" t="s">
        <v>90</v>
      </c>
      <c r="I236">
        <v>2025</v>
      </c>
    </row>
    <row r="237" spans="1:9" x14ac:dyDescent="0.3">
      <c r="A237" s="6" t="s">
        <v>1404</v>
      </c>
      <c r="B237" t="s">
        <v>4781</v>
      </c>
      <c r="C237" s="7" t="s">
        <v>1406</v>
      </c>
      <c r="D237" s="7" t="s">
        <v>1407</v>
      </c>
      <c r="E237" s="7" t="s">
        <v>1408</v>
      </c>
      <c r="F237" s="7"/>
      <c r="G237" s="7" t="s">
        <v>125</v>
      </c>
      <c r="H237" s="7" t="s">
        <v>90</v>
      </c>
      <c r="I237">
        <v>2025</v>
      </c>
    </row>
    <row r="238" spans="1:9" x14ac:dyDescent="0.3">
      <c r="A238" s="6" t="s">
        <v>1410</v>
      </c>
      <c r="B238" t="s">
        <v>4782</v>
      </c>
      <c r="C238" s="7" t="s">
        <v>1412</v>
      </c>
      <c r="D238" s="7" t="s">
        <v>1413</v>
      </c>
      <c r="E238" s="7" t="s">
        <v>1414</v>
      </c>
      <c r="F238" s="7"/>
      <c r="G238" s="7" t="s">
        <v>125</v>
      </c>
      <c r="H238" s="7" t="s">
        <v>90</v>
      </c>
      <c r="I238">
        <v>2025</v>
      </c>
    </row>
    <row r="239" spans="1:9" x14ac:dyDescent="0.3">
      <c r="A239" s="6" t="s">
        <v>1415</v>
      </c>
      <c r="B239" t="s">
        <v>4783</v>
      </c>
      <c r="C239" s="7" t="s">
        <v>1417</v>
      </c>
      <c r="D239" s="7" t="s">
        <v>1384</v>
      </c>
      <c r="E239" s="7" t="s">
        <v>1418</v>
      </c>
      <c r="F239" s="7"/>
      <c r="G239" s="7" t="s">
        <v>125</v>
      </c>
      <c r="H239" s="7" t="s">
        <v>90</v>
      </c>
      <c r="I239">
        <v>2025</v>
      </c>
    </row>
    <row r="240" spans="1:9" x14ac:dyDescent="0.3">
      <c r="A240" s="6" t="s">
        <v>1419</v>
      </c>
      <c r="B240" t="s">
        <v>4784</v>
      </c>
      <c r="C240" s="7" t="s">
        <v>1421</v>
      </c>
      <c r="D240" s="7" t="s">
        <v>881</v>
      </c>
      <c r="E240" s="7" t="s">
        <v>1422</v>
      </c>
      <c r="F240" s="7"/>
      <c r="G240" s="7" t="s">
        <v>125</v>
      </c>
      <c r="H240" s="7" t="s">
        <v>90</v>
      </c>
      <c r="I240">
        <v>2025</v>
      </c>
    </row>
    <row r="241" spans="1:9" x14ac:dyDescent="0.3">
      <c r="A241" s="6" t="s">
        <v>1423</v>
      </c>
      <c r="B241" t="s">
        <v>4785</v>
      </c>
      <c r="C241" s="7" t="s">
        <v>1421</v>
      </c>
      <c r="D241" s="7" t="s">
        <v>1425</v>
      </c>
      <c r="E241" s="7" t="s">
        <v>1426</v>
      </c>
      <c r="F241" s="7"/>
      <c r="G241" s="7" t="s">
        <v>125</v>
      </c>
      <c r="H241" s="7" t="s">
        <v>90</v>
      </c>
      <c r="I241">
        <v>2025</v>
      </c>
    </row>
    <row r="242" spans="1:9" x14ac:dyDescent="0.3">
      <c r="A242" s="6" t="s">
        <v>1427</v>
      </c>
      <c r="B242" t="s">
        <v>4786</v>
      </c>
      <c r="C242" s="7" t="s">
        <v>311</v>
      </c>
      <c r="D242" s="7" t="s">
        <v>611</v>
      </c>
      <c r="E242" s="7" t="s">
        <v>1429</v>
      </c>
      <c r="F242" s="7"/>
      <c r="G242" s="7" t="s">
        <v>125</v>
      </c>
      <c r="H242" s="7" t="s">
        <v>90</v>
      </c>
      <c r="I242">
        <v>2025</v>
      </c>
    </row>
    <row r="243" spans="1:9" x14ac:dyDescent="0.3">
      <c r="A243" s="6" t="s">
        <v>1430</v>
      </c>
      <c r="B243" t="s">
        <v>4787</v>
      </c>
      <c r="C243" s="7" t="s">
        <v>1432</v>
      </c>
      <c r="D243" s="7" t="s">
        <v>1433</v>
      </c>
      <c r="E243" s="7" t="s">
        <v>1434</v>
      </c>
      <c r="F243" s="7"/>
      <c r="G243" s="7" t="s">
        <v>125</v>
      </c>
      <c r="H243" s="7" t="s">
        <v>90</v>
      </c>
      <c r="I243">
        <v>2025</v>
      </c>
    </row>
    <row r="244" spans="1:9" x14ac:dyDescent="0.3">
      <c r="A244" s="6" t="s">
        <v>1436</v>
      </c>
      <c r="B244" t="s">
        <v>4788</v>
      </c>
      <c r="C244" s="7" t="s">
        <v>1438</v>
      </c>
      <c r="D244" s="7" t="s">
        <v>1439</v>
      </c>
      <c r="E244" s="7" t="s">
        <v>1440</v>
      </c>
      <c r="F244" s="7"/>
      <c r="G244" s="7" t="s">
        <v>125</v>
      </c>
      <c r="H244" s="7" t="s">
        <v>90</v>
      </c>
      <c r="I244">
        <v>2025</v>
      </c>
    </row>
    <row r="245" spans="1:9" ht="27.6" x14ac:dyDescent="0.3">
      <c r="A245" s="6" t="s">
        <v>1441</v>
      </c>
      <c r="B245" t="s">
        <v>4789</v>
      </c>
      <c r="C245" s="7" t="s">
        <v>1356</v>
      </c>
      <c r="D245" s="7" t="s">
        <v>1443</v>
      </c>
      <c r="E245" s="7" t="s">
        <v>1444</v>
      </c>
      <c r="F245" s="7"/>
      <c r="G245" s="7" t="s">
        <v>125</v>
      </c>
      <c r="H245" s="7" t="s">
        <v>90</v>
      </c>
      <c r="I245">
        <v>2025</v>
      </c>
    </row>
    <row r="246" spans="1:9" x14ac:dyDescent="0.3">
      <c r="A246" s="6" t="s">
        <v>1445</v>
      </c>
      <c r="B246" t="s">
        <v>4790</v>
      </c>
      <c r="C246" s="7" t="s">
        <v>1447</v>
      </c>
      <c r="D246" s="7" t="s">
        <v>1448</v>
      </c>
      <c r="E246" s="7" t="s">
        <v>1449</v>
      </c>
      <c r="F246" s="7"/>
      <c r="G246" s="7" t="s">
        <v>125</v>
      </c>
      <c r="H246" s="7" t="s">
        <v>90</v>
      </c>
      <c r="I246">
        <v>2025</v>
      </c>
    </row>
    <row r="247" spans="1:9" ht="27.6" x14ac:dyDescent="0.3">
      <c r="A247" s="6" t="s">
        <v>1450</v>
      </c>
      <c r="B247" t="s">
        <v>4791</v>
      </c>
      <c r="C247" s="7" t="s">
        <v>1452</v>
      </c>
      <c r="D247" s="7" t="s">
        <v>808</v>
      </c>
      <c r="E247" s="7" t="s">
        <v>1453</v>
      </c>
      <c r="F247" s="7"/>
      <c r="G247" s="7" t="s">
        <v>125</v>
      </c>
      <c r="H247" s="7" t="s">
        <v>90</v>
      </c>
      <c r="I247">
        <v>2025</v>
      </c>
    </row>
    <row r="248" spans="1:9" x14ac:dyDescent="0.3">
      <c r="A248" s="6" t="s">
        <v>1454</v>
      </c>
      <c r="B248" t="s">
        <v>4792</v>
      </c>
      <c r="C248" s="7" t="s">
        <v>1456</v>
      </c>
      <c r="D248" s="7" t="s">
        <v>1457</v>
      </c>
      <c r="E248" s="7" t="s">
        <v>1458</v>
      </c>
      <c r="F248" s="7"/>
      <c r="G248" s="7" t="s">
        <v>125</v>
      </c>
      <c r="H248" s="7" t="s">
        <v>90</v>
      </c>
      <c r="I248">
        <v>2025</v>
      </c>
    </row>
    <row r="249" spans="1:9" x14ac:dyDescent="0.3">
      <c r="A249" s="6" t="s">
        <v>1459</v>
      </c>
      <c r="B249" t="s">
        <v>4793</v>
      </c>
      <c r="C249" s="7" t="s">
        <v>1461</v>
      </c>
      <c r="D249" s="7" t="s">
        <v>1462</v>
      </c>
      <c r="E249" s="7" t="s">
        <v>1463</v>
      </c>
      <c r="F249" s="7"/>
      <c r="G249" s="7" t="s">
        <v>125</v>
      </c>
      <c r="H249" s="7" t="s">
        <v>90</v>
      </c>
      <c r="I249">
        <v>2025</v>
      </c>
    </row>
    <row r="250" spans="1:9" x14ac:dyDescent="0.3">
      <c r="A250" s="6" t="s">
        <v>1464</v>
      </c>
      <c r="B250" t="s">
        <v>4794</v>
      </c>
      <c r="C250" s="7" t="s">
        <v>272</v>
      </c>
      <c r="D250" s="7" t="s">
        <v>1466</v>
      </c>
      <c r="E250" s="7" t="s">
        <v>1467</v>
      </c>
      <c r="F250" s="7"/>
      <c r="G250" s="7" t="s">
        <v>125</v>
      </c>
      <c r="H250" s="7" t="s">
        <v>90</v>
      </c>
      <c r="I250">
        <v>2025</v>
      </c>
    </row>
    <row r="251" spans="1:9" x14ac:dyDescent="0.3">
      <c r="A251" s="6" t="s">
        <v>1469</v>
      </c>
      <c r="B251" t="s">
        <v>4795</v>
      </c>
      <c r="C251" s="7" t="s">
        <v>1432</v>
      </c>
      <c r="D251" s="7" t="s">
        <v>1471</v>
      </c>
      <c r="E251" s="7" t="s">
        <v>1434</v>
      </c>
      <c r="F251" s="7"/>
      <c r="G251" s="7" t="s">
        <v>125</v>
      </c>
      <c r="H251" s="7" t="s">
        <v>90</v>
      </c>
      <c r="I251">
        <v>2025</v>
      </c>
    </row>
    <row r="252" spans="1:9" x14ac:dyDescent="0.3">
      <c r="A252" s="6" t="s">
        <v>1473</v>
      </c>
      <c r="B252" t="s">
        <v>4796</v>
      </c>
      <c r="C252" s="7" t="s">
        <v>1476</v>
      </c>
      <c r="D252" s="7" t="s">
        <v>1477</v>
      </c>
      <c r="E252" s="7" t="s">
        <v>1478</v>
      </c>
      <c r="F252" s="7"/>
      <c r="G252" s="7" t="s">
        <v>125</v>
      </c>
      <c r="H252" s="7" t="s">
        <v>90</v>
      </c>
      <c r="I252">
        <v>2025</v>
      </c>
    </row>
    <row r="253" spans="1:9" x14ac:dyDescent="0.3">
      <c r="A253" s="6" t="s">
        <v>1481</v>
      </c>
      <c r="B253" t="s">
        <v>4797</v>
      </c>
      <c r="C253" s="7" t="s">
        <v>1483</v>
      </c>
      <c r="D253" s="7" t="s">
        <v>1484</v>
      </c>
      <c r="E253" s="7" t="s">
        <v>1485</v>
      </c>
      <c r="F253" s="7"/>
      <c r="G253" s="7" t="s">
        <v>125</v>
      </c>
      <c r="H253" s="7" t="s">
        <v>90</v>
      </c>
      <c r="I253">
        <v>2025</v>
      </c>
    </row>
    <row r="254" spans="1:9" x14ac:dyDescent="0.3">
      <c r="A254" s="6" t="s">
        <v>1486</v>
      </c>
      <c r="B254" t="s">
        <v>4798</v>
      </c>
      <c r="C254" s="7" t="s">
        <v>965</v>
      </c>
      <c r="D254" s="7" t="s">
        <v>1488</v>
      </c>
      <c r="E254" s="7" t="s">
        <v>1489</v>
      </c>
      <c r="F254" s="7"/>
      <c r="G254" s="7" t="s">
        <v>125</v>
      </c>
      <c r="H254" s="7" t="s">
        <v>90</v>
      </c>
      <c r="I254">
        <v>2025</v>
      </c>
    </row>
    <row r="255" spans="1:9" x14ac:dyDescent="0.3">
      <c r="A255" s="6" t="s">
        <v>1490</v>
      </c>
      <c r="B255" t="s">
        <v>4799</v>
      </c>
      <c r="C255" s="7" t="s">
        <v>1314</v>
      </c>
      <c r="D255" s="7" t="s">
        <v>1492</v>
      </c>
      <c r="E255" s="7" t="s">
        <v>1493</v>
      </c>
      <c r="F255" s="7"/>
      <c r="G255" s="7" t="s">
        <v>125</v>
      </c>
      <c r="H255" s="7" t="s">
        <v>90</v>
      </c>
      <c r="I255">
        <v>2025</v>
      </c>
    </row>
    <row r="256" spans="1:9" x14ac:dyDescent="0.3">
      <c r="A256" s="6" t="s">
        <v>1494</v>
      </c>
      <c r="B256" t="s">
        <v>4800</v>
      </c>
      <c r="C256" s="7" t="s">
        <v>567</v>
      </c>
      <c r="D256" s="7" t="s">
        <v>896</v>
      </c>
      <c r="E256" s="7" t="s">
        <v>1496</v>
      </c>
      <c r="F256" s="7"/>
      <c r="G256" s="7" t="s">
        <v>125</v>
      </c>
      <c r="H256" s="7" t="s">
        <v>90</v>
      </c>
      <c r="I256">
        <v>2025</v>
      </c>
    </row>
    <row r="257" spans="1:9" x14ac:dyDescent="0.3">
      <c r="A257" s="6" t="s">
        <v>1497</v>
      </c>
      <c r="B257" t="s">
        <v>4801</v>
      </c>
      <c r="C257" s="7" t="s">
        <v>1499</v>
      </c>
      <c r="D257" s="7" t="s">
        <v>1500</v>
      </c>
      <c r="E257" s="7" t="s">
        <v>1501</v>
      </c>
      <c r="F257" s="7"/>
      <c r="G257" s="7" t="s">
        <v>125</v>
      </c>
      <c r="H257" s="7" t="s">
        <v>90</v>
      </c>
      <c r="I257">
        <v>2025</v>
      </c>
    </row>
    <row r="258" spans="1:9" x14ac:dyDescent="0.3">
      <c r="A258" s="6" t="s">
        <v>1502</v>
      </c>
      <c r="B258" t="s">
        <v>4802</v>
      </c>
      <c r="C258" s="7" t="s">
        <v>1504</v>
      </c>
      <c r="D258" s="7" t="s">
        <v>1505</v>
      </c>
      <c r="E258" s="7" t="s">
        <v>1506</v>
      </c>
      <c r="F258" s="7"/>
      <c r="G258" s="7" t="s">
        <v>125</v>
      </c>
      <c r="H258" s="7" t="s">
        <v>90</v>
      </c>
      <c r="I258">
        <v>2025</v>
      </c>
    </row>
    <row r="259" spans="1:9" x14ac:dyDescent="0.3">
      <c r="A259" s="6" t="s">
        <v>1507</v>
      </c>
      <c r="B259" t="s">
        <v>4803</v>
      </c>
      <c r="C259" s="7" t="s">
        <v>1509</v>
      </c>
      <c r="D259" s="7" t="s">
        <v>1510</v>
      </c>
      <c r="E259" s="7" t="s">
        <v>1511</v>
      </c>
      <c r="F259" s="7"/>
      <c r="G259" s="7" t="s">
        <v>125</v>
      </c>
      <c r="H259" s="7" t="s">
        <v>90</v>
      </c>
      <c r="I259">
        <v>2025</v>
      </c>
    </row>
    <row r="260" spans="1:9" x14ac:dyDescent="0.3">
      <c r="A260" s="6" t="s">
        <v>1512</v>
      </c>
      <c r="B260" t="s">
        <v>4804</v>
      </c>
      <c r="C260" s="7" t="s">
        <v>1514</v>
      </c>
      <c r="D260" s="7" t="s">
        <v>1515</v>
      </c>
      <c r="E260" s="7" t="s">
        <v>1516</v>
      </c>
      <c r="F260" s="7"/>
      <c r="G260" s="7" t="s">
        <v>125</v>
      </c>
      <c r="H260" s="7" t="s">
        <v>90</v>
      </c>
      <c r="I260">
        <v>2025</v>
      </c>
    </row>
    <row r="261" spans="1:9" ht="27.6" x14ac:dyDescent="0.3">
      <c r="A261" s="6" t="s">
        <v>1517</v>
      </c>
      <c r="B261" t="s">
        <v>4805</v>
      </c>
      <c r="C261" s="7" t="s">
        <v>458</v>
      </c>
      <c r="D261" s="7" t="s">
        <v>1519</v>
      </c>
      <c r="E261" s="7" t="s">
        <v>1520</v>
      </c>
      <c r="F261" s="7"/>
      <c r="G261" s="7" t="s">
        <v>125</v>
      </c>
      <c r="H261" s="7" t="s">
        <v>90</v>
      </c>
      <c r="I261">
        <v>2025</v>
      </c>
    </row>
    <row r="262" spans="1:9" ht="27.6" x14ac:dyDescent="0.3">
      <c r="A262" s="6" t="s">
        <v>1521</v>
      </c>
      <c r="B262" t="s">
        <v>4806</v>
      </c>
      <c r="C262" s="7" t="s">
        <v>1523</v>
      </c>
      <c r="D262" s="7" t="s">
        <v>1524</v>
      </c>
      <c r="E262" s="7" t="s">
        <v>1525</v>
      </c>
      <c r="F262" s="7"/>
      <c r="G262" s="7" t="s">
        <v>125</v>
      </c>
      <c r="H262" s="7" t="s">
        <v>90</v>
      </c>
      <c r="I262">
        <v>2025</v>
      </c>
    </row>
    <row r="263" spans="1:9" x14ac:dyDescent="0.3">
      <c r="A263" s="6" t="s">
        <v>1527</v>
      </c>
      <c r="B263" t="s">
        <v>4807</v>
      </c>
      <c r="C263" s="7" t="s">
        <v>1523</v>
      </c>
      <c r="D263" s="7" t="s">
        <v>1529</v>
      </c>
      <c r="E263" s="7"/>
      <c r="F263" s="7"/>
      <c r="G263" s="7" t="s">
        <v>125</v>
      </c>
      <c r="H263" s="7" t="s">
        <v>90</v>
      </c>
      <c r="I263">
        <v>2025</v>
      </c>
    </row>
    <row r="264" spans="1:9" x14ac:dyDescent="0.3">
      <c r="A264" s="6" t="s">
        <v>1530</v>
      </c>
      <c r="B264" t="s">
        <v>4808</v>
      </c>
      <c r="C264" s="7" t="s">
        <v>1532</v>
      </c>
      <c r="D264" s="7" t="s">
        <v>1533</v>
      </c>
      <c r="E264" s="7" t="s">
        <v>1534</v>
      </c>
      <c r="F264" s="7"/>
      <c r="G264" s="7" t="s">
        <v>125</v>
      </c>
      <c r="H264" s="7" t="s">
        <v>90</v>
      </c>
      <c r="I264">
        <v>2025</v>
      </c>
    </row>
    <row r="265" spans="1:9" ht="27.6" x14ac:dyDescent="0.3">
      <c r="A265" s="6" t="s">
        <v>1535</v>
      </c>
      <c r="B265" t="s">
        <v>4809</v>
      </c>
      <c r="C265" s="7" t="s">
        <v>1537</v>
      </c>
      <c r="D265" s="7" t="s">
        <v>1538</v>
      </c>
      <c r="E265" s="7" t="s">
        <v>1539</v>
      </c>
      <c r="F265" s="7"/>
      <c r="G265" s="7" t="s">
        <v>125</v>
      </c>
      <c r="H265" s="7" t="s">
        <v>90</v>
      </c>
      <c r="I265">
        <v>2025</v>
      </c>
    </row>
    <row r="266" spans="1:9" x14ac:dyDescent="0.3">
      <c r="A266" s="6" t="s">
        <v>1540</v>
      </c>
      <c r="B266" t="s">
        <v>4810</v>
      </c>
      <c r="C266" s="7" t="s">
        <v>272</v>
      </c>
      <c r="D266" s="7" t="s">
        <v>424</v>
      </c>
      <c r="E266" s="7" t="s">
        <v>1542</v>
      </c>
      <c r="F266" s="7"/>
      <c r="G266" s="7" t="s">
        <v>125</v>
      </c>
      <c r="H266" s="7" t="s">
        <v>90</v>
      </c>
      <c r="I266">
        <v>2025</v>
      </c>
    </row>
    <row r="267" spans="1:9" x14ac:dyDescent="0.3">
      <c r="A267" s="6" t="s">
        <v>1544</v>
      </c>
      <c r="B267" t="s">
        <v>4811</v>
      </c>
      <c r="C267" s="7" t="s">
        <v>1546</v>
      </c>
      <c r="D267" s="7" t="s">
        <v>1547</v>
      </c>
      <c r="E267" s="7" t="s">
        <v>1548</v>
      </c>
      <c r="F267" s="7"/>
      <c r="G267" s="7" t="s">
        <v>125</v>
      </c>
      <c r="H267" s="7" t="s">
        <v>90</v>
      </c>
      <c r="I267">
        <v>2025</v>
      </c>
    </row>
    <row r="268" spans="1:9" x14ac:dyDescent="0.3">
      <c r="A268" s="6" t="s">
        <v>1550</v>
      </c>
      <c r="B268" t="s">
        <v>4812</v>
      </c>
      <c r="C268" s="7" t="s">
        <v>1456</v>
      </c>
      <c r="D268" s="7" t="s">
        <v>1552</v>
      </c>
      <c r="E268" s="7" t="s">
        <v>1553</v>
      </c>
      <c r="F268" s="7"/>
      <c r="G268" s="7" t="s">
        <v>125</v>
      </c>
      <c r="H268" s="7" t="s">
        <v>90</v>
      </c>
      <c r="I268">
        <v>2025</v>
      </c>
    </row>
    <row r="269" spans="1:9" x14ac:dyDescent="0.3">
      <c r="A269" s="6" t="s">
        <v>1554</v>
      </c>
      <c r="B269" t="s">
        <v>4813</v>
      </c>
      <c r="C269" s="7" t="s">
        <v>1456</v>
      </c>
      <c r="D269" s="7" t="s">
        <v>1556</v>
      </c>
      <c r="E269" s="7" t="s">
        <v>1557</v>
      </c>
      <c r="F269" s="7"/>
      <c r="G269" s="7" t="s">
        <v>125</v>
      </c>
      <c r="H269" s="7" t="s">
        <v>90</v>
      </c>
      <c r="I269">
        <v>2025</v>
      </c>
    </row>
    <row r="270" spans="1:9" ht="27.6" x14ac:dyDescent="0.3">
      <c r="A270" s="6" t="s">
        <v>1558</v>
      </c>
      <c r="B270" t="s">
        <v>4814</v>
      </c>
      <c r="C270" s="7"/>
      <c r="D270" s="7" t="s">
        <v>407</v>
      </c>
      <c r="E270" s="7"/>
      <c r="F270" s="7"/>
      <c r="G270" s="7" t="s">
        <v>125</v>
      </c>
      <c r="H270" s="7" t="s">
        <v>90</v>
      </c>
      <c r="I270">
        <v>2025</v>
      </c>
    </row>
    <row r="271" spans="1:9" x14ac:dyDescent="0.3">
      <c r="A271" s="6" t="s">
        <v>1560</v>
      </c>
      <c r="B271" t="s">
        <v>4815</v>
      </c>
      <c r="C271" s="7" t="s">
        <v>1562</v>
      </c>
      <c r="D271" s="7" t="s">
        <v>1173</v>
      </c>
      <c r="E271" s="7" t="s">
        <v>1563</v>
      </c>
      <c r="F271" s="7"/>
      <c r="G271" s="7" t="s">
        <v>125</v>
      </c>
      <c r="H271" s="7" t="s">
        <v>90</v>
      </c>
      <c r="I271">
        <v>2025</v>
      </c>
    </row>
    <row r="272" spans="1:9" x14ac:dyDescent="0.3">
      <c r="A272" s="6" t="s">
        <v>1565</v>
      </c>
      <c r="B272" t="s">
        <v>4816</v>
      </c>
      <c r="C272" s="7" t="s">
        <v>1568</v>
      </c>
      <c r="D272" s="7" t="s">
        <v>1569</v>
      </c>
      <c r="E272" s="7" t="s">
        <v>1570</v>
      </c>
      <c r="F272" s="7"/>
      <c r="G272" s="7" t="s">
        <v>125</v>
      </c>
      <c r="H272" s="7" t="s">
        <v>90</v>
      </c>
      <c r="I272">
        <v>2025</v>
      </c>
    </row>
    <row r="273" spans="1:9" x14ac:dyDescent="0.3">
      <c r="A273" s="6" t="s">
        <v>1571</v>
      </c>
      <c r="B273" t="s">
        <v>4817</v>
      </c>
      <c r="C273" s="7" t="s">
        <v>1573</v>
      </c>
      <c r="D273" s="7" t="s">
        <v>1574</v>
      </c>
      <c r="E273" s="7" t="s">
        <v>1575</v>
      </c>
      <c r="F273" s="7"/>
      <c r="G273" s="7" t="s">
        <v>125</v>
      </c>
      <c r="H273" s="7" t="s">
        <v>90</v>
      </c>
      <c r="I273">
        <v>2025</v>
      </c>
    </row>
    <row r="274" spans="1:9" x14ac:dyDescent="0.3">
      <c r="A274" s="6" t="s">
        <v>1576</v>
      </c>
      <c r="B274" t="s">
        <v>4818</v>
      </c>
      <c r="C274" s="7" t="s">
        <v>1578</v>
      </c>
      <c r="D274" s="7" t="s">
        <v>295</v>
      </c>
      <c r="E274" s="7" t="s">
        <v>1579</v>
      </c>
      <c r="F274" s="7"/>
      <c r="G274" s="7" t="s">
        <v>125</v>
      </c>
      <c r="H274" s="7" t="s">
        <v>90</v>
      </c>
      <c r="I274">
        <v>2025</v>
      </c>
    </row>
    <row r="275" spans="1:9" x14ac:dyDescent="0.3">
      <c r="A275" s="6" t="s">
        <v>1581</v>
      </c>
      <c r="B275" t="s">
        <v>4819</v>
      </c>
      <c r="C275" s="7" t="s">
        <v>334</v>
      </c>
      <c r="D275" s="7" t="s">
        <v>983</v>
      </c>
      <c r="E275" s="7" t="s">
        <v>1583</v>
      </c>
      <c r="F275" s="7"/>
      <c r="G275" s="7" t="s">
        <v>125</v>
      </c>
      <c r="H275" s="7" t="s">
        <v>90</v>
      </c>
      <c r="I275">
        <v>2025</v>
      </c>
    </row>
    <row r="276" spans="1:9" x14ac:dyDescent="0.3">
      <c r="A276" s="6" t="s">
        <v>1585</v>
      </c>
      <c r="B276" t="s">
        <v>4820</v>
      </c>
      <c r="C276" s="7" t="s">
        <v>1307</v>
      </c>
      <c r="D276" s="7" t="s">
        <v>1587</v>
      </c>
      <c r="E276" s="7" t="s">
        <v>1588</v>
      </c>
      <c r="F276" s="7"/>
      <c r="G276" s="7" t="s">
        <v>125</v>
      </c>
      <c r="H276" s="7" t="s">
        <v>90</v>
      </c>
      <c r="I276">
        <v>2025</v>
      </c>
    </row>
    <row r="277" spans="1:9" x14ac:dyDescent="0.3">
      <c r="A277" s="6" t="s">
        <v>1589</v>
      </c>
      <c r="B277" t="s">
        <v>4821</v>
      </c>
      <c r="C277" s="7" t="s">
        <v>965</v>
      </c>
      <c r="D277" s="7" t="s">
        <v>1591</v>
      </c>
      <c r="E277" s="7" t="s">
        <v>1592</v>
      </c>
      <c r="F277" s="7"/>
      <c r="G277" s="7" t="s">
        <v>125</v>
      </c>
      <c r="H277" s="7" t="s">
        <v>90</v>
      </c>
      <c r="I277">
        <v>2025</v>
      </c>
    </row>
    <row r="278" spans="1:9" x14ac:dyDescent="0.3">
      <c r="A278" s="6" t="s">
        <v>1593</v>
      </c>
      <c r="B278" t="s">
        <v>4822</v>
      </c>
      <c r="C278" s="7" t="s">
        <v>965</v>
      </c>
      <c r="D278" s="7" t="s">
        <v>1595</v>
      </c>
      <c r="E278" s="7" t="s">
        <v>1596</v>
      </c>
      <c r="F278" s="7"/>
      <c r="G278" s="7" t="s">
        <v>125</v>
      </c>
      <c r="H278" s="7" t="s">
        <v>90</v>
      </c>
      <c r="I278">
        <v>2025</v>
      </c>
    </row>
    <row r="279" spans="1:9" x14ac:dyDescent="0.3">
      <c r="A279" s="6" t="s">
        <v>1597</v>
      </c>
      <c r="B279" t="s">
        <v>4823</v>
      </c>
      <c r="C279" s="7" t="s">
        <v>1599</v>
      </c>
      <c r="D279" s="7" t="s">
        <v>226</v>
      </c>
      <c r="E279" s="7" t="s">
        <v>1600</v>
      </c>
      <c r="F279" s="7"/>
      <c r="G279" s="7" t="s">
        <v>125</v>
      </c>
      <c r="H279" s="7" t="s">
        <v>90</v>
      </c>
      <c r="I279">
        <v>2025</v>
      </c>
    </row>
    <row r="280" spans="1:9" x14ac:dyDescent="0.3">
      <c r="A280" s="6" t="s">
        <v>1602</v>
      </c>
      <c r="B280" t="s">
        <v>4824</v>
      </c>
      <c r="C280" s="7" t="s">
        <v>1314</v>
      </c>
      <c r="D280" s="7" t="s">
        <v>1604</v>
      </c>
      <c r="E280" s="7"/>
      <c r="F280" s="7"/>
      <c r="G280" s="7" t="s">
        <v>125</v>
      </c>
      <c r="H280" s="7" t="s">
        <v>90</v>
      </c>
      <c r="I280">
        <v>2025</v>
      </c>
    </row>
    <row r="281" spans="1:9" x14ac:dyDescent="0.3">
      <c r="A281" s="6" t="s">
        <v>1605</v>
      </c>
      <c r="B281" t="s">
        <v>4825</v>
      </c>
      <c r="C281" s="7" t="s">
        <v>1607</v>
      </c>
      <c r="D281" s="7" t="s">
        <v>1608</v>
      </c>
      <c r="E281" s="7" t="s">
        <v>1609</v>
      </c>
      <c r="F281" s="7"/>
      <c r="G281" s="7" t="s">
        <v>125</v>
      </c>
      <c r="H281" s="7" t="s">
        <v>90</v>
      </c>
      <c r="I281">
        <v>2025</v>
      </c>
    </row>
    <row r="282" spans="1:9" x14ac:dyDescent="0.3">
      <c r="A282" s="6" t="s">
        <v>1610</v>
      </c>
      <c r="B282" t="s">
        <v>4826</v>
      </c>
      <c r="C282" s="7" t="s">
        <v>567</v>
      </c>
      <c r="D282" s="7" t="s">
        <v>1612</v>
      </c>
      <c r="E282" s="7" t="s">
        <v>1613</v>
      </c>
      <c r="F282" s="7"/>
      <c r="G282" s="7" t="s">
        <v>125</v>
      </c>
      <c r="H282" s="7" t="s">
        <v>90</v>
      </c>
      <c r="I282">
        <v>2025</v>
      </c>
    </row>
    <row r="283" spans="1:9" x14ac:dyDescent="0.3">
      <c r="A283" s="6" t="s">
        <v>1614</v>
      </c>
      <c r="B283" t="s">
        <v>4827</v>
      </c>
      <c r="C283" s="7" t="s">
        <v>932</v>
      </c>
      <c r="D283" s="7" t="s">
        <v>939</v>
      </c>
      <c r="E283" s="7" t="s">
        <v>1616</v>
      </c>
      <c r="F283" s="7"/>
      <c r="G283" s="7" t="s">
        <v>125</v>
      </c>
      <c r="H283" s="7" t="s">
        <v>90</v>
      </c>
      <c r="I283">
        <v>2025</v>
      </c>
    </row>
    <row r="284" spans="1:9" x14ac:dyDescent="0.3">
      <c r="A284" s="6" t="s">
        <v>1617</v>
      </c>
      <c r="B284" t="s">
        <v>4828</v>
      </c>
      <c r="C284" s="7" t="s">
        <v>1619</v>
      </c>
      <c r="D284" s="7" t="s">
        <v>1620</v>
      </c>
      <c r="E284" s="7" t="s">
        <v>1621</v>
      </c>
      <c r="F284" s="7"/>
      <c r="G284" s="7" t="s">
        <v>125</v>
      </c>
      <c r="H284" s="7" t="s">
        <v>90</v>
      </c>
      <c r="I284">
        <v>2025</v>
      </c>
    </row>
    <row r="285" spans="1:9" x14ac:dyDescent="0.3">
      <c r="A285" s="6" t="s">
        <v>1623</v>
      </c>
      <c r="B285" t="s">
        <v>4829</v>
      </c>
      <c r="C285" s="7" t="s">
        <v>687</v>
      </c>
      <c r="D285" s="7" t="s">
        <v>966</v>
      </c>
      <c r="E285" s="7" t="s">
        <v>1625</v>
      </c>
      <c r="F285" s="7"/>
      <c r="G285" s="7" t="s">
        <v>125</v>
      </c>
      <c r="H285" s="7" t="s">
        <v>90</v>
      </c>
      <c r="I285">
        <v>2025</v>
      </c>
    </row>
    <row r="286" spans="1:9" x14ac:dyDescent="0.3">
      <c r="A286" s="6" t="s">
        <v>1626</v>
      </c>
      <c r="B286" t="s">
        <v>4830</v>
      </c>
      <c r="C286" s="7" t="s">
        <v>1628</v>
      </c>
      <c r="D286" s="7" t="s">
        <v>1629</v>
      </c>
      <c r="E286" s="7"/>
      <c r="F286" s="7"/>
      <c r="G286" s="7" t="s">
        <v>125</v>
      </c>
      <c r="H286" s="7" t="s">
        <v>90</v>
      </c>
      <c r="I286">
        <v>2025</v>
      </c>
    </row>
    <row r="287" spans="1:9" x14ac:dyDescent="0.3">
      <c r="A287" s="6" t="s">
        <v>1630</v>
      </c>
      <c r="B287" t="s">
        <v>4831</v>
      </c>
      <c r="C287" s="7" t="s">
        <v>1632</v>
      </c>
      <c r="D287" s="7" t="s">
        <v>1633</v>
      </c>
      <c r="E287" s="7" t="s">
        <v>1634</v>
      </c>
      <c r="F287" s="7"/>
      <c r="G287" s="7" t="s">
        <v>125</v>
      </c>
      <c r="H287" s="7" t="s">
        <v>90</v>
      </c>
      <c r="I287">
        <v>2025</v>
      </c>
    </row>
    <row r="288" spans="1:9" x14ac:dyDescent="0.3">
      <c r="A288" s="6" t="s">
        <v>1636</v>
      </c>
      <c r="B288" t="s">
        <v>4832</v>
      </c>
      <c r="C288" s="7" t="s">
        <v>1638</v>
      </c>
      <c r="D288" s="7" t="s">
        <v>1639</v>
      </c>
      <c r="E288" s="7" t="s">
        <v>1640</v>
      </c>
      <c r="F288" s="7"/>
      <c r="G288" s="7" t="s">
        <v>125</v>
      </c>
      <c r="H288" s="7" t="s">
        <v>90</v>
      </c>
      <c r="I288">
        <v>2025</v>
      </c>
    </row>
    <row r="289" spans="1:9" x14ac:dyDescent="0.3">
      <c r="A289" s="6" t="s">
        <v>1641</v>
      </c>
      <c r="B289" t="s">
        <v>4833</v>
      </c>
      <c r="C289" s="7" t="s">
        <v>1643</v>
      </c>
      <c r="D289" s="7" t="s">
        <v>312</v>
      </c>
      <c r="E289" s="7" t="s">
        <v>1644</v>
      </c>
      <c r="F289" s="7"/>
      <c r="G289" s="7" t="s">
        <v>125</v>
      </c>
      <c r="H289" s="7" t="s">
        <v>90</v>
      </c>
      <c r="I289">
        <v>2025</v>
      </c>
    </row>
    <row r="290" spans="1:9" x14ac:dyDescent="0.3">
      <c r="A290" s="6" t="s">
        <v>1645</v>
      </c>
      <c r="B290" t="s">
        <v>4834</v>
      </c>
      <c r="C290" s="7" t="s">
        <v>1647</v>
      </c>
      <c r="D290" s="7" t="s">
        <v>1648</v>
      </c>
      <c r="E290" s="7" t="s">
        <v>1649</v>
      </c>
      <c r="F290" s="7"/>
      <c r="G290" s="7" t="s">
        <v>125</v>
      </c>
      <c r="H290" s="7" t="s">
        <v>90</v>
      </c>
      <c r="I290">
        <v>2025</v>
      </c>
    </row>
    <row r="291" spans="1:9" x14ac:dyDescent="0.3">
      <c r="A291" s="6" t="s">
        <v>1651</v>
      </c>
      <c r="B291" t="s">
        <v>4835</v>
      </c>
      <c r="C291" s="7" t="s">
        <v>1016</v>
      </c>
      <c r="D291" s="7" t="s">
        <v>1653</v>
      </c>
      <c r="E291" s="7" t="s">
        <v>1654</v>
      </c>
      <c r="F291" s="7"/>
      <c r="G291" s="7" t="s">
        <v>125</v>
      </c>
      <c r="H291" s="7" t="s">
        <v>90</v>
      </c>
      <c r="I291">
        <v>2025</v>
      </c>
    </row>
    <row r="292" spans="1:9" x14ac:dyDescent="0.3">
      <c r="A292" s="6" t="s">
        <v>1655</v>
      </c>
      <c r="B292" t="s">
        <v>4836</v>
      </c>
      <c r="C292" s="7" t="s">
        <v>1657</v>
      </c>
      <c r="D292" s="7" t="s">
        <v>424</v>
      </c>
      <c r="E292" s="7" t="s">
        <v>1658</v>
      </c>
      <c r="F292" s="7"/>
      <c r="G292" s="7" t="s">
        <v>125</v>
      </c>
      <c r="H292" s="7" t="s">
        <v>90</v>
      </c>
      <c r="I292">
        <v>2025</v>
      </c>
    </row>
    <row r="293" spans="1:9" ht="27.6" x14ac:dyDescent="0.3">
      <c r="A293" s="6" t="s">
        <v>1659</v>
      </c>
      <c r="B293" t="s">
        <v>4837</v>
      </c>
      <c r="C293" s="7" t="s">
        <v>1661</v>
      </c>
      <c r="D293" s="7" t="s">
        <v>1662</v>
      </c>
      <c r="E293" s="7" t="s">
        <v>1663</v>
      </c>
      <c r="F293" s="7"/>
      <c r="G293" s="7" t="s">
        <v>125</v>
      </c>
      <c r="H293" s="7" t="s">
        <v>90</v>
      </c>
      <c r="I293">
        <v>2025</v>
      </c>
    </row>
    <row r="294" spans="1:9" x14ac:dyDescent="0.3">
      <c r="A294" s="6" t="s">
        <v>1665</v>
      </c>
      <c r="B294" t="s">
        <v>4838</v>
      </c>
      <c r="C294" s="7" t="s">
        <v>458</v>
      </c>
      <c r="D294" s="7" t="s">
        <v>1667</v>
      </c>
      <c r="E294" s="7" t="s">
        <v>1668</v>
      </c>
      <c r="F294" s="7"/>
      <c r="G294" s="7" t="s">
        <v>125</v>
      </c>
      <c r="H294" s="7" t="s">
        <v>90</v>
      </c>
      <c r="I294">
        <v>2025</v>
      </c>
    </row>
    <row r="295" spans="1:9" x14ac:dyDescent="0.3">
      <c r="A295" s="6" t="s">
        <v>1670</v>
      </c>
      <c r="B295" t="s">
        <v>4839</v>
      </c>
      <c r="C295" s="7" t="s">
        <v>1672</v>
      </c>
      <c r="D295" s="7" t="s">
        <v>1673</v>
      </c>
      <c r="E295" s="7" t="s">
        <v>1674</v>
      </c>
      <c r="F295" s="7"/>
      <c r="G295" s="7" t="s">
        <v>125</v>
      </c>
      <c r="H295" s="7" t="s">
        <v>90</v>
      </c>
      <c r="I295">
        <v>2025</v>
      </c>
    </row>
    <row r="296" spans="1:9" x14ac:dyDescent="0.3">
      <c r="A296" s="6" t="s">
        <v>1675</v>
      </c>
      <c r="B296" t="s">
        <v>4840</v>
      </c>
      <c r="C296" s="7" t="s">
        <v>1356</v>
      </c>
      <c r="D296" s="7" t="s">
        <v>1677</v>
      </c>
      <c r="E296" s="7" t="s">
        <v>1678</v>
      </c>
      <c r="F296" s="7"/>
      <c r="G296" s="7" t="s">
        <v>125</v>
      </c>
      <c r="H296" s="7" t="s">
        <v>90</v>
      </c>
      <c r="I296">
        <v>2025</v>
      </c>
    </row>
    <row r="297" spans="1:9" x14ac:dyDescent="0.3">
      <c r="A297" s="6" t="s">
        <v>1681</v>
      </c>
      <c r="B297" t="s">
        <v>4841</v>
      </c>
      <c r="C297" s="7" t="s">
        <v>1683</v>
      </c>
      <c r="D297" s="7" t="s">
        <v>1684</v>
      </c>
      <c r="E297" s="7" t="s">
        <v>1685</v>
      </c>
      <c r="F297" s="7"/>
      <c r="G297" s="7" t="s">
        <v>125</v>
      </c>
      <c r="H297" s="7" t="s">
        <v>90</v>
      </c>
      <c r="I297">
        <v>2025</v>
      </c>
    </row>
    <row r="298" spans="1:9" x14ac:dyDescent="0.3">
      <c r="A298" s="6" t="s">
        <v>1686</v>
      </c>
      <c r="B298" t="s">
        <v>4842</v>
      </c>
      <c r="C298" s="7" t="s">
        <v>1688</v>
      </c>
      <c r="D298" s="7" t="s">
        <v>1689</v>
      </c>
      <c r="E298" s="7" t="s">
        <v>1690</v>
      </c>
      <c r="F298" s="7"/>
      <c r="G298" s="7" t="s">
        <v>125</v>
      </c>
      <c r="H298" s="7" t="s">
        <v>90</v>
      </c>
      <c r="I298">
        <v>2025</v>
      </c>
    </row>
    <row r="299" spans="1:9" x14ac:dyDescent="0.3">
      <c r="A299" s="6" t="s">
        <v>1692</v>
      </c>
      <c r="B299" t="s">
        <v>4843</v>
      </c>
      <c r="C299" s="7" t="s">
        <v>1694</v>
      </c>
      <c r="D299" s="7" t="s">
        <v>1695</v>
      </c>
      <c r="E299" s="7" t="s">
        <v>1696</v>
      </c>
      <c r="F299" s="7"/>
      <c r="G299" s="7" t="s">
        <v>125</v>
      </c>
      <c r="H299" s="7" t="s">
        <v>90</v>
      </c>
      <c r="I299">
        <v>2025</v>
      </c>
    </row>
    <row r="300" spans="1:9" x14ac:dyDescent="0.3">
      <c r="A300" s="6" t="s">
        <v>1697</v>
      </c>
      <c r="B300" t="s">
        <v>4844</v>
      </c>
      <c r="C300" s="7" t="s">
        <v>1699</v>
      </c>
      <c r="D300" s="7" t="s">
        <v>754</v>
      </c>
      <c r="E300" s="7"/>
      <c r="F300" s="7"/>
      <c r="G300" s="7" t="s">
        <v>125</v>
      </c>
      <c r="H300" s="7" t="s">
        <v>90</v>
      </c>
      <c r="I300">
        <v>2025</v>
      </c>
    </row>
    <row r="301" spans="1:9" x14ac:dyDescent="0.3">
      <c r="A301" s="6" t="s">
        <v>1700</v>
      </c>
      <c r="B301" t="s">
        <v>4845</v>
      </c>
      <c r="C301" s="7" t="s">
        <v>284</v>
      </c>
      <c r="D301" s="7" t="s">
        <v>1064</v>
      </c>
      <c r="E301" s="7" t="s">
        <v>1702</v>
      </c>
      <c r="F301" s="7"/>
      <c r="G301" s="7" t="s">
        <v>125</v>
      </c>
      <c r="H301" s="7" t="s">
        <v>90</v>
      </c>
      <c r="I301">
        <v>2025</v>
      </c>
    </row>
    <row r="302" spans="1:9" x14ac:dyDescent="0.3">
      <c r="A302" s="6" t="s">
        <v>1703</v>
      </c>
      <c r="B302" t="s">
        <v>4846</v>
      </c>
      <c r="C302" s="7" t="s">
        <v>1705</v>
      </c>
      <c r="D302" s="7" t="s">
        <v>1706</v>
      </c>
      <c r="E302" s="7"/>
      <c r="F302" s="7"/>
      <c r="G302" s="7" t="s">
        <v>125</v>
      </c>
      <c r="H302" s="7" t="s">
        <v>90</v>
      </c>
      <c r="I302">
        <v>2025</v>
      </c>
    </row>
    <row r="303" spans="1:9" x14ac:dyDescent="0.3">
      <c r="A303" s="6" t="s">
        <v>1707</v>
      </c>
      <c r="B303" t="s">
        <v>4847</v>
      </c>
      <c r="C303" s="7" t="s">
        <v>1709</v>
      </c>
      <c r="D303" s="7" t="s">
        <v>1710</v>
      </c>
      <c r="E303" s="7" t="s">
        <v>1711</v>
      </c>
      <c r="F303" s="7"/>
      <c r="G303" s="7" t="s">
        <v>125</v>
      </c>
      <c r="H303" s="7" t="s">
        <v>90</v>
      </c>
      <c r="I303">
        <v>2025</v>
      </c>
    </row>
    <row r="304" spans="1:9" x14ac:dyDescent="0.3">
      <c r="A304" s="6" t="s">
        <v>1713</v>
      </c>
      <c r="B304" t="s">
        <v>4848</v>
      </c>
      <c r="C304" s="7" t="s">
        <v>1715</v>
      </c>
      <c r="D304" s="7" t="s">
        <v>1716</v>
      </c>
      <c r="E304" s="7" t="s">
        <v>1717</v>
      </c>
      <c r="F304" s="7"/>
      <c r="G304" s="7" t="s">
        <v>125</v>
      </c>
      <c r="H304" s="7" t="s">
        <v>90</v>
      </c>
      <c r="I304">
        <v>2025</v>
      </c>
    </row>
    <row r="305" spans="1:9" x14ac:dyDescent="0.3">
      <c r="A305" s="6" t="s">
        <v>1719</v>
      </c>
      <c r="B305" t="s">
        <v>4849</v>
      </c>
      <c r="C305" s="7" t="s">
        <v>235</v>
      </c>
      <c r="D305" s="7" t="s">
        <v>1721</v>
      </c>
      <c r="E305" s="7" t="s">
        <v>1722</v>
      </c>
      <c r="F305" s="7"/>
      <c r="G305" s="7" t="s">
        <v>125</v>
      </c>
      <c r="H305" s="7" t="s">
        <v>90</v>
      </c>
      <c r="I305">
        <v>2025</v>
      </c>
    </row>
    <row r="306" spans="1:9" x14ac:dyDescent="0.3">
      <c r="A306" s="6" t="s">
        <v>1723</v>
      </c>
      <c r="B306" t="s">
        <v>4850</v>
      </c>
      <c r="C306" s="7" t="s">
        <v>1232</v>
      </c>
      <c r="D306" s="7" t="s">
        <v>1725</v>
      </c>
      <c r="E306" s="7"/>
      <c r="F306" s="7"/>
      <c r="G306" s="7" t="s">
        <v>125</v>
      </c>
      <c r="H306" s="7" t="s">
        <v>90</v>
      </c>
      <c r="I306">
        <v>2025</v>
      </c>
    </row>
    <row r="307" spans="1:9" x14ac:dyDescent="0.3">
      <c r="A307" s="6" t="s">
        <v>1726</v>
      </c>
      <c r="B307" t="s">
        <v>4851</v>
      </c>
      <c r="C307" s="7" t="s">
        <v>1728</v>
      </c>
      <c r="D307" s="7" t="s">
        <v>1729</v>
      </c>
      <c r="E307" s="7" t="s">
        <v>1730</v>
      </c>
      <c r="F307" s="7"/>
      <c r="G307" s="7" t="s">
        <v>125</v>
      </c>
      <c r="H307" s="7" t="s">
        <v>90</v>
      </c>
      <c r="I307">
        <v>2025</v>
      </c>
    </row>
    <row r="308" spans="1:9" x14ac:dyDescent="0.3">
      <c r="A308" s="6" t="s">
        <v>1732</v>
      </c>
      <c r="B308" t="s">
        <v>4852</v>
      </c>
      <c r="C308" s="7" t="s">
        <v>1734</v>
      </c>
      <c r="D308" s="7" t="s">
        <v>1735</v>
      </c>
      <c r="E308" s="7" t="s">
        <v>1736</v>
      </c>
      <c r="F308" s="7"/>
      <c r="G308" s="7" t="s">
        <v>125</v>
      </c>
      <c r="H308" s="7" t="s">
        <v>90</v>
      </c>
      <c r="I308">
        <v>2025</v>
      </c>
    </row>
    <row r="309" spans="1:9" x14ac:dyDescent="0.3">
      <c r="A309" s="6" t="s">
        <v>1737</v>
      </c>
      <c r="B309" t="s">
        <v>4853</v>
      </c>
      <c r="C309" s="7" t="s">
        <v>1406</v>
      </c>
      <c r="D309" s="7" t="s">
        <v>754</v>
      </c>
      <c r="E309" s="7" t="s">
        <v>1739</v>
      </c>
      <c r="F309" s="7"/>
      <c r="G309" s="7" t="s">
        <v>125</v>
      </c>
      <c r="H309" s="7" t="s">
        <v>90</v>
      </c>
      <c r="I309">
        <v>2025</v>
      </c>
    </row>
    <row r="310" spans="1:9" x14ac:dyDescent="0.3">
      <c r="A310" s="6" t="s">
        <v>1740</v>
      </c>
      <c r="B310" t="s">
        <v>4854</v>
      </c>
      <c r="C310" s="7" t="s">
        <v>1742</v>
      </c>
      <c r="D310" s="7" t="s">
        <v>1330</v>
      </c>
      <c r="E310" s="7" t="s">
        <v>1743</v>
      </c>
      <c r="F310" s="7"/>
      <c r="G310" s="7" t="s">
        <v>125</v>
      </c>
      <c r="H310" s="7" t="s">
        <v>90</v>
      </c>
      <c r="I310">
        <v>2025</v>
      </c>
    </row>
    <row r="311" spans="1:9" x14ac:dyDescent="0.3">
      <c r="A311" s="6" t="s">
        <v>1744</v>
      </c>
      <c r="B311" t="s">
        <v>4855</v>
      </c>
      <c r="C311" s="7" t="s">
        <v>1746</v>
      </c>
      <c r="D311" s="7" t="s">
        <v>1747</v>
      </c>
      <c r="E311" s="7" t="s">
        <v>1748</v>
      </c>
      <c r="F311" s="7"/>
      <c r="G311" s="7" t="s">
        <v>125</v>
      </c>
      <c r="H311" s="7" t="s">
        <v>90</v>
      </c>
      <c r="I311">
        <v>2025</v>
      </c>
    </row>
    <row r="312" spans="1:9" x14ac:dyDescent="0.3">
      <c r="A312" s="6" t="s">
        <v>1749</v>
      </c>
      <c r="B312" t="s">
        <v>4856</v>
      </c>
      <c r="C312" s="7" t="s">
        <v>416</v>
      </c>
      <c r="D312" s="7" t="s">
        <v>1751</v>
      </c>
      <c r="E312" s="7" t="s">
        <v>1752</v>
      </c>
      <c r="F312" s="7"/>
      <c r="G312" s="7" t="s">
        <v>125</v>
      </c>
      <c r="H312" s="7" t="s">
        <v>90</v>
      </c>
      <c r="I312">
        <v>2025</v>
      </c>
    </row>
    <row r="313" spans="1:9" ht="27.6" x14ac:dyDescent="0.3">
      <c r="A313" s="6" t="s">
        <v>1754</v>
      </c>
      <c r="B313" t="s">
        <v>4857</v>
      </c>
      <c r="C313" s="7" t="s">
        <v>1756</v>
      </c>
      <c r="D313" s="7" t="s">
        <v>1757</v>
      </c>
      <c r="E313" s="7" t="s">
        <v>1758</v>
      </c>
      <c r="F313" s="7"/>
      <c r="G313" s="7" t="s">
        <v>125</v>
      </c>
      <c r="H313" s="7" t="s">
        <v>90</v>
      </c>
      <c r="I313">
        <v>2025</v>
      </c>
    </row>
    <row r="314" spans="1:9" x14ac:dyDescent="0.3">
      <c r="A314" s="6" t="s">
        <v>1759</v>
      </c>
      <c r="B314" t="s">
        <v>4858</v>
      </c>
      <c r="C314" s="7" t="s">
        <v>299</v>
      </c>
      <c r="D314" s="7" t="s">
        <v>1761</v>
      </c>
      <c r="E314" s="7" t="s">
        <v>1762</v>
      </c>
      <c r="F314" s="7"/>
      <c r="G314" s="7" t="s">
        <v>125</v>
      </c>
      <c r="H314" s="7" t="s">
        <v>90</v>
      </c>
      <c r="I314">
        <v>2025</v>
      </c>
    </row>
    <row r="315" spans="1:9" x14ac:dyDescent="0.3">
      <c r="A315" s="6" t="s">
        <v>1763</v>
      </c>
      <c r="B315" t="s">
        <v>4859</v>
      </c>
      <c r="C315" s="7" t="s">
        <v>272</v>
      </c>
      <c r="D315" s="7" t="s">
        <v>1765</v>
      </c>
      <c r="E315" s="7" t="s">
        <v>1766</v>
      </c>
      <c r="F315" s="7"/>
      <c r="G315" s="7" t="s">
        <v>125</v>
      </c>
      <c r="H315" s="7" t="s">
        <v>90</v>
      </c>
      <c r="I315">
        <v>2025</v>
      </c>
    </row>
    <row r="316" spans="1:9" x14ac:dyDescent="0.3">
      <c r="A316" s="6" t="s">
        <v>1767</v>
      </c>
      <c r="B316" t="s">
        <v>4860</v>
      </c>
      <c r="C316" s="7" t="s">
        <v>272</v>
      </c>
      <c r="D316" s="7" t="s">
        <v>1769</v>
      </c>
      <c r="E316" s="7" t="s">
        <v>1770</v>
      </c>
      <c r="F316" s="7"/>
      <c r="G316" s="7" t="s">
        <v>125</v>
      </c>
      <c r="H316" s="7" t="s">
        <v>90</v>
      </c>
      <c r="I316">
        <v>2025</v>
      </c>
    </row>
    <row r="317" spans="1:9" x14ac:dyDescent="0.3">
      <c r="A317" s="6" t="s">
        <v>1772</v>
      </c>
      <c r="B317" t="s">
        <v>4861</v>
      </c>
      <c r="C317" s="7" t="s">
        <v>932</v>
      </c>
      <c r="D317" s="7" t="s">
        <v>1774</v>
      </c>
      <c r="E317" s="7" t="s">
        <v>1775</v>
      </c>
      <c r="F317" s="7"/>
      <c r="G317" s="7" t="s">
        <v>125</v>
      </c>
      <c r="H317" s="7" t="s">
        <v>90</v>
      </c>
      <c r="I317">
        <v>2025</v>
      </c>
    </row>
    <row r="318" spans="1:9" x14ac:dyDescent="0.3">
      <c r="A318" s="6" t="s">
        <v>1776</v>
      </c>
      <c r="B318" t="s">
        <v>4862</v>
      </c>
      <c r="C318" s="7" t="s">
        <v>1778</v>
      </c>
      <c r="D318" s="7" t="s">
        <v>1779</v>
      </c>
      <c r="E318" s="7" t="s">
        <v>1780</v>
      </c>
      <c r="F318" s="7"/>
      <c r="G318" s="7" t="s">
        <v>125</v>
      </c>
      <c r="H318" s="7" t="s">
        <v>90</v>
      </c>
      <c r="I318">
        <v>2025</v>
      </c>
    </row>
    <row r="319" spans="1:9" ht="41.4" x14ac:dyDescent="0.3">
      <c r="A319" s="6" t="s">
        <v>1781</v>
      </c>
      <c r="B319" t="s">
        <v>4863</v>
      </c>
      <c r="C319" s="7" t="s">
        <v>1783</v>
      </c>
      <c r="D319" s="7" t="s">
        <v>1784</v>
      </c>
      <c r="E319" s="7" t="s">
        <v>1785</v>
      </c>
      <c r="F319" s="7"/>
      <c r="G319" s="7" t="s">
        <v>125</v>
      </c>
      <c r="H319" s="7" t="s">
        <v>90</v>
      </c>
      <c r="I319">
        <v>2025</v>
      </c>
    </row>
    <row r="320" spans="1:9" x14ac:dyDescent="0.3">
      <c r="A320" s="6" t="s">
        <v>1787</v>
      </c>
      <c r="B320" t="s">
        <v>4864</v>
      </c>
      <c r="C320" s="7" t="s">
        <v>1789</v>
      </c>
      <c r="D320" s="7" t="s">
        <v>285</v>
      </c>
      <c r="E320" s="7" t="s">
        <v>1790</v>
      </c>
      <c r="F320" s="7"/>
      <c r="G320" s="7" t="s">
        <v>125</v>
      </c>
      <c r="H320" s="7" t="s">
        <v>90</v>
      </c>
      <c r="I320">
        <v>2025</v>
      </c>
    </row>
    <row r="321" spans="1:9" x14ac:dyDescent="0.3">
      <c r="A321" s="6" t="s">
        <v>1791</v>
      </c>
      <c r="B321" t="s">
        <v>4865</v>
      </c>
      <c r="C321" s="7" t="s">
        <v>1793</v>
      </c>
      <c r="D321" s="7" t="s">
        <v>1794</v>
      </c>
      <c r="E321" s="7"/>
      <c r="F321" s="7"/>
      <c r="G321" s="7" t="s">
        <v>125</v>
      </c>
      <c r="H321" s="7" t="s">
        <v>90</v>
      </c>
      <c r="I321">
        <v>2025</v>
      </c>
    </row>
    <row r="322" spans="1:9" ht="27.6" x14ac:dyDescent="0.3">
      <c r="A322" s="6" t="s">
        <v>1796</v>
      </c>
      <c r="B322" t="s">
        <v>4866</v>
      </c>
      <c r="C322" s="7" t="s">
        <v>1672</v>
      </c>
      <c r="D322" s="7" t="s">
        <v>1798</v>
      </c>
      <c r="E322" s="7" t="s">
        <v>1799</v>
      </c>
      <c r="F322" s="7"/>
      <c r="G322" s="7" t="s">
        <v>125</v>
      </c>
      <c r="H322" s="7" t="s">
        <v>90</v>
      </c>
      <c r="I322">
        <v>2025</v>
      </c>
    </row>
    <row r="323" spans="1:9" x14ac:dyDescent="0.3">
      <c r="A323" s="6" t="s">
        <v>1802</v>
      </c>
      <c r="B323" t="s">
        <v>4867</v>
      </c>
      <c r="C323" s="7" t="s">
        <v>1804</v>
      </c>
      <c r="D323" s="7" t="s">
        <v>1805</v>
      </c>
      <c r="E323" s="7" t="s">
        <v>1806</v>
      </c>
      <c r="F323" s="7"/>
      <c r="G323" s="7" t="s">
        <v>125</v>
      </c>
      <c r="H323" s="7" t="s">
        <v>90</v>
      </c>
      <c r="I323">
        <v>2025</v>
      </c>
    </row>
    <row r="324" spans="1:9" x14ac:dyDescent="0.3">
      <c r="A324" s="6" t="s">
        <v>1807</v>
      </c>
      <c r="B324" t="s">
        <v>4868</v>
      </c>
      <c r="C324" s="7" t="s">
        <v>1809</v>
      </c>
      <c r="D324" s="7" t="s">
        <v>1810</v>
      </c>
      <c r="E324" s="7" t="s">
        <v>1811</v>
      </c>
      <c r="F324" s="7"/>
      <c r="G324" s="7" t="s">
        <v>125</v>
      </c>
      <c r="H324" s="7" t="s">
        <v>90</v>
      </c>
      <c r="I324">
        <v>2025</v>
      </c>
    </row>
    <row r="325" spans="1:9" x14ac:dyDescent="0.3">
      <c r="A325" s="6" t="s">
        <v>1812</v>
      </c>
      <c r="B325" t="s">
        <v>4869</v>
      </c>
      <c r="C325" s="7" t="s">
        <v>1814</v>
      </c>
      <c r="D325" s="7" t="s">
        <v>1815</v>
      </c>
      <c r="E325" s="7" t="s">
        <v>1816</v>
      </c>
      <c r="F325" s="7"/>
      <c r="G325" s="7" t="s">
        <v>125</v>
      </c>
      <c r="H325" s="7" t="s">
        <v>90</v>
      </c>
      <c r="I325">
        <v>2025</v>
      </c>
    </row>
    <row r="326" spans="1:9" x14ac:dyDescent="0.3">
      <c r="A326" s="6" t="s">
        <v>1819</v>
      </c>
      <c r="B326" t="s">
        <v>4743</v>
      </c>
      <c r="C326" s="7" t="s">
        <v>1822</v>
      </c>
      <c r="D326" s="7" t="s">
        <v>1823</v>
      </c>
      <c r="E326" s="7" t="s">
        <v>1824</v>
      </c>
      <c r="F326" s="7"/>
      <c r="G326" s="7" t="s">
        <v>125</v>
      </c>
      <c r="H326" s="7" t="s">
        <v>90</v>
      </c>
      <c r="I326">
        <v>2025</v>
      </c>
    </row>
    <row r="327" spans="1:9" x14ac:dyDescent="0.3">
      <c r="A327" s="6" t="s">
        <v>1825</v>
      </c>
      <c r="B327" t="s">
        <v>4744</v>
      </c>
      <c r="C327" s="7" t="s">
        <v>1827</v>
      </c>
      <c r="D327" s="7" t="s">
        <v>1828</v>
      </c>
      <c r="E327" s="7" t="s">
        <v>1829</v>
      </c>
      <c r="F327" s="7"/>
      <c r="G327" s="7" t="s">
        <v>125</v>
      </c>
      <c r="H327" s="7" t="s">
        <v>90</v>
      </c>
      <c r="I327">
        <v>2025</v>
      </c>
    </row>
    <row r="328" spans="1:9" x14ac:dyDescent="0.3">
      <c r="A328" s="6" t="s">
        <v>1831</v>
      </c>
      <c r="B328" t="s">
        <v>4745</v>
      </c>
      <c r="C328" s="7" t="s">
        <v>1833</v>
      </c>
      <c r="D328" s="7" t="s">
        <v>1834</v>
      </c>
      <c r="E328" s="7" t="s">
        <v>1835</v>
      </c>
      <c r="F328" s="7"/>
      <c r="G328" s="7" t="s">
        <v>125</v>
      </c>
      <c r="H328" s="7" t="s">
        <v>90</v>
      </c>
      <c r="I328">
        <v>2025</v>
      </c>
    </row>
    <row r="329" spans="1:9" x14ac:dyDescent="0.3">
      <c r="A329" s="6" t="s">
        <v>1836</v>
      </c>
      <c r="B329" t="s">
        <v>4746</v>
      </c>
      <c r="C329" s="7" t="s">
        <v>1838</v>
      </c>
      <c r="D329" s="7" t="s">
        <v>1839</v>
      </c>
      <c r="E329" s="7" t="s">
        <v>1840</v>
      </c>
      <c r="F329" s="7"/>
      <c r="G329" s="7" t="s">
        <v>125</v>
      </c>
      <c r="H329" s="7" t="s">
        <v>90</v>
      </c>
      <c r="I329">
        <v>2025</v>
      </c>
    </row>
    <row r="330" spans="1:9" x14ac:dyDescent="0.3">
      <c r="A330" s="6" t="s">
        <v>1841</v>
      </c>
      <c r="B330" t="s">
        <v>4747</v>
      </c>
      <c r="C330" s="7" t="s">
        <v>1843</v>
      </c>
      <c r="D330" s="7" t="s">
        <v>1844</v>
      </c>
      <c r="E330" s="7" t="s">
        <v>1845</v>
      </c>
      <c r="F330" s="7"/>
      <c r="G330" s="7" t="s">
        <v>125</v>
      </c>
      <c r="H330" s="7" t="s">
        <v>90</v>
      </c>
      <c r="I330">
        <v>2025</v>
      </c>
    </row>
    <row r="331" spans="1:9" x14ac:dyDescent="0.3">
      <c r="A331" s="6" t="s">
        <v>1847</v>
      </c>
      <c r="B331" t="s">
        <v>4748</v>
      </c>
      <c r="C331" s="7" t="s">
        <v>1849</v>
      </c>
      <c r="D331" s="7" t="s">
        <v>1850</v>
      </c>
      <c r="E331" s="7" t="s">
        <v>1851</v>
      </c>
      <c r="F331" s="7"/>
      <c r="G331" s="7" t="s">
        <v>125</v>
      </c>
      <c r="H331" s="7" t="s">
        <v>90</v>
      </c>
      <c r="I331">
        <v>2025</v>
      </c>
    </row>
    <row r="332" spans="1:9" x14ac:dyDescent="0.3">
      <c r="A332" s="6" t="s">
        <v>1852</v>
      </c>
      <c r="B332" t="s">
        <v>4749</v>
      </c>
      <c r="C332" s="7" t="s">
        <v>1838</v>
      </c>
      <c r="D332" s="7" t="s">
        <v>1854</v>
      </c>
      <c r="E332" s="7" t="s">
        <v>1855</v>
      </c>
      <c r="F332" s="7"/>
      <c r="G332" s="7" t="s">
        <v>125</v>
      </c>
      <c r="H332" s="7" t="s">
        <v>90</v>
      </c>
      <c r="I332">
        <v>2025</v>
      </c>
    </row>
    <row r="333" spans="1:9" ht="27.6" x14ac:dyDescent="0.3">
      <c r="A333" s="6" t="s">
        <v>1857</v>
      </c>
      <c r="B333" t="s">
        <v>4750</v>
      </c>
      <c r="C333" s="7" t="s">
        <v>1859</v>
      </c>
      <c r="D333" s="7" t="s">
        <v>1860</v>
      </c>
      <c r="E333" s="7" t="s">
        <v>1861</v>
      </c>
      <c r="F333" s="7"/>
      <c r="G333" s="7" t="s">
        <v>125</v>
      </c>
      <c r="H333" s="7" t="s">
        <v>90</v>
      </c>
      <c r="I333">
        <v>2025</v>
      </c>
    </row>
    <row r="334" spans="1:9" ht="27.6" x14ac:dyDescent="0.3">
      <c r="A334" s="6" t="s">
        <v>1862</v>
      </c>
      <c r="B334" t="s">
        <v>4751</v>
      </c>
      <c r="C334" s="7" t="s">
        <v>1864</v>
      </c>
      <c r="D334" s="7" t="s">
        <v>1865</v>
      </c>
      <c r="E334" s="7" t="s">
        <v>1866</v>
      </c>
      <c r="F334" s="7"/>
      <c r="G334" s="7" t="s">
        <v>125</v>
      </c>
      <c r="H334" s="7" t="s">
        <v>90</v>
      </c>
      <c r="I334">
        <v>2025</v>
      </c>
    </row>
    <row r="335" spans="1:9" x14ac:dyDescent="0.3">
      <c r="A335" s="6" t="s">
        <v>1868</v>
      </c>
      <c r="B335" t="s">
        <v>4752</v>
      </c>
      <c r="C335" s="7" t="s">
        <v>439</v>
      </c>
      <c r="D335" s="7" t="s">
        <v>1870</v>
      </c>
      <c r="E335" s="7" t="s">
        <v>1871</v>
      </c>
      <c r="F335" s="7"/>
      <c r="G335" s="7" t="s">
        <v>125</v>
      </c>
      <c r="H335" s="7" t="s">
        <v>90</v>
      </c>
      <c r="I335">
        <v>2025</v>
      </c>
    </row>
    <row r="336" spans="1:9" x14ac:dyDescent="0.3">
      <c r="A336" s="6" t="s">
        <v>1872</v>
      </c>
      <c r="B336" t="s">
        <v>4753</v>
      </c>
      <c r="C336" s="7" t="s">
        <v>1874</v>
      </c>
      <c r="D336" s="7" t="s">
        <v>1875</v>
      </c>
      <c r="E336" s="7"/>
      <c r="F336" s="7"/>
      <c r="G336" s="7" t="s">
        <v>125</v>
      </c>
      <c r="H336" s="7" t="s">
        <v>90</v>
      </c>
      <c r="I336">
        <v>2025</v>
      </c>
    </row>
    <row r="337" spans="1:9" x14ac:dyDescent="0.3">
      <c r="A337" s="6" t="s">
        <v>1876</v>
      </c>
      <c r="B337" t="s">
        <v>4754</v>
      </c>
      <c r="C337" s="7" t="s">
        <v>1016</v>
      </c>
      <c r="D337" s="7" t="s">
        <v>1878</v>
      </c>
      <c r="E337" s="7" t="s">
        <v>1879</v>
      </c>
      <c r="F337" s="7"/>
      <c r="G337" s="7" t="s">
        <v>125</v>
      </c>
      <c r="H337" s="7" t="s">
        <v>90</v>
      </c>
      <c r="I337">
        <v>2025</v>
      </c>
    </row>
    <row r="338" spans="1:9" x14ac:dyDescent="0.3">
      <c r="A338" s="6" t="s">
        <v>1882</v>
      </c>
      <c r="B338" t="s">
        <v>4755</v>
      </c>
      <c r="C338" s="7" t="s">
        <v>1884</v>
      </c>
      <c r="D338" s="7" t="s">
        <v>1885</v>
      </c>
      <c r="E338" s="7" t="s">
        <v>1886</v>
      </c>
      <c r="F338" s="7"/>
      <c r="G338" s="7" t="s">
        <v>125</v>
      </c>
      <c r="H338" s="7" t="s">
        <v>90</v>
      </c>
      <c r="I338">
        <v>2025</v>
      </c>
    </row>
    <row r="339" spans="1:9" ht="27.6" x14ac:dyDescent="0.3">
      <c r="A339" s="6" t="s">
        <v>1888</v>
      </c>
      <c r="B339" t="s">
        <v>4870</v>
      </c>
      <c r="C339" s="7" t="s">
        <v>1891</v>
      </c>
      <c r="D339" s="7" t="s">
        <v>1892</v>
      </c>
      <c r="E339" s="7" t="s">
        <v>1893</v>
      </c>
      <c r="F339" s="7"/>
      <c r="G339" s="7" t="s">
        <v>125</v>
      </c>
      <c r="H339" s="7" t="s">
        <v>90</v>
      </c>
      <c r="I339">
        <v>2025</v>
      </c>
    </row>
    <row r="340" spans="1:9" x14ac:dyDescent="0.3">
      <c r="A340" s="6" t="s">
        <v>1894</v>
      </c>
      <c r="B340" t="s">
        <v>4871</v>
      </c>
      <c r="C340" s="7" t="s">
        <v>1896</v>
      </c>
      <c r="D340" s="7" t="s">
        <v>1897</v>
      </c>
      <c r="E340" s="7" t="s">
        <v>1898</v>
      </c>
      <c r="F340" s="7"/>
      <c r="G340" s="7" t="s">
        <v>125</v>
      </c>
      <c r="H340" s="7" t="s">
        <v>90</v>
      </c>
      <c r="I340">
        <v>2025</v>
      </c>
    </row>
    <row r="341" spans="1:9" x14ac:dyDescent="0.3">
      <c r="A341" s="6" t="s">
        <v>1899</v>
      </c>
      <c r="B341" t="s">
        <v>4872</v>
      </c>
      <c r="C341" s="7" t="s">
        <v>1901</v>
      </c>
      <c r="D341" s="7" t="s">
        <v>972</v>
      </c>
      <c r="E341" s="7" t="s">
        <v>1902</v>
      </c>
      <c r="F341" s="7"/>
      <c r="G341" s="7" t="s">
        <v>125</v>
      </c>
      <c r="H341" s="7" t="s">
        <v>90</v>
      </c>
      <c r="I341">
        <v>2025</v>
      </c>
    </row>
    <row r="342" spans="1:9" x14ac:dyDescent="0.3">
      <c r="A342" s="6" t="s">
        <v>1903</v>
      </c>
      <c r="B342" t="s">
        <v>4873</v>
      </c>
      <c r="C342" s="7" t="s">
        <v>349</v>
      </c>
      <c r="D342" s="7" t="s">
        <v>826</v>
      </c>
      <c r="E342" s="7" t="s">
        <v>1905</v>
      </c>
      <c r="F342" s="7"/>
      <c r="G342" s="7" t="s">
        <v>125</v>
      </c>
      <c r="H342" s="7" t="s">
        <v>90</v>
      </c>
      <c r="I342">
        <v>2025</v>
      </c>
    </row>
    <row r="343" spans="1:9" x14ac:dyDescent="0.3">
      <c r="A343" s="6" t="s">
        <v>1906</v>
      </c>
      <c r="B343" t="s">
        <v>4874</v>
      </c>
      <c r="C343" s="7" t="s">
        <v>1908</v>
      </c>
      <c r="D343" s="7" t="s">
        <v>1909</v>
      </c>
      <c r="E343" s="7" t="s">
        <v>1910</v>
      </c>
      <c r="F343" s="7"/>
      <c r="G343" s="7" t="s">
        <v>125</v>
      </c>
      <c r="H343" s="7" t="s">
        <v>90</v>
      </c>
      <c r="I343">
        <v>2025</v>
      </c>
    </row>
    <row r="344" spans="1:9" x14ac:dyDescent="0.3">
      <c r="A344" s="6" t="s">
        <v>1911</v>
      </c>
      <c r="B344" t="s">
        <v>4875</v>
      </c>
      <c r="C344" s="7" t="s">
        <v>1913</v>
      </c>
      <c r="D344" s="7" t="s">
        <v>1834</v>
      </c>
      <c r="E344" s="7" t="s">
        <v>1914</v>
      </c>
      <c r="F344" s="7"/>
      <c r="G344" s="7" t="s">
        <v>125</v>
      </c>
      <c r="H344" s="7" t="s">
        <v>90</v>
      </c>
      <c r="I344">
        <v>2025</v>
      </c>
    </row>
    <row r="345" spans="1:9" x14ac:dyDescent="0.3">
      <c r="A345" s="6" t="s">
        <v>1915</v>
      </c>
      <c r="B345" t="s">
        <v>4876</v>
      </c>
      <c r="C345" s="7" t="s">
        <v>458</v>
      </c>
      <c r="D345" s="7" t="s">
        <v>1457</v>
      </c>
      <c r="E345" s="7" t="s">
        <v>1917</v>
      </c>
      <c r="F345" s="7"/>
      <c r="G345" s="7" t="s">
        <v>125</v>
      </c>
      <c r="H345" s="7" t="s">
        <v>90</v>
      </c>
      <c r="I345">
        <v>2025</v>
      </c>
    </row>
    <row r="346" spans="1:9" x14ac:dyDescent="0.3">
      <c r="A346" s="6" t="s">
        <v>1918</v>
      </c>
      <c r="B346" t="s">
        <v>4877</v>
      </c>
      <c r="C346" s="7" t="s">
        <v>697</v>
      </c>
      <c r="D346" s="7" t="s">
        <v>226</v>
      </c>
      <c r="E346" s="7" t="s">
        <v>1920</v>
      </c>
      <c r="F346" s="7"/>
      <c r="G346" s="7" t="s">
        <v>125</v>
      </c>
      <c r="H346" s="7" t="s">
        <v>90</v>
      </c>
      <c r="I346">
        <v>2025</v>
      </c>
    </row>
    <row r="347" spans="1:9" x14ac:dyDescent="0.3">
      <c r="A347" s="6" t="s">
        <v>1922</v>
      </c>
      <c r="B347" t="s">
        <v>4878</v>
      </c>
      <c r="C347" s="7" t="s">
        <v>1924</v>
      </c>
      <c r="D347" s="7" t="s">
        <v>939</v>
      </c>
      <c r="E347" s="7" t="s">
        <v>1925</v>
      </c>
      <c r="F347" s="7"/>
      <c r="G347" s="7" t="s">
        <v>125</v>
      </c>
      <c r="H347" s="7" t="s">
        <v>90</v>
      </c>
      <c r="I347">
        <v>2025</v>
      </c>
    </row>
    <row r="348" spans="1:9" x14ac:dyDescent="0.3">
      <c r="A348" s="6" t="s">
        <v>1926</v>
      </c>
      <c r="B348" t="s">
        <v>4879</v>
      </c>
      <c r="C348" s="7" t="s">
        <v>1928</v>
      </c>
      <c r="D348" s="7" t="s">
        <v>1929</v>
      </c>
      <c r="E348" s="7" t="s">
        <v>1930</v>
      </c>
      <c r="F348" s="7"/>
      <c r="G348" s="7" t="s">
        <v>125</v>
      </c>
      <c r="H348" s="7" t="s">
        <v>90</v>
      </c>
      <c r="I348">
        <v>2025</v>
      </c>
    </row>
    <row r="349" spans="1:9" x14ac:dyDescent="0.3">
      <c r="A349" s="6" t="s">
        <v>1931</v>
      </c>
      <c r="B349" t="s">
        <v>4880</v>
      </c>
      <c r="C349" s="7" t="s">
        <v>1933</v>
      </c>
      <c r="D349" s="7" t="s">
        <v>1934</v>
      </c>
      <c r="E349" s="7" t="s">
        <v>1935</v>
      </c>
      <c r="F349" s="7"/>
      <c r="G349" s="7" t="s">
        <v>125</v>
      </c>
      <c r="H349" s="7" t="s">
        <v>90</v>
      </c>
      <c r="I349">
        <v>2025</v>
      </c>
    </row>
    <row r="350" spans="1:9" x14ac:dyDescent="0.3">
      <c r="A350" s="6" t="s">
        <v>1937</v>
      </c>
      <c r="B350" t="s">
        <v>4881</v>
      </c>
      <c r="C350" s="7" t="s">
        <v>1933</v>
      </c>
      <c r="D350" s="7" t="s">
        <v>259</v>
      </c>
      <c r="E350" s="7" t="s">
        <v>1939</v>
      </c>
      <c r="F350" s="7"/>
      <c r="G350" s="7" t="s">
        <v>125</v>
      </c>
      <c r="H350" s="7" t="s">
        <v>90</v>
      </c>
      <c r="I350">
        <v>2025</v>
      </c>
    </row>
    <row r="351" spans="1:9" x14ac:dyDescent="0.3">
      <c r="A351" s="6" t="s">
        <v>1940</v>
      </c>
      <c r="B351" t="s">
        <v>4882</v>
      </c>
      <c r="C351" s="7" t="s">
        <v>334</v>
      </c>
      <c r="D351" s="7" t="s">
        <v>1942</v>
      </c>
      <c r="E351" s="7" t="s">
        <v>1943</v>
      </c>
      <c r="F351" s="7"/>
      <c r="G351" s="7" t="s">
        <v>125</v>
      </c>
      <c r="H351" s="7" t="s">
        <v>90</v>
      </c>
      <c r="I351">
        <v>2025</v>
      </c>
    </row>
    <row r="352" spans="1:9" x14ac:dyDescent="0.3">
      <c r="A352" s="6" t="s">
        <v>1944</v>
      </c>
      <c r="B352" t="s">
        <v>4883</v>
      </c>
      <c r="C352" s="7" t="s">
        <v>1946</v>
      </c>
      <c r="D352" s="7" t="s">
        <v>1457</v>
      </c>
      <c r="E352" s="7" t="s">
        <v>1947</v>
      </c>
      <c r="F352" s="7"/>
      <c r="G352" s="7" t="s">
        <v>125</v>
      </c>
      <c r="H352" s="7" t="s">
        <v>90</v>
      </c>
      <c r="I352">
        <v>2025</v>
      </c>
    </row>
    <row r="353" spans="1:9" x14ac:dyDescent="0.3">
      <c r="A353" s="6" t="s">
        <v>1948</v>
      </c>
      <c r="B353" t="s">
        <v>4884</v>
      </c>
      <c r="C353" s="7" t="s">
        <v>1950</v>
      </c>
      <c r="D353" s="7" t="s">
        <v>1951</v>
      </c>
      <c r="E353" s="7" t="s">
        <v>1952</v>
      </c>
      <c r="F353" s="7"/>
      <c r="G353" s="7" t="s">
        <v>125</v>
      </c>
      <c r="H353" s="7" t="s">
        <v>90</v>
      </c>
      <c r="I353">
        <v>2025</v>
      </c>
    </row>
    <row r="354" spans="1:9" x14ac:dyDescent="0.3">
      <c r="A354" s="6" t="s">
        <v>1954</v>
      </c>
      <c r="B354" t="s">
        <v>4885</v>
      </c>
      <c r="C354" s="7" t="s">
        <v>1573</v>
      </c>
      <c r="D354" s="7" t="s">
        <v>1834</v>
      </c>
      <c r="E354" s="7" t="s">
        <v>1957</v>
      </c>
      <c r="F354" s="7"/>
      <c r="G354" s="7" t="s">
        <v>125</v>
      </c>
      <c r="H354" s="7" t="s">
        <v>90</v>
      </c>
      <c r="I354">
        <v>2025</v>
      </c>
    </row>
    <row r="355" spans="1:9" ht="27.6" x14ac:dyDescent="0.3">
      <c r="A355" s="6" t="s">
        <v>1958</v>
      </c>
      <c r="B355" t="s">
        <v>4886</v>
      </c>
      <c r="C355" s="7" t="s">
        <v>1960</v>
      </c>
      <c r="D355" s="7" t="s">
        <v>1961</v>
      </c>
      <c r="E355" s="7" t="s">
        <v>1962</v>
      </c>
      <c r="F355" s="7"/>
      <c r="G355" s="7" t="s">
        <v>125</v>
      </c>
      <c r="H355" s="7" t="s">
        <v>90</v>
      </c>
      <c r="I355">
        <v>2025</v>
      </c>
    </row>
    <row r="356" spans="1:9" x14ac:dyDescent="0.3">
      <c r="A356" s="6" t="s">
        <v>1963</v>
      </c>
      <c r="B356" t="s">
        <v>4887</v>
      </c>
      <c r="C356" s="7" t="s">
        <v>687</v>
      </c>
      <c r="D356" s="7" t="s">
        <v>1965</v>
      </c>
      <c r="E356" s="7" t="s">
        <v>1966</v>
      </c>
      <c r="F356" s="7"/>
      <c r="G356" s="7" t="s">
        <v>125</v>
      </c>
      <c r="H356" s="7" t="s">
        <v>90</v>
      </c>
      <c r="I356">
        <v>2025</v>
      </c>
    </row>
    <row r="357" spans="1:9" x14ac:dyDescent="0.3">
      <c r="A357" s="6" t="s">
        <v>1967</v>
      </c>
      <c r="B357" t="s">
        <v>4888</v>
      </c>
      <c r="C357" s="7" t="s">
        <v>1969</v>
      </c>
      <c r="D357" s="7" t="s">
        <v>772</v>
      </c>
      <c r="E357" s="7" t="s">
        <v>1970</v>
      </c>
      <c r="F357" s="7"/>
      <c r="G357" s="7" t="s">
        <v>125</v>
      </c>
      <c r="H357" s="7" t="s">
        <v>90</v>
      </c>
      <c r="I357">
        <v>2025</v>
      </c>
    </row>
    <row r="358" spans="1:9" x14ac:dyDescent="0.3">
      <c r="A358" s="6" t="s">
        <v>1971</v>
      </c>
      <c r="B358" t="s">
        <v>4889</v>
      </c>
      <c r="C358" s="7" t="s">
        <v>587</v>
      </c>
      <c r="D358" s="7" t="s">
        <v>1973</v>
      </c>
      <c r="E358" s="7" t="s">
        <v>1974</v>
      </c>
      <c r="F358" s="7"/>
      <c r="G358" s="7" t="s">
        <v>125</v>
      </c>
      <c r="H358" s="7" t="s">
        <v>90</v>
      </c>
      <c r="I358">
        <v>2025</v>
      </c>
    </row>
    <row r="359" spans="1:9" x14ac:dyDescent="0.3">
      <c r="A359" s="6" t="s">
        <v>1976</v>
      </c>
      <c r="B359" t="s">
        <v>4890</v>
      </c>
      <c r="C359" s="7" t="s">
        <v>658</v>
      </c>
      <c r="D359" s="7" t="s">
        <v>335</v>
      </c>
      <c r="E359" s="7" t="s">
        <v>1978</v>
      </c>
      <c r="F359" s="7"/>
      <c r="G359" s="7" t="s">
        <v>125</v>
      </c>
      <c r="H359" s="7" t="s">
        <v>90</v>
      </c>
      <c r="I359">
        <v>2025</v>
      </c>
    </row>
    <row r="360" spans="1:9" x14ac:dyDescent="0.3">
      <c r="A360" s="6" t="s">
        <v>1979</v>
      </c>
      <c r="B360" t="s">
        <v>4891</v>
      </c>
      <c r="C360" s="7" t="s">
        <v>1981</v>
      </c>
      <c r="D360" s="7" t="s">
        <v>892</v>
      </c>
      <c r="E360" s="7" t="s">
        <v>1982</v>
      </c>
      <c r="F360" s="7"/>
      <c r="G360" s="7" t="s">
        <v>125</v>
      </c>
      <c r="H360" s="7" t="s">
        <v>90</v>
      </c>
      <c r="I360">
        <v>2025</v>
      </c>
    </row>
    <row r="361" spans="1:9" x14ac:dyDescent="0.3">
      <c r="A361" s="6" t="s">
        <v>1984</v>
      </c>
      <c r="B361" t="s">
        <v>4562</v>
      </c>
      <c r="C361" s="7" t="s">
        <v>1987</v>
      </c>
      <c r="D361" s="7" t="s">
        <v>534</v>
      </c>
      <c r="E361" s="7" t="s">
        <v>1988</v>
      </c>
      <c r="F361" s="7"/>
      <c r="G361" s="7" t="s">
        <v>125</v>
      </c>
      <c r="H361" s="7" t="s">
        <v>90</v>
      </c>
      <c r="I361">
        <v>2025</v>
      </c>
    </row>
    <row r="362" spans="1:9" x14ac:dyDescent="0.3">
      <c r="A362" s="6" t="s">
        <v>1989</v>
      </c>
      <c r="B362" t="s">
        <v>4563</v>
      </c>
      <c r="C362" s="7" t="s">
        <v>1991</v>
      </c>
      <c r="D362" s="7" t="s">
        <v>1992</v>
      </c>
      <c r="E362" s="7" t="s">
        <v>1993</v>
      </c>
      <c r="F362" s="7"/>
      <c r="G362" s="7" t="s">
        <v>125</v>
      </c>
      <c r="H362" s="7" t="s">
        <v>90</v>
      </c>
      <c r="I362">
        <v>2025</v>
      </c>
    </row>
    <row r="363" spans="1:9" x14ac:dyDescent="0.3">
      <c r="A363" s="6" t="s">
        <v>1995</v>
      </c>
      <c r="B363" t="s">
        <v>4564</v>
      </c>
      <c r="C363" s="7" t="s">
        <v>379</v>
      </c>
      <c r="D363" s="7" t="s">
        <v>1997</v>
      </c>
      <c r="E363" s="7" t="s">
        <v>1998</v>
      </c>
      <c r="F363" s="7"/>
      <c r="G363" s="7" t="s">
        <v>125</v>
      </c>
      <c r="H363" s="7" t="s">
        <v>90</v>
      </c>
      <c r="I363">
        <v>2025</v>
      </c>
    </row>
    <row r="364" spans="1:9" x14ac:dyDescent="0.3">
      <c r="A364" s="6" t="s">
        <v>1999</v>
      </c>
      <c r="B364" t="s">
        <v>4565</v>
      </c>
      <c r="C364" s="7" t="s">
        <v>2001</v>
      </c>
      <c r="D364" s="7" t="s">
        <v>546</v>
      </c>
      <c r="E364" s="7" t="s">
        <v>2002</v>
      </c>
      <c r="F364" s="7"/>
      <c r="G364" s="7" t="s">
        <v>125</v>
      </c>
      <c r="H364" s="7" t="s">
        <v>90</v>
      </c>
      <c r="I364">
        <v>2025</v>
      </c>
    </row>
    <row r="365" spans="1:9" x14ac:dyDescent="0.3">
      <c r="A365" s="6" t="s">
        <v>2003</v>
      </c>
      <c r="B365" t="s">
        <v>4892</v>
      </c>
      <c r="C365" s="7" t="s">
        <v>2005</v>
      </c>
      <c r="D365" s="7" t="s">
        <v>1934</v>
      </c>
      <c r="E365" s="7" t="s">
        <v>2006</v>
      </c>
      <c r="F365" s="7"/>
      <c r="G365" s="7" t="s">
        <v>125</v>
      </c>
      <c r="H365" s="7" t="s">
        <v>90</v>
      </c>
      <c r="I365">
        <v>2025</v>
      </c>
    </row>
    <row r="366" spans="1:9" x14ac:dyDescent="0.3">
      <c r="A366" s="6" t="s">
        <v>2007</v>
      </c>
      <c r="B366" t="s">
        <v>4893</v>
      </c>
      <c r="C366" s="7" t="s">
        <v>2009</v>
      </c>
      <c r="D366" s="7" t="s">
        <v>1384</v>
      </c>
      <c r="E366" s="7" t="s">
        <v>2010</v>
      </c>
      <c r="F366" s="7"/>
      <c r="G366" s="7" t="s">
        <v>125</v>
      </c>
      <c r="H366" s="7" t="s">
        <v>90</v>
      </c>
      <c r="I366">
        <v>2025</v>
      </c>
    </row>
    <row r="367" spans="1:9" x14ac:dyDescent="0.3">
      <c r="A367" s="6" t="s">
        <v>2011</v>
      </c>
      <c r="B367" t="s">
        <v>4894</v>
      </c>
      <c r="C367" s="7" t="s">
        <v>2013</v>
      </c>
      <c r="D367" s="7" t="s">
        <v>2014</v>
      </c>
      <c r="E367" s="7" t="s">
        <v>2015</v>
      </c>
      <c r="F367" s="7"/>
      <c r="G367" s="7" t="s">
        <v>125</v>
      </c>
      <c r="H367" s="7" t="s">
        <v>90</v>
      </c>
      <c r="I367">
        <v>2025</v>
      </c>
    </row>
    <row r="368" spans="1:9" x14ac:dyDescent="0.3">
      <c r="A368" s="6" t="s">
        <v>2016</v>
      </c>
      <c r="B368" t="s">
        <v>4895</v>
      </c>
      <c r="C368" s="7" t="s">
        <v>2018</v>
      </c>
      <c r="D368" s="7" t="s">
        <v>2019</v>
      </c>
      <c r="E368" s="7" t="s">
        <v>2020</v>
      </c>
      <c r="F368" s="7"/>
      <c r="G368" s="7" t="s">
        <v>125</v>
      </c>
      <c r="H368" s="7" t="s">
        <v>90</v>
      </c>
      <c r="I368">
        <v>2025</v>
      </c>
    </row>
    <row r="369" spans="1:9" x14ac:dyDescent="0.3">
      <c r="A369" s="6" t="s">
        <v>2021</v>
      </c>
      <c r="B369" t="s">
        <v>4896</v>
      </c>
      <c r="C369" s="7" t="s">
        <v>2023</v>
      </c>
      <c r="D369" s="7" t="s">
        <v>2024</v>
      </c>
      <c r="E369" s="7" t="s">
        <v>2025</v>
      </c>
      <c r="F369" s="7"/>
      <c r="G369" s="7" t="s">
        <v>125</v>
      </c>
      <c r="H369" s="7" t="s">
        <v>90</v>
      </c>
      <c r="I369">
        <v>2025</v>
      </c>
    </row>
    <row r="370" spans="1:9" x14ac:dyDescent="0.3">
      <c r="A370" s="6" t="s">
        <v>2026</v>
      </c>
      <c r="B370" t="s">
        <v>4897</v>
      </c>
      <c r="C370" s="7" t="s">
        <v>2023</v>
      </c>
      <c r="D370" s="7" t="s">
        <v>2028</v>
      </c>
      <c r="E370" s="7" t="s">
        <v>2029</v>
      </c>
      <c r="F370" s="7"/>
      <c r="G370" s="7" t="s">
        <v>125</v>
      </c>
      <c r="H370" s="7" t="s">
        <v>90</v>
      </c>
      <c r="I370">
        <v>2025</v>
      </c>
    </row>
    <row r="371" spans="1:9" x14ac:dyDescent="0.3">
      <c r="A371" s="6" t="s">
        <v>2030</v>
      </c>
      <c r="B371" t="s">
        <v>4898</v>
      </c>
      <c r="C371" s="7" t="s">
        <v>2032</v>
      </c>
      <c r="D371" s="7" t="s">
        <v>373</v>
      </c>
      <c r="E371" s="7" t="s">
        <v>2033</v>
      </c>
      <c r="F371" s="7"/>
      <c r="G371" s="7" t="s">
        <v>125</v>
      </c>
      <c r="H371" s="7" t="s">
        <v>90</v>
      </c>
      <c r="I371">
        <v>2025</v>
      </c>
    </row>
    <row r="372" spans="1:9" x14ac:dyDescent="0.3">
      <c r="A372" s="6" t="s">
        <v>2034</v>
      </c>
      <c r="B372" t="s">
        <v>4899</v>
      </c>
      <c r="C372" s="7" t="s">
        <v>2036</v>
      </c>
      <c r="D372" s="7" t="s">
        <v>2037</v>
      </c>
      <c r="E372" s="7" t="s">
        <v>2038</v>
      </c>
      <c r="F372" s="7"/>
      <c r="G372" s="7" t="s">
        <v>125</v>
      </c>
      <c r="H372" s="7" t="s">
        <v>90</v>
      </c>
      <c r="I372">
        <v>2025</v>
      </c>
    </row>
    <row r="373" spans="1:9" x14ac:dyDescent="0.3">
      <c r="A373" s="6" t="s">
        <v>2040</v>
      </c>
      <c r="B373" t="s">
        <v>4900</v>
      </c>
      <c r="C373" s="7" t="s">
        <v>2042</v>
      </c>
      <c r="D373" s="7" t="s">
        <v>2043</v>
      </c>
      <c r="E373" s="7" t="s">
        <v>2044</v>
      </c>
      <c r="F373" s="7"/>
      <c r="G373" s="7" t="s">
        <v>125</v>
      </c>
      <c r="H373" s="7" t="s">
        <v>90</v>
      </c>
      <c r="I373">
        <v>2025</v>
      </c>
    </row>
    <row r="374" spans="1:9" x14ac:dyDescent="0.3">
      <c r="A374" s="6" t="s">
        <v>2047</v>
      </c>
      <c r="B374" t="s">
        <v>4901</v>
      </c>
      <c r="C374" s="7" t="s">
        <v>567</v>
      </c>
      <c r="D374" s="7" t="s">
        <v>2050</v>
      </c>
      <c r="E374" s="7" t="s">
        <v>2051</v>
      </c>
      <c r="F374" s="7"/>
      <c r="G374" s="7" t="s">
        <v>125</v>
      </c>
      <c r="H374" s="7" t="s">
        <v>90</v>
      </c>
      <c r="I374">
        <v>2025</v>
      </c>
    </row>
    <row r="375" spans="1:9" x14ac:dyDescent="0.3">
      <c r="A375" s="6" t="s">
        <v>2052</v>
      </c>
      <c r="B375" t="s">
        <v>4902</v>
      </c>
      <c r="C375" s="7" t="s">
        <v>2054</v>
      </c>
      <c r="D375" s="7" t="s">
        <v>312</v>
      </c>
      <c r="E375" s="7" t="s">
        <v>2055</v>
      </c>
      <c r="F375" s="7"/>
      <c r="G375" s="7" t="s">
        <v>125</v>
      </c>
      <c r="H375" s="7" t="s">
        <v>90</v>
      </c>
      <c r="I375">
        <v>2025</v>
      </c>
    </row>
    <row r="376" spans="1:9" x14ac:dyDescent="0.3">
      <c r="A376" s="6" t="s">
        <v>2056</v>
      </c>
      <c r="B376" t="s">
        <v>4906</v>
      </c>
      <c r="C376" s="7" t="s">
        <v>2058</v>
      </c>
      <c r="D376" s="7" t="s">
        <v>2059</v>
      </c>
      <c r="E376" s="7" t="s">
        <v>2060</v>
      </c>
      <c r="F376" s="7"/>
      <c r="G376" s="7" t="s">
        <v>125</v>
      </c>
      <c r="H376" s="7" t="s">
        <v>90</v>
      </c>
      <c r="I376">
        <v>2025</v>
      </c>
    </row>
    <row r="377" spans="1:9" x14ac:dyDescent="0.3">
      <c r="A377" s="6" t="s">
        <v>2061</v>
      </c>
      <c r="B377" t="s">
        <v>4907</v>
      </c>
      <c r="C377" s="7" t="s">
        <v>2063</v>
      </c>
      <c r="D377" s="7" t="s">
        <v>2064</v>
      </c>
      <c r="E377" s="7" t="s">
        <v>2065</v>
      </c>
      <c r="F377" s="7"/>
      <c r="G377" s="7" t="s">
        <v>125</v>
      </c>
      <c r="H377" s="7" t="s">
        <v>90</v>
      </c>
      <c r="I377">
        <v>2025</v>
      </c>
    </row>
    <row r="378" spans="1:9" x14ac:dyDescent="0.3">
      <c r="A378" s="6" t="s">
        <v>2066</v>
      </c>
      <c r="B378" t="s">
        <v>4908</v>
      </c>
      <c r="C378" s="7" t="s">
        <v>620</v>
      </c>
      <c r="D378" s="7" t="s">
        <v>2068</v>
      </c>
      <c r="E378" s="7" t="s">
        <v>2069</v>
      </c>
      <c r="F378" s="7"/>
      <c r="G378" s="7" t="s">
        <v>125</v>
      </c>
      <c r="H378" s="7" t="s">
        <v>90</v>
      </c>
      <c r="I378">
        <v>2025</v>
      </c>
    </row>
    <row r="379" spans="1:9" ht="27.6" x14ac:dyDescent="0.3">
      <c r="A379" s="6" t="s">
        <v>2070</v>
      </c>
      <c r="B379" t="s">
        <v>4909</v>
      </c>
      <c r="C379" s="7" t="s">
        <v>2072</v>
      </c>
      <c r="D379" s="7" t="s">
        <v>2073</v>
      </c>
      <c r="E379" s="7" t="s">
        <v>2069</v>
      </c>
      <c r="F379" s="7"/>
      <c r="G379" s="7" t="s">
        <v>125</v>
      </c>
      <c r="H379" s="7" t="s">
        <v>90</v>
      </c>
      <c r="I379">
        <v>2025</v>
      </c>
    </row>
    <row r="380" spans="1:9" x14ac:dyDescent="0.3">
      <c r="A380" s="6" t="s">
        <v>2075</v>
      </c>
      <c r="B380" t="s">
        <v>4910</v>
      </c>
      <c r="C380" s="7" t="s">
        <v>284</v>
      </c>
      <c r="D380" s="7" t="s">
        <v>524</v>
      </c>
      <c r="E380" s="7" t="s">
        <v>2077</v>
      </c>
      <c r="F380" s="7"/>
      <c r="G380" s="7" t="s">
        <v>125</v>
      </c>
      <c r="H380" s="7" t="s">
        <v>90</v>
      </c>
      <c r="I380">
        <v>2025</v>
      </c>
    </row>
    <row r="381" spans="1:9" x14ac:dyDescent="0.3">
      <c r="A381" s="6" t="s">
        <v>2078</v>
      </c>
      <c r="B381" t="s">
        <v>4911</v>
      </c>
      <c r="C381" s="7" t="s">
        <v>2080</v>
      </c>
      <c r="D381" s="7" t="s">
        <v>2081</v>
      </c>
      <c r="E381" s="7"/>
      <c r="F381" s="7"/>
      <c r="G381" s="7" t="s">
        <v>125</v>
      </c>
      <c r="H381" s="7" t="s">
        <v>90</v>
      </c>
      <c r="I381">
        <v>2025</v>
      </c>
    </row>
    <row r="382" spans="1:9" x14ac:dyDescent="0.3">
      <c r="A382" s="6" t="s">
        <v>2082</v>
      </c>
      <c r="B382" t="s">
        <v>4912</v>
      </c>
      <c r="C382" s="7" t="s">
        <v>2080</v>
      </c>
      <c r="D382" s="7" t="s">
        <v>2084</v>
      </c>
      <c r="E382" s="7" t="s">
        <v>2085</v>
      </c>
      <c r="F382" s="7"/>
      <c r="G382" s="7" t="s">
        <v>125</v>
      </c>
      <c r="H382" s="7" t="s">
        <v>90</v>
      </c>
      <c r="I382">
        <v>2025</v>
      </c>
    </row>
    <row r="383" spans="1:9" x14ac:dyDescent="0.3">
      <c r="A383" s="6" t="s">
        <v>2086</v>
      </c>
      <c r="B383" t="s">
        <v>4913</v>
      </c>
      <c r="C383" s="7" t="s">
        <v>2088</v>
      </c>
      <c r="D383" s="7" t="s">
        <v>2089</v>
      </c>
      <c r="E383" s="7" t="s">
        <v>2090</v>
      </c>
      <c r="F383" s="7"/>
      <c r="G383" s="7" t="s">
        <v>125</v>
      </c>
      <c r="H383" s="7" t="s">
        <v>90</v>
      </c>
      <c r="I383">
        <v>2025</v>
      </c>
    </row>
    <row r="384" spans="1:9" ht="27.6" x14ac:dyDescent="0.3">
      <c r="A384" s="6" t="s">
        <v>2091</v>
      </c>
      <c r="B384" t="s">
        <v>4914</v>
      </c>
      <c r="C384" s="7" t="s">
        <v>311</v>
      </c>
      <c r="D384" s="7" t="s">
        <v>2093</v>
      </c>
      <c r="E384" s="7" t="s">
        <v>2094</v>
      </c>
      <c r="F384" s="7"/>
      <c r="G384" s="7" t="s">
        <v>125</v>
      </c>
      <c r="H384" s="7" t="s">
        <v>90</v>
      </c>
      <c r="I384">
        <v>2025</v>
      </c>
    </row>
    <row r="385" spans="1:9" x14ac:dyDescent="0.3">
      <c r="A385" s="6" t="s">
        <v>2095</v>
      </c>
      <c r="B385" t="s">
        <v>4915</v>
      </c>
      <c r="C385" s="7" t="s">
        <v>311</v>
      </c>
      <c r="D385" s="7" t="s">
        <v>2097</v>
      </c>
      <c r="E385" s="7" t="s">
        <v>2098</v>
      </c>
      <c r="F385" s="7"/>
      <c r="G385" s="7" t="s">
        <v>125</v>
      </c>
      <c r="H385" s="7" t="s">
        <v>90</v>
      </c>
      <c r="I385">
        <v>2025</v>
      </c>
    </row>
    <row r="386" spans="1:9" x14ac:dyDescent="0.3">
      <c r="A386" s="6" t="s">
        <v>2099</v>
      </c>
      <c r="B386" t="s">
        <v>4916</v>
      </c>
      <c r="C386" s="7" t="s">
        <v>2101</v>
      </c>
      <c r="D386" s="7" t="s">
        <v>1973</v>
      </c>
      <c r="E386" s="7" t="s">
        <v>2102</v>
      </c>
      <c r="F386" s="7"/>
      <c r="G386" s="7" t="s">
        <v>125</v>
      </c>
      <c r="H386" s="7" t="s">
        <v>90</v>
      </c>
      <c r="I386">
        <v>2025</v>
      </c>
    </row>
    <row r="387" spans="1:9" x14ac:dyDescent="0.3">
      <c r="A387" s="6" t="s">
        <v>2103</v>
      </c>
      <c r="B387" t="s">
        <v>4917</v>
      </c>
      <c r="C387" s="7" t="s">
        <v>2105</v>
      </c>
      <c r="D387" s="7" t="s">
        <v>2106</v>
      </c>
      <c r="E387" s="7" t="s">
        <v>2107</v>
      </c>
      <c r="F387" s="7"/>
      <c r="G387" s="7" t="s">
        <v>125</v>
      </c>
      <c r="H387" s="7" t="s">
        <v>90</v>
      </c>
      <c r="I387">
        <v>2025</v>
      </c>
    </row>
    <row r="388" spans="1:9" x14ac:dyDescent="0.3">
      <c r="A388" s="6" t="s">
        <v>2110</v>
      </c>
      <c r="B388" t="s">
        <v>4918</v>
      </c>
      <c r="C388" s="7" t="s">
        <v>2112</v>
      </c>
      <c r="D388" s="7" t="s">
        <v>1850</v>
      </c>
      <c r="E388" s="7" t="s">
        <v>2113</v>
      </c>
      <c r="F388" s="7"/>
      <c r="G388" s="7" t="s">
        <v>125</v>
      </c>
      <c r="H388" s="7" t="s">
        <v>90</v>
      </c>
      <c r="I388">
        <v>2025</v>
      </c>
    </row>
    <row r="389" spans="1:9" x14ac:dyDescent="0.3">
      <c r="A389" s="6" t="s">
        <v>2115</v>
      </c>
      <c r="B389" t="s">
        <v>4919</v>
      </c>
      <c r="C389" s="7" t="s">
        <v>2118</v>
      </c>
      <c r="D389" s="7" t="s">
        <v>2119</v>
      </c>
      <c r="E389" s="7" t="s">
        <v>2120</v>
      </c>
      <c r="F389" s="7"/>
      <c r="G389" s="7" t="s">
        <v>125</v>
      </c>
      <c r="H389" s="7" t="s">
        <v>90</v>
      </c>
      <c r="I389">
        <v>2025</v>
      </c>
    </row>
    <row r="390" spans="1:9" x14ac:dyDescent="0.3">
      <c r="A390" s="6" t="s">
        <v>2121</v>
      </c>
      <c r="B390" t="s">
        <v>4920</v>
      </c>
      <c r="C390" s="7" t="s">
        <v>2123</v>
      </c>
      <c r="D390" s="7" t="s">
        <v>1751</v>
      </c>
      <c r="E390" s="7" t="s">
        <v>2124</v>
      </c>
      <c r="F390" s="7"/>
      <c r="G390" s="7" t="s">
        <v>125</v>
      </c>
      <c r="H390" s="7" t="s">
        <v>90</v>
      </c>
      <c r="I390">
        <v>2025</v>
      </c>
    </row>
    <row r="391" spans="1:9" ht="27.6" x14ac:dyDescent="0.3">
      <c r="A391" s="6" t="s">
        <v>2125</v>
      </c>
      <c r="B391" t="s">
        <v>4921</v>
      </c>
      <c r="C391" s="7" t="s">
        <v>2127</v>
      </c>
      <c r="D391" s="7" t="s">
        <v>2128</v>
      </c>
      <c r="E391" s="7" t="s">
        <v>2129</v>
      </c>
      <c r="F391" s="7"/>
      <c r="G391" s="7" t="s">
        <v>125</v>
      </c>
      <c r="H391" s="7" t="s">
        <v>90</v>
      </c>
      <c r="I391">
        <v>2025</v>
      </c>
    </row>
    <row r="392" spans="1:9" x14ac:dyDescent="0.3">
      <c r="A392" s="6" t="s">
        <v>2130</v>
      </c>
      <c r="B392" t="s">
        <v>4922</v>
      </c>
      <c r="C392" s="7" t="s">
        <v>567</v>
      </c>
      <c r="D392" s="7" t="s">
        <v>2132</v>
      </c>
      <c r="E392" s="7" t="s">
        <v>2133</v>
      </c>
      <c r="F392" s="7"/>
      <c r="G392" s="7" t="s">
        <v>125</v>
      </c>
      <c r="H392" s="7" t="s">
        <v>90</v>
      </c>
      <c r="I392">
        <v>2025</v>
      </c>
    </row>
    <row r="393" spans="1:9" x14ac:dyDescent="0.3">
      <c r="A393" s="6" t="s">
        <v>2136</v>
      </c>
      <c r="B393" t="s">
        <v>4923</v>
      </c>
      <c r="C393" s="7" t="s">
        <v>439</v>
      </c>
      <c r="D393" s="7" t="s">
        <v>892</v>
      </c>
      <c r="E393" s="7" t="s">
        <v>2138</v>
      </c>
      <c r="F393" s="7"/>
      <c r="G393" s="7" t="s">
        <v>125</v>
      </c>
      <c r="H393" s="7" t="s">
        <v>90</v>
      </c>
      <c r="I393">
        <v>2025</v>
      </c>
    </row>
    <row r="394" spans="1:9" x14ac:dyDescent="0.3">
      <c r="A394" s="6" t="s">
        <v>2140</v>
      </c>
      <c r="B394" t="s">
        <v>4924</v>
      </c>
      <c r="C394" s="7" t="s">
        <v>2142</v>
      </c>
      <c r="D394" s="7" t="s">
        <v>2143</v>
      </c>
      <c r="E394" s="7" t="s">
        <v>2144</v>
      </c>
      <c r="F394" s="7"/>
      <c r="G394" s="7" t="s">
        <v>125</v>
      </c>
      <c r="H394" s="7" t="s">
        <v>90</v>
      </c>
      <c r="I394">
        <v>2025</v>
      </c>
    </row>
    <row r="395" spans="1:9" x14ac:dyDescent="0.3">
      <c r="A395" s="6" t="s">
        <v>2145</v>
      </c>
      <c r="B395" t="s">
        <v>4925</v>
      </c>
      <c r="C395" s="7" t="s">
        <v>2147</v>
      </c>
      <c r="D395" s="7" t="s">
        <v>2148</v>
      </c>
      <c r="E395" s="7" t="s">
        <v>2149</v>
      </c>
      <c r="F395" s="7"/>
      <c r="G395" s="7" t="s">
        <v>125</v>
      </c>
      <c r="H395" s="7" t="s">
        <v>90</v>
      </c>
      <c r="I395">
        <v>2025</v>
      </c>
    </row>
    <row r="396" spans="1:9" ht="27.6" x14ac:dyDescent="0.3">
      <c r="A396" s="6" t="s">
        <v>2151</v>
      </c>
      <c r="B396" t="s">
        <v>4926</v>
      </c>
      <c r="C396" s="7" t="s">
        <v>932</v>
      </c>
      <c r="D396" s="7" t="s">
        <v>2153</v>
      </c>
      <c r="E396" s="7" t="s">
        <v>2154</v>
      </c>
      <c r="F396" s="7"/>
      <c r="G396" s="7" t="s">
        <v>125</v>
      </c>
      <c r="H396" s="7" t="s">
        <v>90</v>
      </c>
      <c r="I396">
        <v>2025</v>
      </c>
    </row>
    <row r="397" spans="1:9" x14ac:dyDescent="0.3">
      <c r="A397" s="6" t="s">
        <v>2155</v>
      </c>
      <c r="B397" t="s">
        <v>4927</v>
      </c>
      <c r="C397" s="7" t="s">
        <v>687</v>
      </c>
      <c r="D397" s="7" t="s">
        <v>2157</v>
      </c>
      <c r="E397" s="7" t="s">
        <v>2158</v>
      </c>
      <c r="F397" s="7"/>
      <c r="G397" s="7" t="s">
        <v>125</v>
      </c>
      <c r="H397" s="7" t="s">
        <v>90</v>
      </c>
      <c r="I397">
        <v>2025</v>
      </c>
    </row>
    <row r="398" spans="1:9" ht="27.6" x14ac:dyDescent="0.3">
      <c r="A398" s="6" t="s">
        <v>2160</v>
      </c>
      <c r="B398" t="s">
        <v>4928</v>
      </c>
      <c r="C398" s="7" t="s">
        <v>1924</v>
      </c>
      <c r="D398" s="7" t="s">
        <v>2162</v>
      </c>
      <c r="E398" s="7" t="s">
        <v>2163</v>
      </c>
      <c r="F398" s="7"/>
      <c r="G398" s="7" t="s">
        <v>125</v>
      </c>
      <c r="H398" s="7" t="s">
        <v>90</v>
      </c>
      <c r="I398">
        <v>2025</v>
      </c>
    </row>
    <row r="399" spans="1:9" x14ac:dyDescent="0.3">
      <c r="A399" s="6" t="s">
        <v>2165</v>
      </c>
      <c r="B399" t="s">
        <v>4929</v>
      </c>
      <c r="C399" s="7" t="s">
        <v>458</v>
      </c>
      <c r="D399" s="7" t="s">
        <v>367</v>
      </c>
      <c r="E399" s="7" t="s">
        <v>593</v>
      </c>
      <c r="F399" s="7"/>
      <c r="G399" s="7" t="s">
        <v>125</v>
      </c>
      <c r="H399" s="7" t="s">
        <v>90</v>
      </c>
      <c r="I399">
        <v>2025</v>
      </c>
    </row>
    <row r="400" spans="1:9" ht="27.6" x14ac:dyDescent="0.3">
      <c r="A400" s="6" t="s">
        <v>2168</v>
      </c>
      <c r="B400" t="s">
        <v>4930</v>
      </c>
      <c r="C400" s="7" t="s">
        <v>458</v>
      </c>
      <c r="D400" s="7" t="s">
        <v>2170</v>
      </c>
      <c r="E400" s="7" t="s">
        <v>2171</v>
      </c>
      <c r="F400" s="7"/>
      <c r="G400" s="7" t="s">
        <v>125</v>
      </c>
      <c r="H400" s="7" t="s">
        <v>90</v>
      </c>
      <c r="I400">
        <v>2025</v>
      </c>
    </row>
    <row r="401" spans="1:9" x14ac:dyDescent="0.3">
      <c r="A401" s="6" t="s">
        <v>2174</v>
      </c>
      <c r="B401" t="s">
        <v>4931</v>
      </c>
      <c r="C401" s="7" t="s">
        <v>1168</v>
      </c>
      <c r="D401" s="7" t="s">
        <v>1684</v>
      </c>
      <c r="E401" s="7" t="s">
        <v>2176</v>
      </c>
      <c r="F401" s="7"/>
      <c r="G401" s="7" t="s">
        <v>125</v>
      </c>
      <c r="H401" s="7" t="s">
        <v>90</v>
      </c>
      <c r="I401">
        <v>2025</v>
      </c>
    </row>
    <row r="402" spans="1:9" x14ac:dyDescent="0.3">
      <c r="A402" s="6" t="s">
        <v>2177</v>
      </c>
      <c r="B402" t="s">
        <v>4932</v>
      </c>
      <c r="C402" s="7" t="s">
        <v>2179</v>
      </c>
      <c r="D402" s="7" t="s">
        <v>2180</v>
      </c>
      <c r="E402" s="7" t="s">
        <v>2181</v>
      </c>
      <c r="F402" s="7"/>
      <c r="G402" s="7" t="s">
        <v>125</v>
      </c>
      <c r="H402" s="7" t="s">
        <v>90</v>
      </c>
      <c r="I402">
        <v>2025</v>
      </c>
    </row>
    <row r="403" spans="1:9" x14ac:dyDescent="0.3">
      <c r="A403" s="6" t="s">
        <v>2183</v>
      </c>
      <c r="B403" t="s">
        <v>4933</v>
      </c>
      <c r="C403" s="7" t="s">
        <v>2185</v>
      </c>
      <c r="D403" s="7" t="s">
        <v>2186</v>
      </c>
      <c r="E403" s="7" t="s">
        <v>2187</v>
      </c>
      <c r="F403" s="7"/>
      <c r="G403" s="7" t="s">
        <v>125</v>
      </c>
      <c r="H403" s="7" t="s">
        <v>90</v>
      </c>
      <c r="I403">
        <v>2025</v>
      </c>
    </row>
    <row r="404" spans="1:9" x14ac:dyDescent="0.3">
      <c r="A404" s="6" t="s">
        <v>2189</v>
      </c>
      <c r="B404" t="s">
        <v>4934</v>
      </c>
      <c r="C404" s="7" t="s">
        <v>2191</v>
      </c>
      <c r="D404" s="7" t="s">
        <v>2192</v>
      </c>
      <c r="E404" s="7" t="s">
        <v>2193</v>
      </c>
      <c r="F404" s="7"/>
      <c r="G404" s="7" t="s">
        <v>125</v>
      </c>
      <c r="H404" s="7" t="s">
        <v>90</v>
      </c>
      <c r="I404">
        <v>2025</v>
      </c>
    </row>
    <row r="405" spans="1:9" ht="27.6" x14ac:dyDescent="0.3">
      <c r="A405" s="6" t="s">
        <v>2195</v>
      </c>
      <c r="B405" t="s">
        <v>4935</v>
      </c>
      <c r="C405" s="7" t="s">
        <v>2197</v>
      </c>
      <c r="D405" s="7" t="s">
        <v>2198</v>
      </c>
      <c r="E405" s="7" t="s">
        <v>2199</v>
      </c>
      <c r="F405" s="7"/>
      <c r="G405" s="7" t="s">
        <v>125</v>
      </c>
      <c r="H405" s="7" t="s">
        <v>90</v>
      </c>
      <c r="I405">
        <v>2025</v>
      </c>
    </row>
    <row r="406" spans="1:9" ht="27.6" x14ac:dyDescent="0.3">
      <c r="A406" s="6" t="s">
        <v>2200</v>
      </c>
      <c r="B406" t="s">
        <v>4936</v>
      </c>
      <c r="C406" s="7" t="s">
        <v>2202</v>
      </c>
      <c r="D406" s="7" t="s">
        <v>2203</v>
      </c>
      <c r="E406" s="7" t="s">
        <v>2204</v>
      </c>
      <c r="F406" s="7"/>
      <c r="G406" s="7" t="s">
        <v>125</v>
      </c>
      <c r="H406" s="7" t="s">
        <v>90</v>
      </c>
      <c r="I406">
        <v>2025</v>
      </c>
    </row>
    <row r="407" spans="1:9" x14ac:dyDescent="0.3">
      <c r="A407" s="6" t="s">
        <v>2205</v>
      </c>
      <c r="B407" t="s">
        <v>4937</v>
      </c>
      <c r="C407" s="7" t="s">
        <v>2207</v>
      </c>
      <c r="D407" s="7" t="s">
        <v>2208</v>
      </c>
      <c r="E407" s="7" t="s">
        <v>2209</v>
      </c>
      <c r="F407" s="7"/>
      <c r="G407" s="7" t="s">
        <v>125</v>
      </c>
      <c r="H407" s="7" t="s">
        <v>90</v>
      </c>
      <c r="I407">
        <v>2025</v>
      </c>
    </row>
    <row r="408" spans="1:9" x14ac:dyDescent="0.3">
      <c r="A408" s="6" t="s">
        <v>2210</v>
      </c>
      <c r="B408" t="s">
        <v>4938</v>
      </c>
      <c r="C408" s="7" t="s">
        <v>2212</v>
      </c>
      <c r="D408" s="7" t="s">
        <v>380</v>
      </c>
      <c r="E408" s="7" t="s">
        <v>2213</v>
      </c>
      <c r="F408" s="7"/>
      <c r="G408" s="7" t="s">
        <v>125</v>
      </c>
      <c r="H408" s="7" t="s">
        <v>90</v>
      </c>
      <c r="I408">
        <v>2025</v>
      </c>
    </row>
    <row r="409" spans="1:9" x14ac:dyDescent="0.3">
      <c r="A409" s="6" t="s">
        <v>2215</v>
      </c>
      <c r="B409" t="s">
        <v>4939</v>
      </c>
      <c r="C409" s="7" t="s">
        <v>428</v>
      </c>
      <c r="D409" s="7" t="s">
        <v>2217</v>
      </c>
      <c r="E409" s="7" t="s">
        <v>2218</v>
      </c>
      <c r="F409" s="7"/>
      <c r="G409" s="7" t="s">
        <v>125</v>
      </c>
      <c r="H409" s="7" t="s">
        <v>90</v>
      </c>
      <c r="I409">
        <v>2025</v>
      </c>
    </row>
    <row r="410" spans="1:9" x14ac:dyDescent="0.3">
      <c r="A410" s="6" t="s">
        <v>2219</v>
      </c>
      <c r="B410" t="s">
        <v>4940</v>
      </c>
      <c r="C410" s="7" t="s">
        <v>2221</v>
      </c>
      <c r="D410" s="7" t="s">
        <v>669</v>
      </c>
      <c r="E410" s="7" t="s">
        <v>2222</v>
      </c>
      <c r="F410" s="7"/>
      <c r="G410" s="7" t="s">
        <v>125</v>
      </c>
      <c r="H410" s="7" t="s">
        <v>90</v>
      </c>
      <c r="I410">
        <v>2025</v>
      </c>
    </row>
    <row r="411" spans="1:9" x14ac:dyDescent="0.3">
      <c r="A411" s="6" t="s">
        <v>2223</v>
      </c>
      <c r="B411" t="s">
        <v>4941</v>
      </c>
      <c r="C411" s="7" t="s">
        <v>2225</v>
      </c>
      <c r="D411" s="7" t="s">
        <v>2226</v>
      </c>
      <c r="E411" s="7" t="s">
        <v>2227</v>
      </c>
      <c r="F411" s="7"/>
      <c r="G411" s="7" t="s">
        <v>125</v>
      </c>
      <c r="H411" s="7" t="s">
        <v>90</v>
      </c>
      <c r="I411">
        <v>2025</v>
      </c>
    </row>
    <row r="412" spans="1:9" x14ac:dyDescent="0.3">
      <c r="A412" s="6" t="s">
        <v>2229</v>
      </c>
      <c r="B412" t="s">
        <v>4942</v>
      </c>
      <c r="C412" s="7" t="s">
        <v>932</v>
      </c>
      <c r="D412" s="7" t="s">
        <v>2231</v>
      </c>
      <c r="E412" s="7" t="s">
        <v>2232</v>
      </c>
      <c r="F412" s="7"/>
      <c r="G412" s="7" t="s">
        <v>125</v>
      </c>
      <c r="H412" s="7" t="s">
        <v>90</v>
      </c>
      <c r="I412">
        <v>2025</v>
      </c>
    </row>
    <row r="413" spans="1:9" x14ac:dyDescent="0.3">
      <c r="A413" s="6" t="s">
        <v>2234</v>
      </c>
      <c r="B413" t="s">
        <v>4943</v>
      </c>
      <c r="C413" s="7" t="s">
        <v>2236</v>
      </c>
      <c r="D413" s="7" t="s">
        <v>2237</v>
      </c>
      <c r="E413" s="7" t="s">
        <v>2238</v>
      </c>
      <c r="F413" s="7"/>
      <c r="G413" s="7" t="s">
        <v>125</v>
      </c>
      <c r="H413" s="7" t="s">
        <v>90</v>
      </c>
      <c r="I413">
        <v>2025</v>
      </c>
    </row>
    <row r="414" spans="1:9" x14ac:dyDescent="0.3">
      <c r="A414" s="6" t="s">
        <v>2239</v>
      </c>
      <c r="B414" t="s">
        <v>4944</v>
      </c>
      <c r="C414" s="7" t="s">
        <v>2241</v>
      </c>
      <c r="D414" s="7" t="s">
        <v>2242</v>
      </c>
      <c r="E414" s="7" t="s">
        <v>2243</v>
      </c>
      <c r="F414" s="7"/>
      <c r="G414" s="7" t="s">
        <v>125</v>
      </c>
      <c r="H414" s="7" t="s">
        <v>90</v>
      </c>
      <c r="I414">
        <v>2025</v>
      </c>
    </row>
    <row r="415" spans="1:9" x14ac:dyDescent="0.3">
      <c r="A415" s="6" t="s">
        <v>2246</v>
      </c>
      <c r="B415" t="s">
        <v>4945</v>
      </c>
      <c r="C415" s="7" t="s">
        <v>2248</v>
      </c>
      <c r="D415" s="7" t="s">
        <v>2249</v>
      </c>
      <c r="E415" s="7" t="s">
        <v>2250</v>
      </c>
      <c r="F415" s="7"/>
      <c r="G415" s="7" t="s">
        <v>125</v>
      </c>
      <c r="H415" s="7" t="s">
        <v>90</v>
      </c>
      <c r="I415">
        <v>2025</v>
      </c>
    </row>
    <row r="416" spans="1:9" x14ac:dyDescent="0.3">
      <c r="A416" s="6" t="s">
        <v>2251</v>
      </c>
      <c r="B416" t="s">
        <v>4946</v>
      </c>
      <c r="C416" s="7" t="s">
        <v>2253</v>
      </c>
      <c r="D416" s="7" t="s">
        <v>2254</v>
      </c>
      <c r="E416" s="7"/>
      <c r="F416" s="7"/>
      <c r="G416" s="7" t="s">
        <v>125</v>
      </c>
      <c r="H416" s="7" t="s">
        <v>90</v>
      </c>
      <c r="I416">
        <v>2025</v>
      </c>
    </row>
    <row r="417" spans="1:9" ht="27.6" x14ac:dyDescent="0.3">
      <c r="A417" s="6" t="s">
        <v>2255</v>
      </c>
      <c r="B417" t="s">
        <v>4947</v>
      </c>
      <c r="C417" s="7" t="s">
        <v>2257</v>
      </c>
      <c r="D417" s="7" t="s">
        <v>2258</v>
      </c>
      <c r="E417" s="7" t="s">
        <v>2259</v>
      </c>
      <c r="F417" s="7"/>
      <c r="G417" s="7" t="s">
        <v>125</v>
      </c>
      <c r="H417" s="7" t="s">
        <v>90</v>
      </c>
      <c r="I417">
        <v>2025</v>
      </c>
    </row>
    <row r="418" spans="1:9" x14ac:dyDescent="0.3">
      <c r="A418" s="6" t="s">
        <v>2261</v>
      </c>
      <c r="B418" t="s">
        <v>4948</v>
      </c>
      <c r="C418" s="7" t="s">
        <v>311</v>
      </c>
      <c r="D418" s="7" t="s">
        <v>312</v>
      </c>
      <c r="E418" s="7" t="s">
        <v>296</v>
      </c>
      <c r="F418" s="7"/>
      <c r="G418" s="7" t="s">
        <v>125</v>
      </c>
      <c r="H418" s="7" t="s">
        <v>90</v>
      </c>
      <c r="I418">
        <v>2025</v>
      </c>
    </row>
    <row r="419" spans="1:9" x14ac:dyDescent="0.3">
      <c r="A419" s="6" t="s">
        <v>2263</v>
      </c>
      <c r="B419" t="s">
        <v>4949</v>
      </c>
      <c r="C419" s="7" t="s">
        <v>2265</v>
      </c>
      <c r="D419" s="7" t="s">
        <v>1269</v>
      </c>
      <c r="E419" s="7" t="s">
        <v>2266</v>
      </c>
      <c r="F419" s="7"/>
      <c r="G419" s="7" t="s">
        <v>125</v>
      </c>
      <c r="H419" s="7" t="s">
        <v>90</v>
      </c>
      <c r="I419">
        <v>2025</v>
      </c>
    </row>
    <row r="420" spans="1:9" x14ac:dyDescent="0.3">
      <c r="A420" s="6" t="s">
        <v>2268</v>
      </c>
      <c r="B420" t="s">
        <v>4950</v>
      </c>
      <c r="C420" s="7" t="s">
        <v>677</v>
      </c>
      <c r="D420" s="7" t="s">
        <v>2270</v>
      </c>
      <c r="E420" s="7" t="s">
        <v>2271</v>
      </c>
      <c r="F420" s="7"/>
      <c r="G420" s="7" t="s">
        <v>125</v>
      </c>
      <c r="H420" s="7" t="s">
        <v>90</v>
      </c>
      <c r="I420">
        <v>2025</v>
      </c>
    </row>
    <row r="421" spans="1:9" ht="27.6" x14ac:dyDescent="0.3">
      <c r="A421" s="6" t="s">
        <v>2274</v>
      </c>
      <c r="B421" t="s">
        <v>4951</v>
      </c>
      <c r="C421" s="7" t="s">
        <v>2276</v>
      </c>
      <c r="D421" s="7" t="s">
        <v>2277</v>
      </c>
      <c r="E421" s="7" t="s">
        <v>2278</v>
      </c>
      <c r="F421" s="7"/>
      <c r="G421" s="7" t="s">
        <v>125</v>
      </c>
      <c r="H421" s="7" t="s">
        <v>90</v>
      </c>
      <c r="I421">
        <v>2025</v>
      </c>
    </row>
    <row r="422" spans="1:9" x14ac:dyDescent="0.3">
      <c r="A422" s="6" t="s">
        <v>2279</v>
      </c>
      <c r="B422" t="s">
        <v>4952</v>
      </c>
      <c r="C422" s="7" t="s">
        <v>334</v>
      </c>
      <c r="D422" s="7" t="s">
        <v>2281</v>
      </c>
      <c r="E422" s="7" t="s">
        <v>2282</v>
      </c>
      <c r="F422" s="7"/>
      <c r="G422" s="7" t="s">
        <v>125</v>
      </c>
      <c r="H422" s="7" t="s">
        <v>90</v>
      </c>
      <c r="I422">
        <v>2025</v>
      </c>
    </row>
    <row r="423" spans="1:9" x14ac:dyDescent="0.3">
      <c r="A423" s="6" t="s">
        <v>2283</v>
      </c>
      <c r="B423" t="s">
        <v>4953</v>
      </c>
      <c r="C423" s="7" t="s">
        <v>2285</v>
      </c>
      <c r="D423" s="7" t="s">
        <v>2286</v>
      </c>
      <c r="E423" s="7"/>
      <c r="F423" s="7"/>
      <c r="G423" s="7" t="s">
        <v>125</v>
      </c>
      <c r="H423" s="7" t="s">
        <v>90</v>
      </c>
      <c r="I423">
        <v>2025</v>
      </c>
    </row>
    <row r="424" spans="1:9" x14ac:dyDescent="0.3">
      <c r="A424" s="6" t="s">
        <v>2287</v>
      </c>
      <c r="B424" t="s">
        <v>4954</v>
      </c>
      <c r="C424" s="7" t="s">
        <v>658</v>
      </c>
      <c r="D424" s="7" t="s">
        <v>2289</v>
      </c>
      <c r="E424" s="7" t="s">
        <v>2290</v>
      </c>
      <c r="F424" s="7"/>
      <c r="G424" s="7" t="s">
        <v>125</v>
      </c>
      <c r="H424" s="7" t="s">
        <v>90</v>
      </c>
      <c r="I424">
        <v>2025</v>
      </c>
    </row>
    <row r="425" spans="1:9" x14ac:dyDescent="0.3">
      <c r="A425" s="6" t="s">
        <v>2291</v>
      </c>
      <c r="B425" t="s">
        <v>4955</v>
      </c>
      <c r="C425" s="7" t="s">
        <v>2293</v>
      </c>
      <c r="D425" s="7" t="s">
        <v>823</v>
      </c>
      <c r="E425" s="7" t="s">
        <v>2294</v>
      </c>
      <c r="F425" s="7"/>
      <c r="G425" s="7" t="s">
        <v>125</v>
      </c>
      <c r="H425" s="7" t="s">
        <v>90</v>
      </c>
      <c r="I425">
        <v>2025</v>
      </c>
    </row>
    <row r="426" spans="1:9" x14ac:dyDescent="0.3">
      <c r="A426" s="6" t="s">
        <v>2296</v>
      </c>
      <c r="B426" t="s">
        <v>4956</v>
      </c>
      <c r="C426" s="7" t="s">
        <v>2299</v>
      </c>
      <c r="D426" s="7" t="s">
        <v>2300</v>
      </c>
      <c r="E426" s="7" t="s">
        <v>2301</v>
      </c>
      <c r="F426" s="7"/>
      <c r="G426" s="7" t="s">
        <v>125</v>
      </c>
      <c r="H426" s="7" t="s">
        <v>90</v>
      </c>
      <c r="I426">
        <v>2025</v>
      </c>
    </row>
    <row r="427" spans="1:9" x14ac:dyDescent="0.3">
      <c r="A427" s="6" t="s">
        <v>2302</v>
      </c>
      <c r="B427" t="s">
        <v>4957</v>
      </c>
      <c r="C427" s="7" t="s">
        <v>687</v>
      </c>
      <c r="D427" s="7" t="s">
        <v>2304</v>
      </c>
      <c r="E427" s="7" t="s">
        <v>2305</v>
      </c>
      <c r="F427" s="7"/>
      <c r="G427" s="7" t="s">
        <v>125</v>
      </c>
      <c r="H427" s="7" t="s">
        <v>90</v>
      </c>
      <c r="I427">
        <v>2025</v>
      </c>
    </row>
    <row r="428" spans="1:9" x14ac:dyDescent="0.3">
      <c r="A428" s="6" t="s">
        <v>2306</v>
      </c>
      <c r="B428" t="s">
        <v>4958</v>
      </c>
      <c r="C428" s="7" t="s">
        <v>1016</v>
      </c>
      <c r="D428" s="7" t="s">
        <v>2186</v>
      </c>
      <c r="E428" s="7" t="s">
        <v>2308</v>
      </c>
      <c r="F428" s="7"/>
      <c r="G428" s="7" t="s">
        <v>125</v>
      </c>
      <c r="H428" s="7" t="s">
        <v>90</v>
      </c>
      <c r="I428">
        <v>2025</v>
      </c>
    </row>
    <row r="429" spans="1:9" x14ac:dyDescent="0.3">
      <c r="A429" s="6" t="s">
        <v>2309</v>
      </c>
      <c r="B429" t="s">
        <v>4959</v>
      </c>
      <c r="C429" s="7" t="s">
        <v>1016</v>
      </c>
      <c r="D429" s="7" t="s">
        <v>939</v>
      </c>
      <c r="E429" s="7" t="s">
        <v>2311</v>
      </c>
      <c r="F429" s="7"/>
      <c r="G429" s="7" t="s">
        <v>125</v>
      </c>
      <c r="H429" s="7" t="s">
        <v>90</v>
      </c>
      <c r="I429">
        <v>2025</v>
      </c>
    </row>
    <row r="430" spans="1:9" x14ac:dyDescent="0.3">
      <c r="A430" s="6" t="s">
        <v>2314</v>
      </c>
      <c r="B430" t="s">
        <v>4960</v>
      </c>
      <c r="C430" s="7" t="s">
        <v>1016</v>
      </c>
      <c r="D430" s="7" t="s">
        <v>2316</v>
      </c>
      <c r="E430" s="7" t="s">
        <v>2317</v>
      </c>
      <c r="F430" s="7"/>
      <c r="G430" s="7" t="s">
        <v>125</v>
      </c>
      <c r="H430" s="7" t="s">
        <v>90</v>
      </c>
      <c r="I430">
        <v>2025</v>
      </c>
    </row>
    <row r="431" spans="1:9" x14ac:dyDescent="0.3">
      <c r="A431" s="6" t="s">
        <v>2318</v>
      </c>
      <c r="B431" t="s">
        <v>4961</v>
      </c>
      <c r="C431" s="7" t="s">
        <v>458</v>
      </c>
      <c r="D431" s="7" t="s">
        <v>2320</v>
      </c>
      <c r="E431" s="7" t="s">
        <v>2321</v>
      </c>
      <c r="F431" s="7"/>
      <c r="G431" s="7" t="s">
        <v>125</v>
      </c>
      <c r="H431" s="7" t="s">
        <v>90</v>
      </c>
      <c r="I431">
        <v>2025</v>
      </c>
    </row>
    <row r="432" spans="1:9" ht="27.6" x14ac:dyDescent="0.3">
      <c r="A432" s="6" t="s">
        <v>2322</v>
      </c>
      <c r="B432" t="s">
        <v>4962</v>
      </c>
      <c r="C432" s="7" t="s">
        <v>2324</v>
      </c>
      <c r="D432" s="7" t="s">
        <v>2325</v>
      </c>
      <c r="E432" s="7" t="s">
        <v>2326</v>
      </c>
      <c r="F432" s="7"/>
      <c r="G432" s="7" t="s">
        <v>125</v>
      </c>
      <c r="H432" s="7" t="s">
        <v>90</v>
      </c>
      <c r="I432">
        <v>2025</v>
      </c>
    </row>
    <row r="433" spans="1:9" ht="27.6" x14ac:dyDescent="0.3">
      <c r="A433" s="6" t="s">
        <v>2328</v>
      </c>
      <c r="B433" t="s">
        <v>4963</v>
      </c>
      <c r="C433" s="7" t="s">
        <v>2330</v>
      </c>
      <c r="D433" s="7" t="s">
        <v>2331</v>
      </c>
      <c r="E433" s="7" t="s">
        <v>2332</v>
      </c>
      <c r="F433" s="7"/>
      <c r="G433" s="7" t="s">
        <v>125</v>
      </c>
      <c r="H433" s="7" t="s">
        <v>90</v>
      </c>
      <c r="I433">
        <v>2025</v>
      </c>
    </row>
    <row r="434" spans="1:9" x14ac:dyDescent="0.3">
      <c r="A434" s="6" t="s">
        <v>2333</v>
      </c>
      <c r="B434" t="s">
        <v>4964</v>
      </c>
      <c r="C434" s="7" t="s">
        <v>2335</v>
      </c>
      <c r="D434" s="7" t="s">
        <v>1401</v>
      </c>
      <c r="E434" s="7" t="s">
        <v>2336</v>
      </c>
      <c r="F434" s="7"/>
      <c r="G434" s="7" t="s">
        <v>125</v>
      </c>
      <c r="H434" s="7" t="s">
        <v>90</v>
      </c>
      <c r="I434">
        <v>2025</v>
      </c>
    </row>
    <row r="435" spans="1:9" x14ac:dyDescent="0.3">
      <c r="A435" s="6" t="s">
        <v>2337</v>
      </c>
      <c r="B435" t="s">
        <v>4965</v>
      </c>
      <c r="C435" s="7" t="s">
        <v>2339</v>
      </c>
      <c r="D435" s="7" t="s">
        <v>2340</v>
      </c>
      <c r="E435" s="7" t="s">
        <v>2341</v>
      </c>
      <c r="F435" s="7"/>
      <c r="G435" s="7" t="s">
        <v>125</v>
      </c>
      <c r="H435" s="7" t="s">
        <v>90</v>
      </c>
      <c r="I435">
        <v>2025</v>
      </c>
    </row>
    <row r="436" spans="1:9" x14ac:dyDescent="0.3">
      <c r="A436" s="6" t="s">
        <v>2343</v>
      </c>
      <c r="B436" t="s">
        <v>4966</v>
      </c>
      <c r="C436" s="7" t="s">
        <v>2345</v>
      </c>
      <c r="D436" s="7" t="s">
        <v>1725</v>
      </c>
      <c r="E436" s="7" t="s">
        <v>2346</v>
      </c>
      <c r="F436" s="7"/>
      <c r="G436" s="7" t="s">
        <v>125</v>
      </c>
      <c r="H436" s="7" t="s">
        <v>90</v>
      </c>
      <c r="I436">
        <v>2025</v>
      </c>
    </row>
    <row r="437" spans="1:9" ht="27.6" x14ac:dyDescent="0.3">
      <c r="A437" s="6" t="s">
        <v>2347</v>
      </c>
      <c r="B437" t="s">
        <v>4967</v>
      </c>
      <c r="C437" s="7" t="s">
        <v>1532</v>
      </c>
      <c r="D437" s="7" t="s">
        <v>2349</v>
      </c>
      <c r="E437" s="7"/>
      <c r="F437" s="7"/>
      <c r="G437" s="7" t="s">
        <v>125</v>
      </c>
      <c r="H437" s="7" t="s">
        <v>90</v>
      </c>
      <c r="I437">
        <v>2025</v>
      </c>
    </row>
    <row r="438" spans="1:9" x14ac:dyDescent="0.3">
      <c r="A438" s="6" t="s">
        <v>2350</v>
      </c>
      <c r="B438" t="s">
        <v>4968</v>
      </c>
      <c r="C438" s="7" t="s">
        <v>2352</v>
      </c>
      <c r="D438" s="7" t="s">
        <v>2353</v>
      </c>
      <c r="E438" s="7" t="s">
        <v>2354</v>
      </c>
      <c r="F438" s="7"/>
      <c r="G438" s="7" t="s">
        <v>125</v>
      </c>
      <c r="H438" s="7" t="s">
        <v>90</v>
      </c>
      <c r="I438">
        <v>2025</v>
      </c>
    </row>
    <row r="439" spans="1:9" x14ac:dyDescent="0.3">
      <c r="A439" s="6" t="s">
        <v>2355</v>
      </c>
      <c r="B439" t="s">
        <v>4969</v>
      </c>
      <c r="C439" s="7" t="s">
        <v>2357</v>
      </c>
      <c r="D439" s="7" t="s">
        <v>2358</v>
      </c>
      <c r="E439" s="7" t="s">
        <v>2359</v>
      </c>
      <c r="F439" s="7"/>
      <c r="G439" s="7" t="s">
        <v>125</v>
      </c>
      <c r="H439" s="7" t="s">
        <v>90</v>
      </c>
      <c r="I439">
        <v>2025</v>
      </c>
    </row>
    <row r="440" spans="1:9" x14ac:dyDescent="0.3">
      <c r="A440" s="6" t="s">
        <v>2360</v>
      </c>
      <c r="B440" t="s">
        <v>4970</v>
      </c>
      <c r="C440" s="7" t="s">
        <v>305</v>
      </c>
      <c r="D440" s="7" t="s">
        <v>1595</v>
      </c>
      <c r="E440" s="7"/>
      <c r="F440" s="7"/>
      <c r="G440" s="7" t="s">
        <v>125</v>
      </c>
      <c r="H440" s="7" t="s">
        <v>90</v>
      </c>
      <c r="I440">
        <v>2025</v>
      </c>
    </row>
    <row r="441" spans="1:9" x14ac:dyDescent="0.3">
      <c r="A441" s="6" t="s">
        <v>2362</v>
      </c>
      <c r="B441" t="s">
        <v>4971</v>
      </c>
      <c r="C441" s="7" t="s">
        <v>2364</v>
      </c>
      <c r="D441" s="7" t="s">
        <v>546</v>
      </c>
      <c r="E441" s="7" t="s">
        <v>2365</v>
      </c>
      <c r="F441" s="7"/>
      <c r="G441" s="7" t="s">
        <v>125</v>
      </c>
      <c r="H441" s="7" t="s">
        <v>90</v>
      </c>
      <c r="I441">
        <v>2025</v>
      </c>
    </row>
    <row r="442" spans="1:9" x14ac:dyDescent="0.3">
      <c r="A442" s="6" t="s">
        <v>2366</v>
      </c>
      <c r="B442" t="s">
        <v>4972</v>
      </c>
      <c r="C442" s="7" t="s">
        <v>2368</v>
      </c>
      <c r="D442" s="7" t="s">
        <v>2369</v>
      </c>
      <c r="E442" s="7" t="s">
        <v>2370</v>
      </c>
      <c r="F442" s="7"/>
      <c r="G442" s="7" t="s">
        <v>125</v>
      </c>
      <c r="H442" s="7" t="s">
        <v>90</v>
      </c>
      <c r="I442">
        <v>2025</v>
      </c>
    </row>
    <row r="443" spans="1:9" x14ac:dyDescent="0.3">
      <c r="A443" s="6" t="s">
        <v>2371</v>
      </c>
      <c r="B443" t="s">
        <v>4973</v>
      </c>
      <c r="C443" s="7" t="s">
        <v>2373</v>
      </c>
      <c r="D443" s="7" t="s">
        <v>2374</v>
      </c>
      <c r="E443" s="7" t="s">
        <v>2375</v>
      </c>
      <c r="F443" s="7"/>
      <c r="G443" s="7" t="s">
        <v>125</v>
      </c>
      <c r="H443" s="7" t="s">
        <v>90</v>
      </c>
      <c r="I443">
        <v>2025</v>
      </c>
    </row>
    <row r="444" spans="1:9" x14ac:dyDescent="0.3">
      <c r="A444" s="6" t="s">
        <v>2376</v>
      </c>
      <c r="B444" t="s">
        <v>4974</v>
      </c>
      <c r="C444" s="7" t="s">
        <v>272</v>
      </c>
      <c r="D444" s="7" t="s">
        <v>1357</v>
      </c>
      <c r="E444" s="7" t="s">
        <v>717</v>
      </c>
      <c r="F444" s="7"/>
      <c r="G444" s="7" t="s">
        <v>125</v>
      </c>
      <c r="H444" s="7" t="s">
        <v>90</v>
      </c>
      <c r="I444">
        <v>2025</v>
      </c>
    </row>
    <row r="445" spans="1:9" x14ac:dyDescent="0.3">
      <c r="A445" s="6" t="s">
        <v>2378</v>
      </c>
      <c r="B445" t="s">
        <v>4975</v>
      </c>
      <c r="C445" s="7" t="s">
        <v>2380</v>
      </c>
      <c r="D445" s="7" t="s">
        <v>1315</v>
      </c>
      <c r="E445" s="7" t="s">
        <v>2381</v>
      </c>
      <c r="F445" s="7"/>
      <c r="G445" s="7" t="s">
        <v>125</v>
      </c>
      <c r="H445" s="7" t="s">
        <v>90</v>
      </c>
      <c r="I445">
        <v>2025</v>
      </c>
    </row>
    <row r="446" spans="1:9" x14ac:dyDescent="0.3">
      <c r="A446" s="6" t="s">
        <v>2382</v>
      </c>
      <c r="B446" t="s">
        <v>4976</v>
      </c>
      <c r="C446" s="7" t="s">
        <v>2384</v>
      </c>
      <c r="D446" s="7" t="s">
        <v>2385</v>
      </c>
      <c r="E446" s="7" t="s">
        <v>2386</v>
      </c>
      <c r="F446" s="7"/>
      <c r="G446" s="7" t="s">
        <v>125</v>
      </c>
      <c r="H446" s="7" t="s">
        <v>90</v>
      </c>
      <c r="I446">
        <v>2025</v>
      </c>
    </row>
    <row r="447" spans="1:9" x14ac:dyDescent="0.3">
      <c r="A447" s="6" t="s">
        <v>2387</v>
      </c>
      <c r="B447" t="s">
        <v>4977</v>
      </c>
      <c r="C447" s="7" t="s">
        <v>2389</v>
      </c>
      <c r="D447" s="7" t="s">
        <v>2390</v>
      </c>
      <c r="E447" s="7" t="s">
        <v>2391</v>
      </c>
      <c r="F447" s="7"/>
      <c r="G447" s="7" t="s">
        <v>125</v>
      </c>
      <c r="H447" s="7" t="s">
        <v>90</v>
      </c>
      <c r="I447">
        <v>2025</v>
      </c>
    </row>
    <row r="448" spans="1:9" x14ac:dyDescent="0.3">
      <c r="A448" s="6" t="s">
        <v>2392</v>
      </c>
      <c r="B448" t="s">
        <v>4978</v>
      </c>
      <c r="C448" s="7" t="s">
        <v>1562</v>
      </c>
      <c r="D448" s="7" t="s">
        <v>241</v>
      </c>
      <c r="E448" s="7"/>
      <c r="F448" s="7"/>
      <c r="G448" s="7" t="s">
        <v>125</v>
      </c>
      <c r="H448" s="7" t="s">
        <v>90</v>
      </c>
      <c r="I448">
        <v>2025</v>
      </c>
    </row>
    <row r="449" spans="1:9" x14ac:dyDescent="0.3">
      <c r="A449" s="6" t="s">
        <v>2395</v>
      </c>
      <c r="B449" t="s">
        <v>4980</v>
      </c>
      <c r="C449" s="7" t="s">
        <v>2398</v>
      </c>
      <c r="D449" s="7" t="s">
        <v>2399</v>
      </c>
      <c r="E449" s="7" t="s">
        <v>2400</v>
      </c>
      <c r="F449" s="7"/>
      <c r="G449" s="7" t="s">
        <v>125</v>
      </c>
      <c r="H449" s="7" t="s">
        <v>90</v>
      </c>
      <c r="I449">
        <v>2025</v>
      </c>
    </row>
    <row r="450" spans="1:9" x14ac:dyDescent="0.3">
      <c r="A450" s="6" t="s">
        <v>2401</v>
      </c>
      <c r="B450" t="s">
        <v>4979</v>
      </c>
      <c r="C450" s="7" t="s">
        <v>2403</v>
      </c>
      <c r="D450" s="7" t="s">
        <v>2404</v>
      </c>
      <c r="E450" s="7" t="s">
        <v>2405</v>
      </c>
      <c r="F450" s="7"/>
      <c r="G450" s="7" t="s">
        <v>125</v>
      </c>
      <c r="H450" s="7" t="s">
        <v>90</v>
      </c>
      <c r="I450">
        <v>2025</v>
      </c>
    </row>
    <row r="451" spans="1:9" x14ac:dyDescent="0.3">
      <c r="A451" s="6" t="s">
        <v>2407</v>
      </c>
      <c r="B451" t="s">
        <v>4981</v>
      </c>
      <c r="C451" s="7" t="s">
        <v>2409</v>
      </c>
      <c r="D451" s="7" t="s">
        <v>759</v>
      </c>
      <c r="E451" s="7" t="s">
        <v>2410</v>
      </c>
      <c r="F451" s="7"/>
      <c r="G451" s="7" t="s">
        <v>125</v>
      </c>
      <c r="H451" s="7" t="s">
        <v>90</v>
      </c>
      <c r="I451">
        <v>2025</v>
      </c>
    </row>
    <row r="452" spans="1:9" x14ac:dyDescent="0.3">
      <c r="A452" s="6" t="s">
        <v>2411</v>
      </c>
      <c r="B452" t="s">
        <v>4982</v>
      </c>
      <c r="C452" s="7" t="s">
        <v>2413</v>
      </c>
      <c r="D452" s="7" t="s">
        <v>2414</v>
      </c>
      <c r="E452" s="7" t="s">
        <v>2415</v>
      </c>
      <c r="F452" s="7"/>
      <c r="G452" s="7" t="s">
        <v>125</v>
      </c>
      <c r="H452" s="7" t="s">
        <v>90</v>
      </c>
      <c r="I452">
        <v>2025</v>
      </c>
    </row>
    <row r="453" spans="1:9" x14ac:dyDescent="0.3">
      <c r="A453" s="6" t="s">
        <v>2416</v>
      </c>
      <c r="B453" t="s">
        <v>4983</v>
      </c>
      <c r="C453" s="7" t="s">
        <v>1016</v>
      </c>
      <c r="D453" s="7" t="s">
        <v>1620</v>
      </c>
      <c r="E453" s="7" t="s">
        <v>2418</v>
      </c>
      <c r="F453" s="7"/>
      <c r="G453" s="7" t="s">
        <v>125</v>
      </c>
      <c r="H453" s="7" t="s">
        <v>90</v>
      </c>
      <c r="I453">
        <v>2025</v>
      </c>
    </row>
    <row r="454" spans="1:9" x14ac:dyDescent="0.3">
      <c r="A454" s="6" t="s">
        <v>2419</v>
      </c>
      <c r="B454" t="s">
        <v>4984</v>
      </c>
      <c r="C454" s="7" t="s">
        <v>444</v>
      </c>
      <c r="D454" s="7" t="s">
        <v>2421</v>
      </c>
      <c r="E454" s="7"/>
      <c r="F454" s="7"/>
      <c r="G454" s="7" t="s">
        <v>125</v>
      </c>
      <c r="H454" s="7" t="s">
        <v>90</v>
      </c>
      <c r="I454">
        <v>2025</v>
      </c>
    </row>
    <row r="455" spans="1:9" x14ac:dyDescent="0.3">
      <c r="A455" s="6" t="s">
        <v>2422</v>
      </c>
      <c r="B455" t="s">
        <v>4985</v>
      </c>
      <c r="C455" s="7" t="s">
        <v>2424</v>
      </c>
      <c r="D455" s="7" t="s">
        <v>994</v>
      </c>
      <c r="E455" s="7" t="s">
        <v>2425</v>
      </c>
      <c r="F455" s="7"/>
      <c r="G455" s="7" t="s">
        <v>125</v>
      </c>
      <c r="H455" s="7" t="s">
        <v>90</v>
      </c>
      <c r="I455">
        <v>2025</v>
      </c>
    </row>
    <row r="456" spans="1:9" x14ac:dyDescent="0.3">
      <c r="A456" s="6" t="s">
        <v>2426</v>
      </c>
      <c r="B456" t="s">
        <v>4986</v>
      </c>
      <c r="C456" s="7" t="s">
        <v>630</v>
      </c>
      <c r="D456" s="7" t="s">
        <v>2428</v>
      </c>
      <c r="E456" s="7" t="s">
        <v>2429</v>
      </c>
      <c r="F456" s="7"/>
      <c r="G456" s="7" t="s">
        <v>125</v>
      </c>
      <c r="H456" s="7" t="s">
        <v>90</v>
      </c>
      <c r="I456">
        <v>2025</v>
      </c>
    </row>
    <row r="457" spans="1:9" x14ac:dyDescent="0.3">
      <c r="A457" s="6" t="s">
        <v>2430</v>
      </c>
      <c r="B457" t="s">
        <v>4987</v>
      </c>
      <c r="C457" s="7" t="s">
        <v>789</v>
      </c>
      <c r="D457" s="7" t="s">
        <v>226</v>
      </c>
      <c r="E457" s="7" t="s">
        <v>2432</v>
      </c>
      <c r="F457" s="7"/>
      <c r="G457" s="7" t="s">
        <v>125</v>
      </c>
      <c r="H457" s="7" t="s">
        <v>90</v>
      </c>
      <c r="I457">
        <v>2025</v>
      </c>
    </row>
    <row r="458" spans="1:9" x14ac:dyDescent="0.3">
      <c r="A458" s="6" t="s">
        <v>2433</v>
      </c>
      <c r="B458" t="s">
        <v>4988</v>
      </c>
      <c r="C458" s="7" t="s">
        <v>2435</v>
      </c>
      <c r="D458" s="7" t="s">
        <v>2436</v>
      </c>
      <c r="E458" s="7" t="s">
        <v>2437</v>
      </c>
      <c r="F458" s="7"/>
      <c r="G458" s="7" t="s">
        <v>125</v>
      </c>
      <c r="H458" s="7" t="s">
        <v>90</v>
      </c>
      <c r="I458">
        <v>2025</v>
      </c>
    </row>
    <row r="459" spans="1:9" x14ac:dyDescent="0.3">
      <c r="A459" s="6" t="s">
        <v>2439</v>
      </c>
      <c r="B459" t="s">
        <v>4989</v>
      </c>
      <c r="C459" s="7" t="s">
        <v>2435</v>
      </c>
      <c r="D459" s="7" t="s">
        <v>2441</v>
      </c>
      <c r="E459" s="7" t="s">
        <v>2442</v>
      </c>
      <c r="F459" s="7"/>
      <c r="G459" s="7" t="s">
        <v>125</v>
      </c>
      <c r="H459" s="7" t="s">
        <v>90</v>
      </c>
      <c r="I459">
        <v>2025</v>
      </c>
    </row>
    <row r="460" spans="1:9" x14ac:dyDescent="0.3">
      <c r="A460" s="6" t="s">
        <v>2444</v>
      </c>
      <c r="B460" t="s">
        <v>4990</v>
      </c>
      <c r="C460" s="7" t="s">
        <v>720</v>
      </c>
      <c r="D460" s="7" t="s">
        <v>2446</v>
      </c>
      <c r="E460" s="7" t="s">
        <v>2447</v>
      </c>
      <c r="F460" s="7"/>
      <c r="G460" s="7" t="s">
        <v>125</v>
      </c>
      <c r="H460" s="7" t="s">
        <v>90</v>
      </c>
      <c r="I460">
        <v>2025</v>
      </c>
    </row>
    <row r="461" spans="1:9" x14ac:dyDescent="0.3">
      <c r="A461" s="6" t="s">
        <v>2448</v>
      </c>
      <c r="B461" t="s">
        <v>4991</v>
      </c>
      <c r="C461" s="7" t="s">
        <v>2450</v>
      </c>
      <c r="D461" s="7" t="s">
        <v>259</v>
      </c>
      <c r="E461" s="7" t="s">
        <v>2451</v>
      </c>
      <c r="F461" s="7"/>
      <c r="G461" s="7" t="s">
        <v>125</v>
      </c>
      <c r="H461" s="7" t="s">
        <v>90</v>
      </c>
      <c r="I461">
        <v>2025</v>
      </c>
    </row>
    <row r="462" spans="1:9" x14ac:dyDescent="0.3">
      <c r="A462" s="6" t="s">
        <v>2452</v>
      </c>
      <c r="B462" t="s">
        <v>4992</v>
      </c>
      <c r="C462" s="7" t="s">
        <v>1121</v>
      </c>
      <c r="D462" s="7" t="s">
        <v>2454</v>
      </c>
      <c r="E462" s="7" t="s">
        <v>2455</v>
      </c>
      <c r="F462" s="7"/>
      <c r="G462" s="7" t="s">
        <v>125</v>
      </c>
      <c r="H462" s="7" t="s">
        <v>90</v>
      </c>
      <c r="I462">
        <v>2025</v>
      </c>
    </row>
    <row r="463" spans="1:9" x14ac:dyDescent="0.3">
      <c r="A463" s="6" t="s">
        <v>2457</v>
      </c>
      <c r="B463" t="s">
        <v>4993</v>
      </c>
      <c r="C463" s="7" t="s">
        <v>2459</v>
      </c>
      <c r="D463" s="7" t="s">
        <v>1037</v>
      </c>
      <c r="E463" s="7" t="s">
        <v>2460</v>
      </c>
      <c r="F463" s="7"/>
      <c r="G463" s="7" t="s">
        <v>125</v>
      </c>
      <c r="H463" s="7" t="s">
        <v>90</v>
      </c>
      <c r="I463">
        <v>2025</v>
      </c>
    </row>
    <row r="464" spans="1:9" ht="27.6" x14ac:dyDescent="0.3">
      <c r="A464" s="6" t="s">
        <v>2462</v>
      </c>
      <c r="B464" t="s">
        <v>4994</v>
      </c>
      <c r="C464" s="7" t="s">
        <v>697</v>
      </c>
      <c r="D464" s="7" t="s">
        <v>2465</v>
      </c>
      <c r="E464" s="7" t="s">
        <v>2466</v>
      </c>
      <c r="F464" s="7"/>
      <c r="G464" s="7" t="s">
        <v>125</v>
      </c>
      <c r="H464" s="7" t="s">
        <v>90</v>
      </c>
      <c r="I464">
        <v>2025</v>
      </c>
    </row>
    <row r="465" spans="1:9" x14ac:dyDescent="0.3">
      <c r="A465" s="6" t="s">
        <v>2467</v>
      </c>
      <c r="B465" t="s">
        <v>4995</v>
      </c>
      <c r="C465" s="7" t="s">
        <v>697</v>
      </c>
      <c r="D465" s="7" t="s">
        <v>2469</v>
      </c>
      <c r="E465" s="7" t="s">
        <v>2470</v>
      </c>
      <c r="F465" s="7"/>
      <c r="G465" s="7" t="s">
        <v>125</v>
      </c>
      <c r="H465" s="7" t="s">
        <v>90</v>
      </c>
      <c r="I465">
        <v>2025</v>
      </c>
    </row>
    <row r="466" spans="1:9" x14ac:dyDescent="0.3">
      <c r="A466" s="6" t="s">
        <v>2472</v>
      </c>
      <c r="B466" t="s">
        <v>4996</v>
      </c>
      <c r="C466" s="7" t="s">
        <v>416</v>
      </c>
      <c r="D466" s="7" t="s">
        <v>2474</v>
      </c>
      <c r="E466" s="7" t="s">
        <v>2475</v>
      </c>
      <c r="F466" s="7"/>
      <c r="G466" s="7" t="s">
        <v>125</v>
      </c>
      <c r="H466" s="7" t="s">
        <v>90</v>
      </c>
      <c r="I466">
        <v>2025</v>
      </c>
    </row>
    <row r="467" spans="1:9" x14ac:dyDescent="0.3">
      <c r="A467" s="6" t="s">
        <v>2476</v>
      </c>
      <c r="B467" t="s">
        <v>4997</v>
      </c>
      <c r="C467" s="7" t="s">
        <v>658</v>
      </c>
      <c r="D467" s="7" t="s">
        <v>1653</v>
      </c>
      <c r="E467" s="7" t="s">
        <v>2478</v>
      </c>
      <c r="F467" s="7"/>
      <c r="G467" s="7" t="s">
        <v>125</v>
      </c>
      <c r="H467" s="7" t="s">
        <v>90</v>
      </c>
      <c r="I467">
        <v>2025</v>
      </c>
    </row>
    <row r="468" spans="1:9" x14ac:dyDescent="0.3">
      <c r="A468" s="6" t="s">
        <v>2481</v>
      </c>
      <c r="B468" t="s">
        <v>4998</v>
      </c>
      <c r="C468" s="7" t="s">
        <v>2484</v>
      </c>
      <c r="D468" s="7" t="s">
        <v>2485</v>
      </c>
      <c r="E468" s="7" t="s">
        <v>2486</v>
      </c>
      <c r="F468" s="7"/>
      <c r="G468" s="7" t="s">
        <v>125</v>
      </c>
      <c r="H468" s="7" t="s">
        <v>90</v>
      </c>
      <c r="I468">
        <v>2025</v>
      </c>
    </row>
    <row r="469" spans="1:9" x14ac:dyDescent="0.3">
      <c r="A469" s="6" t="s">
        <v>2488</v>
      </c>
      <c r="B469" t="s">
        <v>4999</v>
      </c>
      <c r="C469" s="7" t="s">
        <v>1063</v>
      </c>
      <c r="D469" s="7" t="s">
        <v>2490</v>
      </c>
      <c r="E469" s="7" t="s">
        <v>2491</v>
      </c>
      <c r="F469" s="7"/>
      <c r="G469" s="7" t="s">
        <v>125</v>
      </c>
      <c r="H469" s="7" t="s">
        <v>90</v>
      </c>
      <c r="I469">
        <v>2025</v>
      </c>
    </row>
    <row r="470" spans="1:9" x14ac:dyDescent="0.3">
      <c r="A470" s="6" t="s">
        <v>2493</v>
      </c>
      <c r="B470" t="s">
        <v>5000</v>
      </c>
      <c r="C470" s="7" t="s">
        <v>299</v>
      </c>
      <c r="D470" s="7" t="s">
        <v>1684</v>
      </c>
      <c r="E470" s="7" t="s">
        <v>2495</v>
      </c>
      <c r="F470" s="7"/>
      <c r="G470" s="7" t="s">
        <v>125</v>
      </c>
      <c r="H470" s="7" t="s">
        <v>90</v>
      </c>
      <c r="I470">
        <v>2025</v>
      </c>
    </row>
    <row r="471" spans="1:9" x14ac:dyDescent="0.3">
      <c r="A471" s="6" t="s">
        <v>2496</v>
      </c>
      <c r="B471" t="s">
        <v>5001</v>
      </c>
      <c r="C471" s="7" t="s">
        <v>334</v>
      </c>
      <c r="D471" s="7" t="s">
        <v>2498</v>
      </c>
      <c r="E471" s="7" t="s">
        <v>2499</v>
      </c>
      <c r="F471" s="7"/>
      <c r="G471" s="7" t="s">
        <v>125</v>
      </c>
      <c r="H471" s="7" t="s">
        <v>90</v>
      </c>
      <c r="I471">
        <v>2025</v>
      </c>
    </row>
    <row r="472" spans="1:9" x14ac:dyDescent="0.3">
      <c r="A472" s="6" t="s">
        <v>2501</v>
      </c>
      <c r="B472" t="s">
        <v>5002</v>
      </c>
      <c r="C472" s="7" t="s">
        <v>2504</v>
      </c>
      <c r="D472" s="7" t="s">
        <v>2505</v>
      </c>
      <c r="E472" s="7"/>
      <c r="F472" s="7"/>
      <c r="G472" s="7" t="s">
        <v>125</v>
      </c>
      <c r="H472" s="7" t="s">
        <v>90</v>
      </c>
      <c r="I472">
        <v>2025</v>
      </c>
    </row>
    <row r="473" spans="1:9" x14ac:dyDescent="0.3">
      <c r="A473" s="6" t="s">
        <v>2506</v>
      </c>
      <c r="B473" t="s">
        <v>5003</v>
      </c>
      <c r="C473" s="7"/>
      <c r="D473" s="7"/>
      <c r="E473" s="7"/>
      <c r="F473" s="7"/>
      <c r="G473" s="7" t="s">
        <v>125</v>
      </c>
      <c r="H473" s="7" t="s">
        <v>90</v>
      </c>
      <c r="I473">
        <v>2025</v>
      </c>
    </row>
    <row r="474" spans="1:9" x14ac:dyDescent="0.3">
      <c r="A474" s="6" t="s">
        <v>2508</v>
      </c>
      <c r="B474" t="s">
        <v>5004</v>
      </c>
      <c r="C474" s="7" t="s">
        <v>2510</v>
      </c>
      <c r="D474" s="7" t="s">
        <v>2511</v>
      </c>
      <c r="E474" s="7" t="s">
        <v>2512</v>
      </c>
      <c r="F474" s="7"/>
      <c r="G474" s="7" t="s">
        <v>125</v>
      </c>
      <c r="H474" s="7" t="s">
        <v>90</v>
      </c>
      <c r="I474">
        <v>2025</v>
      </c>
    </row>
    <row r="475" spans="1:9" x14ac:dyDescent="0.3">
      <c r="A475" s="6" t="s">
        <v>2514</v>
      </c>
      <c r="B475" t="s">
        <v>5005</v>
      </c>
      <c r="C475" s="7" t="s">
        <v>439</v>
      </c>
      <c r="D475" s="7" t="s">
        <v>2516</v>
      </c>
      <c r="E475" s="7" t="s">
        <v>2517</v>
      </c>
      <c r="F475" s="7"/>
      <c r="G475" s="7" t="s">
        <v>125</v>
      </c>
      <c r="H475" s="7" t="s">
        <v>90</v>
      </c>
      <c r="I475">
        <v>2025</v>
      </c>
    </row>
    <row r="476" spans="1:9" x14ac:dyDescent="0.3">
      <c r="A476" s="6" t="s">
        <v>2519</v>
      </c>
      <c r="B476" t="s">
        <v>5006</v>
      </c>
      <c r="C476" s="7" t="s">
        <v>2521</v>
      </c>
      <c r="D476" s="7" t="s">
        <v>289</v>
      </c>
      <c r="E476" s="7" t="s">
        <v>2522</v>
      </c>
      <c r="F476" s="7"/>
      <c r="G476" s="7" t="s">
        <v>125</v>
      </c>
      <c r="H476" s="7" t="s">
        <v>90</v>
      </c>
      <c r="I476">
        <v>2025</v>
      </c>
    </row>
    <row r="477" spans="1:9" x14ac:dyDescent="0.3">
      <c r="A477" s="6" t="s">
        <v>2523</v>
      </c>
      <c r="B477" t="s">
        <v>5007</v>
      </c>
      <c r="C477" s="7" t="s">
        <v>406</v>
      </c>
      <c r="D477" s="7" t="s">
        <v>2525</v>
      </c>
      <c r="E477" s="7" t="s">
        <v>2526</v>
      </c>
      <c r="F477" s="7"/>
      <c r="G477" s="7" t="s">
        <v>125</v>
      </c>
      <c r="H477" s="7" t="s">
        <v>90</v>
      </c>
      <c r="I477">
        <v>2025</v>
      </c>
    </row>
    <row r="478" spans="1:9" x14ac:dyDescent="0.3">
      <c r="A478" s="6" t="s">
        <v>2527</v>
      </c>
      <c r="B478" t="s">
        <v>5008</v>
      </c>
      <c r="C478" s="7" t="s">
        <v>2529</v>
      </c>
      <c r="D478" s="7" t="s">
        <v>1433</v>
      </c>
      <c r="E478" s="7" t="s">
        <v>2530</v>
      </c>
      <c r="F478" s="7"/>
      <c r="G478" s="7" t="s">
        <v>125</v>
      </c>
      <c r="H478" s="7" t="s">
        <v>90</v>
      </c>
      <c r="I478">
        <v>2025</v>
      </c>
    </row>
    <row r="479" spans="1:9" x14ac:dyDescent="0.3">
      <c r="A479" s="6" t="s">
        <v>2531</v>
      </c>
      <c r="B479" t="s">
        <v>5009</v>
      </c>
      <c r="C479" s="7" t="s">
        <v>620</v>
      </c>
      <c r="D479" s="7" t="s">
        <v>2533</v>
      </c>
      <c r="E479" s="7" t="s">
        <v>2534</v>
      </c>
      <c r="F479" s="7"/>
      <c r="G479" s="7" t="s">
        <v>125</v>
      </c>
      <c r="H479" s="7" t="s">
        <v>90</v>
      </c>
      <c r="I479">
        <v>2025</v>
      </c>
    </row>
    <row r="480" spans="1:9" x14ac:dyDescent="0.3">
      <c r="A480" s="6" t="s">
        <v>2536</v>
      </c>
      <c r="B480" t="s">
        <v>5010</v>
      </c>
      <c r="C480" s="7" t="s">
        <v>2538</v>
      </c>
      <c r="D480" s="7" t="s">
        <v>1297</v>
      </c>
      <c r="E480" s="7" t="s">
        <v>2539</v>
      </c>
      <c r="F480" s="7"/>
      <c r="G480" s="7" t="s">
        <v>125</v>
      </c>
      <c r="H480" s="7" t="s">
        <v>90</v>
      </c>
      <c r="I480">
        <v>2025</v>
      </c>
    </row>
    <row r="481" spans="1:9" x14ac:dyDescent="0.3">
      <c r="A481" s="6" t="s">
        <v>2540</v>
      </c>
      <c r="B481" t="s">
        <v>5011</v>
      </c>
      <c r="C481" s="7" t="s">
        <v>2542</v>
      </c>
      <c r="D481" s="7" t="s">
        <v>2543</v>
      </c>
      <c r="E481" s="7" t="s">
        <v>2544</v>
      </c>
      <c r="F481" s="7"/>
      <c r="G481" s="7" t="s">
        <v>125</v>
      </c>
      <c r="H481" s="7" t="s">
        <v>90</v>
      </c>
      <c r="I481">
        <v>2025</v>
      </c>
    </row>
    <row r="482" spans="1:9" ht="27.6" x14ac:dyDescent="0.3">
      <c r="A482" s="6" t="s">
        <v>2545</v>
      </c>
      <c r="B482" t="s">
        <v>5012</v>
      </c>
      <c r="C482" s="7" t="s">
        <v>2547</v>
      </c>
      <c r="D482" s="7" t="s">
        <v>2548</v>
      </c>
      <c r="E482" s="7" t="s">
        <v>2549</v>
      </c>
      <c r="F482" s="7"/>
      <c r="G482" s="7" t="s">
        <v>125</v>
      </c>
      <c r="H482" s="7" t="s">
        <v>90</v>
      </c>
      <c r="I482">
        <v>2025</v>
      </c>
    </row>
    <row r="483" spans="1:9" x14ac:dyDescent="0.3">
      <c r="A483" s="6" t="s">
        <v>2550</v>
      </c>
      <c r="B483" t="s">
        <v>5013</v>
      </c>
      <c r="C483" s="7" t="s">
        <v>668</v>
      </c>
      <c r="D483" s="7" t="s">
        <v>2552</v>
      </c>
      <c r="E483" s="7" t="s">
        <v>2553</v>
      </c>
      <c r="F483" s="7"/>
      <c r="G483" s="7" t="s">
        <v>125</v>
      </c>
      <c r="H483" s="7" t="s">
        <v>90</v>
      </c>
      <c r="I483">
        <v>2025</v>
      </c>
    </row>
    <row r="484" spans="1:9" x14ac:dyDescent="0.3">
      <c r="A484" s="6" t="s">
        <v>2555</v>
      </c>
      <c r="B484" t="s">
        <v>5014</v>
      </c>
      <c r="C484" s="7" t="s">
        <v>2558</v>
      </c>
      <c r="D484" s="7" t="s">
        <v>2559</v>
      </c>
      <c r="E484" s="7" t="s">
        <v>2560</v>
      </c>
      <c r="F484" s="7"/>
      <c r="G484" s="7" t="s">
        <v>125</v>
      </c>
      <c r="H484" s="7" t="s">
        <v>90</v>
      </c>
      <c r="I484">
        <v>2025</v>
      </c>
    </row>
    <row r="485" spans="1:9" x14ac:dyDescent="0.3">
      <c r="A485" s="6" t="s">
        <v>2562</v>
      </c>
      <c r="B485" t="s">
        <v>5015</v>
      </c>
      <c r="C485" s="7" t="s">
        <v>2564</v>
      </c>
      <c r="D485" s="7" t="s">
        <v>2565</v>
      </c>
      <c r="E485" s="7"/>
      <c r="F485" s="7"/>
      <c r="G485" s="7" t="s">
        <v>125</v>
      </c>
      <c r="H485" s="7" t="s">
        <v>90</v>
      </c>
      <c r="I485">
        <v>2025</v>
      </c>
    </row>
    <row r="486" spans="1:9" x14ac:dyDescent="0.3">
      <c r="A486" s="6" t="s">
        <v>2566</v>
      </c>
      <c r="B486" t="s">
        <v>5016</v>
      </c>
      <c r="C486" s="7" t="s">
        <v>1143</v>
      </c>
      <c r="D486" s="7" t="s">
        <v>2568</v>
      </c>
      <c r="E486" s="7" t="s">
        <v>2569</v>
      </c>
      <c r="F486" s="7"/>
      <c r="G486" s="7" t="s">
        <v>125</v>
      </c>
      <c r="H486" s="7" t="s">
        <v>90</v>
      </c>
      <c r="I486">
        <v>2025</v>
      </c>
    </row>
    <row r="487" spans="1:9" ht="27.6" x14ac:dyDescent="0.3">
      <c r="A487" s="6" t="s">
        <v>2570</v>
      </c>
      <c r="B487" t="s">
        <v>5017</v>
      </c>
      <c r="C487" s="7" t="s">
        <v>2572</v>
      </c>
      <c r="D487" s="7" t="s">
        <v>2573</v>
      </c>
      <c r="E487" s="7" t="s">
        <v>2574</v>
      </c>
      <c r="F487" s="7"/>
      <c r="G487" s="7" t="s">
        <v>125</v>
      </c>
      <c r="H487" s="7" t="s">
        <v>90</v>
      </c>
      <c r="I487">
        <v>2025</v>
      </c>
    </row>
    <row r="488" spans="1:9" x14ac:dyDescent="0.3">
      <c r="A488" s="6" t="s">
        <v>2576</v>
      </c>
      <c r="B488" t="s">
        <v>5018</v>
      </c>
      <c r="C488" s="7" t="s">
        <v>458</v>
      </c>
      <c r="D488" s="7" t="s">
        <v>2578</v>
      </c>
      <c r="E488" s="7" t="s">
        <v>2579</v>
      </c>
      <c r="F488" s="7"/>
      <c r="G488" s="7" t="s">
        <v>125</v>
      </c>
      <c r="H488" s="7" t="s">
        <v>90</v>
      </c>
      <c r="I488">
        <v>2025</v>
      </c>
    </row>
    <row r="489" spans="1:9" x14ac:dyDescent="0.3">
      <c r="A489" s="6" t="s">
        <v>2580</v>
      </c>
      <c r="B489" t="s">
        <v>5019</v>
      </c>
      <c r="C489" s="7" t="s">
        <v>458</v>
      </c>
      <c r="D489" s="7" t="s">
        <v>2582</v>
      </c>
      <c r="E489" s="7" t="s">
        <v>2583</v>
      </c>
      <c r="F489" s="7"/>
      <c r="G489" s="7" t="s">
        <v>125</v>
      </c>
      <c r="H489" s="7" t="s">
        <v>90</v>
      </c>
      <c r="I489">
        <v>2025</v>
      </c>
    </row>
    <row r="490" spans="1:9" ht="27.6" x14ac:dyDescent="0.3">
      <c r="A490" s="6" t="s">
        <v>2584</v>
      </c>
      <c r="B490" t="s">
        <v>5020</v>
      </c>
      <c r="C490" s="7" t="s">
        <v>2586</v>
      </c>
      <c r="D490" s="7" t="s">
        <v>2587</v>
      </c>
      <c r="E490" s="7" t="s">
        <v>2588</v>
      </c>
      <c r="F490" s="7"/>
      <c r="G490" s="7" t="s">
        <v>125</v>
      </c>
      <c r="H490" s="7" t="s">
        <v>90</v>
      </c>
      <c r="I490">
        <v>2025</v>
      </c>
    </row>
    <row r="491" spans="1:9" x14ac:dyDescent="0.3">
      <c r="A491" s="6" t="s">
        <v>2589</v>
      </c>
      <c r="B491" t="s">
        <v>5021</v>
      </c>
      <c r="C491" s="7" t="s">
        <v>2591</v>
      </c>
      <c r="D491" s="7" t="s">
        <v>412</v>
      </c>
      <c r="E491" s="7" t="s">
        <v>2592</v>
      </c>
      <c r="F491" s="7"/>
      <c r="G491" s="7" t="s">
        <v>125</v>
      </c>
      <c r="H491" s="7" t="s">
        <v>90</v>
      </c>
      <c r="I491">
        <v>2025</v>
      </c>
    </row>
    <row r="492" spans="1:9" x14ac:dyDescent="0.3">
      <c r="A492" s="6" t="s">
        <v>2594</v>
      </c>
      <c r="B492" t="s">
        <v>5022</v>
      </c>
      <c r="C492" s="7" t="s">
        <v>206</v>
      </c>
      <c r="D492" s="7" t="s">
        <v>2596</v>
      </c>
      <c r="E492" s="7" t="s">
        <v>2597</v>
      </c>
      <c r="F492" s="7"/>
      <c r="G492" s="7" t="s">
        <v>125</v>
      </c>
      <c r="H492" s="7" t="s">
        <v>90</v>
      </c>
      <c r="I492">
        <v>2025</v>
      </c>
    </row>
    <row r="493" spans="1:9" x14ac:dyDescent="0.3">
      <c r="A493" s="6" t="s">
        <v>2600</v>
      </c>
      <c r="B493" t="s">
        <v>5023</v>
      </c>
      <c r="C493" s="7" t="s">
        <v>2602</v>
      </c>
      <c r="D493" s="7" t="s">
        <v>2603</v>
      </c>
      <c r="E493" s="7" t="s">
        <v>2604</v>
      </c>
      <c r="F493" s="7"/>
      <c r="G493" s="7" t="s">
        <v>125</v>
      </c>
      <c r="H493" s="7" t="s">
        <v>90</v>
      </c>
      <c r="I493">
        <v>2025</v>
      </c>
    </row>
    <row r="494" spans="1:9" x14ac:dyDescent="0.3">
      <c r="A494" s="6" t="s">
        <v>2606</v>
      </c>
      <c r="B494" t="s">
        <v>5024</v>
      </c>
      <c r="C494" s="7" t="s">
        <v>658</v>
      </c>
      <c r="D494" s="7" t="s">
        <v>846</v>
      </c>
      <c r="E494" s="7" t="s">
        <v>2608</v>
      </c>
      <c r="F494" s="7"/>
      <c r="G494" s="7" t="s">
        <v>125</v>
      </c>
      <c r="H494" s="7" t="s">
        <v>90</v>
      </c>
      <c r="I494">
        <v>2025</v>
      </c>
    </row>
    <row r="495" spans="1:9" x14ac:dyDescent="0.3">
      <c r="A495" s="6" t="s">
        <v>2611</v>
      </c>
      <c r="B495" t="s">
        <v>5025</v>
      </c>
      <c r="C495" s="7" t="s">
        <v>1728</v>
      </c>
      <c r="D495" s="7" t="s">
        <v>2613</v>
      </c>
      <c r="E495" s="7" t="s">
        <v>2614</v>
      </c>
      <c r="F495" s="7"/>
      <c r="G495" s="7" t="s">
        <v>125</v>
      </c>
      <c r="H495" s="7" t="s">
        <v>90</v>
      </c>
      <c r="I495">
        <v>2025</v>
      </c>
    </row>
    <row r="496" spans="1:9" x14ac:dyDescent="0.3">
      <c r="A496" s="6" t="s">
        <v>2617</v>
      </c>
      <c r="B496" t="s">
        <v>5026</v>
      </c>
      <c r="C496" s="7" t="s">
        <v>2619</v>
      </c>
      <c r="D496" s="7" t="s">
        <v>2620</v>
      </c>
      <c r="E496" s="7" t="s">
        <v>2621</v>
      </c>
      <c r="F496" s="7"/>
      <c r="G496" s="7" t="s">
        <v>125</v>
      </c>
      <c r="H496" s="7" t="s">
        <v>90</v>
      </c>
      <c r="I496">
        <v>2025</v>
      </c>
    </row>
    <row r="497" spans="1:9" x14ac:dyDescent="0.3">
      <c r="A497" s="6" t="s">
        <v>2622</v>
      </c>
      <c r="B497" t="s">
        <v>5027</v>
      </c>
      <c r="C497" s="7" t="s">
        <v>932</v>
      </c>
      <c r="D497" s="7" t="s">
        <v>2624</v>
      </c>
      <c r="E497" s="7" t="s">
        <v>2625</v>
      </c>
      <c r="F497" s="7"/>
      <c r="G497" s="7" t="s">
        <v>125</v>
      </c>
      <c r="H497" s="7" t="s">
        <v>90</v>
      </c>
      <c r="I497">
        <v>2025</v>
      </c>
    </row>
    <row r="498" spans="1:9" x14ac:dyDescent="0.3">
      <c r="A498" s="6" t="s">
        <v>2627</v>
      </c>
      <c r="B498" t="s">
        <v>5028</v>
      </c>
      <c r="C498" s="7" t="s">
        <v>2629</v>
      </c>
      <c r="D498" s="7" t="s">
        <v>2630</v>
      </c>
      <c r="E498" s="7" t="s">
        <v>2631</v>
      </c>
      <c r="F498" s="7"/>
      <c r="G498" s="7" t="s">
        <v>125</v>
      </c>
      <c r="H498" s="7" t="s">
        <v>90</v>
      </c>
      <c r="I498">
        <v>2025</v>
      </c>
    </row>
    <row r="499" spans="1:9" x14ac:dyDescent="0.3">
      <c r="A499" s="6" t="s">
        <v>2632</v>
      </c>
      <c r="B499" t="s">
        <v>5029</v>
      </c>
      <c r="C499" s="7" t="s">
        <v>428</v>
      </c>
      <c r="D499" s="7" t="s">
        <v>1364</v>
      </c>
      <c r="E499" s="7" t="s">
        <v>2634</v>
      </c>
      <c r="F499" s="7"/>
      <c r="G499" s="7" t="s">
        <v>125</v>
      </c>
      <c r="H499" s="7" t="s">
        <v>90</v>
      </c>
      <c r="I499">
        <v>2025</v>
      </c>
    </row>
    <row r="500" spans="1:9" x14ac:dyDescent="0.3">
      <c r="A500" s="6" t="s">
        <v>2636</v>
      </c>
      <c r="B500" t="s">
        <v>5030</v>
      </c>
      <c r="C500" s="7" t="s">
        <v>630</v>
      </c>
      <c r="D500" s="7" t="s">
        <v>2638</v>
      </c>
      <c r="E500" s="7" t="s">
        <v>2639</v>
      </c>
      <c r="F500" s="7"/>
      <c r="G500" s="7" t="s">
        <v>125</v>
      </c>
      <c r="H500" s="7" t="s">
        <v>90</v>
      </c>
      <c r="I500">
        <v>2025</v>
      </c>
    </row>
    <row r="501" spans="1:9" ht="27.6" x14ac:dyDescent="0.3">
      <c r="A501" s="6" t="s">
        <v>2640</v>
      </c>
      <c r="B501" t="s">
        <v>5031</v>
      </c>
      <c r="C501" s="7" t="s">
        <v>264</v>
      </c>
      <c r="D501" s="7" t="s">
        <v>2642</v>
      </c>
      <c r="E501" s="7" t="s">
        <v>2643</v>
      </c>
      <c r="F501" s="7"/>
      <c r="G501" s="7" t="s">
        <v>125</v>
      </c>
      <c r="H501" s="7" t="s">
        <v>90</v>
      </c>
      <c r="I501">
        <v>2025</v>
      </c>
    </row>
    <row r="502" spans="1:9" x14ac:dyDescent="0.3">
      <c r="A502" s="6" t="s">
        <v>2646</v>
      </c>
      <c r="B502" t="s">
        <v>5032</v>
      </c>
      <c r="C502" s="7" t="s">
        <v>264</v>
      </c>
      <c r="D502" s="7" t="s">
        <v>2648</v>
      </c>
      <c r="E502" s="7" t="s">
        <v>2649</v>
      </c>
      <c r="F502" s="7"/>
      <c r="G502" s="7" t="s">
        <v>125</v>
      </c>
      <c r="H502" s="7" t="s">
        <v>90</v>
      </c>
      <c r="I502">
        <v>2025</v>
      </c>
    </row>
    <row r="503" spans="1:9" x14ac:dyDescent="0.3">
      <c r="A503" s="6" t="s">
        <v>2650</v>
      </c>
      <c r="B503" t="s">
        <v>5033</v>
      </c>
      <c r="C503" s="7" t="s">
        <v>2652</v>
      </c>
      <c r="D503" s="7" t="s">
        <v>939</v>
      </c>
      <c r="E503" s="7" t="s">
        <v>2653</v>
      </c>
      <c r="F503" s="7"/>
      <c r="G503" s="7" t="s">
        <v>125</v>
      </c>
      <c r="H503" s="7" t="s">
        <v>90</v>
      </c>
      <c r="I503">
        <v>2025</v>
      </c>
    </row>
    <row r="504" spans="1:9" x14ac:dyDescent="0.3">
      <c r="A504" s="6" t="s">
        <v>2654</v>
      </c>
      <c r="B504" t="s">
        <v>5034</v>
      </c>
      <c r="C504" s="7" t="s">
        <v>2656</v>
      </c>
      <c r="D504" s="7" t="s">
        <v>2657</v>
      </c>
      <c r="E504" s="7" t="s">
        <v>2658</v>
      </c>
      <c r="F504" s="7"/>
      <c r="G504" s="7" t="s">
        <v>125</v>
      </c>
      <c r="H504" s="7" t="s">
        <v>90</v>
      </c>
      <c r="I504">
        <v>2025</v>
      </c>
    </row>
    <row r="505" spans="1:9" x14ac:dyDescent="0.3">
      <c r="A505" s="6" t="s">
        <v>2659</v>
      </c>
      <c r="B505" t="s">
        <v>5035</v>
      </c>
      <c r="C505" s="7" t="s">
        <v>2661</v>
      </c>
      <c r="D505" s="7" t="s">
        <v>2662</v>
      </c>
      <c r="E505" s="7" t="s">
        <v>2663</v>
      </c>
      <c r="F505" s="7"/>
      <c r="G505" s="7" t="s">
        <v>125</v>
      </c>
      <c r="H505" s="7" t="s">
        <v>90</v>
      </c>
      <c r="I505">
        <v>2025</v>
      </c>
    </row>
    <row r="506" spans="1:9" x14ac:dyDescent="0.3">
      <c r="A506" s="6" t="s">
        <v>2664</v>
      </c>
      <c r="B506" t="s">
        <v>5036</v>
      </c>
      <c r="C506" s="7" t="s">
        <v>272</v>
      </c>
      <c r="D506" s="7" t="s">
        <v>2666</v>
      </c>
      <c r="E506" s="7" t="s">
        <v>2667</v>
      </c>
      <c r="F506" s="7"/>
      <c r="G506" s="7" t="s">
        <v>125</v>
      </c>
      <c r="H506" s="7" t="s">
        <v>90</v>
      </c>
      <c r="I506">
        <v>2025</v>
      </c>
    </row>
    <row r="507" spans="1:9" x14ac:dyDescent="0.3">
      <c r="A507" s="6" t="s">
        <v>2668</v>
      </c>
      <c r="B507" t="s">
        <v>5037</v>
      </c>
      <c r="C507" s="7" t="s">
        <v>2670</v>
      </c>
      <c r="D507" s="7" t="s">
        <v>2671</v>
      </c>
      <c r="E507" s="7"/>
      <c r="F507" s="7"/>
      <c r="G507" s="7" t="s">
        <v>125</v>
      </c>
      <c r="H507" s="7" t="s">
        <v>90</v>
      </c>
      <c r="I507">
        <v>2025</v>
      </c>
    </row>
    <row r="508" spans="1:9" ht="27.6" x14ac:dyDescent="0.3">
      <c r="A508" s="6" t="s">
        <v>2672</v>
      </c>
      <c r="B508" t="s">
        <v>5038</v>
      </c>
      <c r="C508" s="7" t="s">
        <v>850</v>
      </c>
      <c r="D508" s="7" t="s">
        <v>2674</v>
      </c>
      <c r="E508" s="7" t="s">
        <v>2675</v>
      </c>
      <c r="F508" s="7"/>
      <c r="G508" s="7" t="s">
        <v>125</v>
      </c>
      <c r="H508" s="7" t="s">
        <v>90</v>
      </c>
      <c r="I508">
        <v>2025</v>
      </c>
    </row>
    <row r="509" spans="1:9" x14ac:dyDescent="0.3">
      <c r="A509" s="6" t="s">
        <v>2676</v>
      </c>
      <c r="B509" t="s">
        <v>5039</v>
      </c>
      <c r="C509" s="7" t="s">
        <v>2678</v>
      </c>
      <c r="D509" s="7" t="s">
        <v>2679</v>
      </c>
      <c r="E509" s="7" t="s">
        <v>2680</v>
      </c>
      <c r="F509" s="7"/>
      <c r="G509" s="7" t="s">
        <v>125</v>
      </c>
      <c r="H509" s="7" t="s">
        <v>90</v>
      </c>
      <c r="I509">
        <v>2025</v>
      </c>
    </row>
    <row r="510" spans="1:9" x14ac:dyDescent="0.3">
      <c r="A510" s="6" t="s">
        <v>2681</v>
      </c>
      <c r="B510" t="s">
        <v>5040</v>
      </c>
      <c r="C510" s="7" t="s">
        <v>2683</v>
      </c>
      <c r="D510" s="7" t="s">
        <v>2684</v>
      </c>
      <c r="E510" s="7"/>
      <c r="F510" s="7"/>
      <c r="G510" s="7" t="s">
        <v>125</v>
      </c>
      <c r="H510" s="7" t="s">
        <v>90</v>
      </c>
      <c r="I510">
        <v>2025</v>
      </c>
    </row>
    <row r="511" spans="1:9" ht="27.6" x14ac:dyDescent="0.3">
      <c r="A511" s="6" t="s">
        <v>2685</v>
      </c>
      <c r="B511" t="s">
        <v>5041</v>
      </c>
      <c r="C511" s="7" t="s">
        <v>2687</v>
      </c>
      <c r="D511" s="7" t="s">
        <v>2688</v>
      </c>
      <c r="E511" s="7" t="s">
        <v>2689</v>
      </c>
      <c r="F511" s="7"/>
      <c r="G511" s="7" t="s">
        <v>125</v>
      </c>
      <c r="H511" s="7" t="s">
        <v>90</v>
      </c>
      <c r="I511">
        <v>2025</v>
      </c>
    </row>
    <row r="512" spans="1:9" x14ac:dyDescent="0.3">
      <c r="A512" s="6" t="s">
        <v>2690</v>
      </c>
      <c r="B512" t="s">
        <v>5042</v>
      </c>
      <c r="C512" s="7" t="s">
        <v>2692</v>
      </c>
      <c r="D512" s="7" t="s">
        <v>2693</v>
      </c>
      <c r="E512" s="7" t="s">
        <v>2694</v>
      </c>
      <c r="F512" s="7"/>
      <c r="G512" s="7" t="s">
        <v>125</v>
      </c>
      <c r="H512" s="7" t="s">
        <v>90</v>
      </c>
      <c r="I512">
        <v>2025</v>
      </c>
    </row>
    <row r="513" spans="1:9" x14ac:dyDescent="0.3">
      <c r="A513" s="6" t="s">
        <v>2695</v>
      </c>
      <c r="B513" t="s">
        <v>5043</v>
      </c>
      <c r="C513" s="7" t="s">
        <v>2697</v>
      </c>
      <c r="D513" s="7" t="s">
        <v>2698</v>
      </c>
      <c r="E513" s="7"/>
      <c r="F513" s="7"/>
      <c r="G513" s="7" t="s">
        <v>125</v>
      </c>
      <c r="H513" s="7" t="s">
        <v>90</v>
      </c>
      <c r="I513">
        <v>2025</v>
      </c>
    </row>
    <row r="514" spans="1:9" x14ac:dyDescent="0.3">
      <c r="A514" s="6" t="s">
        <v>2699</v>
      </c>
      <c r="B514" t="s">
        <v>5044</v>
      </c>
      <c r="C514" s="7" t="s">
        <v>2701</v>
      </c>
      <c r="D514" s="7" t="s">
        <v>2702</v>
      </c>
      <c r="E514" s="7" t="s">
        <v>2703</v>
      </c>
      <c r="F514" s="7"/>
      <c r="G514" s="7" t="s">
        <v>125</v>
      </c>
      <c r="H514" s="7" t="s">
        <v>90</v>
      </c>
      <c r="I514">
        <v>2025</v>
      </c>
    </row>
    <row r="515" spans="1:9" ht="27.6" x14ac:dyDescent="0.3">
      <c r="A515" s="6" t="s">
        <v>2706</v>
      </c>
      <c r="B515" t="s">
        <v>5045</v>
      </c>
      <c r="C515" s="7" t="s">
        <v>2709</v>
      </c>
      <c r="D515" s="7" t="s">
        <v>2710</v>
      </c>
      <c r="E515" s="7" t="s">
        <v>2711</v>
      </c>
      <c r="F515" s="7"/>
      <c r="G515" s="7" t="s">
        <v>125</v>
      </c>
      <c r="H515" s="7" t="s">
        <v>90</v>
      </c>
      <c r="I515">
        <v>2025</v>
      </c>
    </row>
    <row r="516" spans="1:9" ht="27.6" x14ac:dyDescent="0.3">
      <c r="A516" s="6" t="s">
        <v>2712</v>
      </c>
      <c r="B516" t="s">
        <v>5046</v>
      </c>
      <c r="C516" s="7" t="s">
        <v>965</v>
      </c>
      <c r="D516" s="7" t="s">
        <v>2714</v>
      </c>
      <c r="E516" s="7" t="s">
        <v>2715</v>
      </c>
      <c r="F516" s="7"/>
      <c r="G516" s="7" t="s">
        <v>125</v>
      </c>
      <c r="H516" s="7" t="s">
        <v>90</v>
      </c>
      <c r="I516">
        <v>2025</v>
      </c>
    </row>
    <row r="517" spans="1:9" x14ac:dyDescent="0.3">
      <c r="A517" s="6" t="s">
        <v>2716</v>
      </c>
      <c r="B517" t="s">
        <v>5047</v>
      </c>
      <c r="C517" s="7" t="s">
        <v>2718</v>
      </c>
      <c r="D517" s="7" t="s">
        <v>2719</v>
      </c>
      <c r="E517" s="7" t="s">
        <v>2720</v>
      </c>
      <c r="F517" s="7"/>
      <c r="G517" s="7" t="s">
        <v>125</v>
      </c>
      <c r="H517" s="7" t="s">
        <v>90</v>
      </c>
      <c r="I517">
        <v>2025</v>
      </c>
    </row>
    <row r="518" spans="1:9" x14ac:dyDescent="0.3">
      <c r="A518" s="6" t="s">
        <v>2721</v>
      </c>
      <c r="B518" t="s">
        <v>5048</v>
      </c>
      <c r="C518" s="7" t="s">
        <v>439</v>
      </c>
      <c r="D518" s="7" t="s">
        <v>2723</v>
      </c>
      <c r="E518" s="7" t="s">
        <v>2724</v>
      </c>
      <c r="F518" s="7"/>
      <c r="G518" s="7" t="s">
        <v>125</v>
      </c>
      <c r="H518" s="7" t="s">
        <v>90</v>
      </c>
      <c r="I518">
        <v>2025</v>
      </c>
    </row>
    <row r="519" spans="1:9" x14ac:dyDescent="0.3">
      <c r="A519" s="6" t="s">
        <v>2725</v>
      </c>
      <c r="B519" t="s">
        <v>5049</v>
      </c>
      <c r="C519" s="7" t="s">
        <v>2727</v>
      </c>
      <c r="D519" s="7" t="s">
        <v>2728</v>
      </c>
      <c r="E519" s="7" t="s">
        <v>2729</v>
      </c>
      <c r="F519" s="7"/>
      <c r="G519" s="7" t="s">
        <v>125</v>
      </c>
      <c r="H519" s="7" t="s">
        <v>90</v>
      </c>
      <c r="I519">
        <v>2025</v>
      </c>
    </row>
    <row r="520" spans="1:9" x14ac:dyDescent="0.3">
      <c r="A520" s="6" t="s">
        <v>2731</v>
      </c>
      <c r="B520" t="s">
        <v>5050</v>
      </c>
      <c r="C520" s="7" t="s">
        <v>1661</v>
      </c>
      <c r="D520" s="7" t="s">
        <v>2733</v>
      </c>
      <c r="E520" s="7" t="s">
        <v>2734</v>
      </c>
      <c r="F520" s="7"/>
      <c r="G520" s="7" t="s">
        <v>125</v>
      </c>
      <c r="H520" s="7" t="s">
        <v>90</v>
      </c>
      <c r="I520">
        <v>2025</v>
      </c>
    </row>
    <row r="521" spans="1:9" x14ac:dyDescent="0.3">
      <c r="A521" s="6" t="s">
        <v>2735</v>
      </c>
      <c r="B521" t="s">
        <v>5051</v>
      </c>
      <c r="C521" s="7" t="s">
        <v>2063</v>
      </c>
      <c r="D521" s="7" t="s">
        <v>2737</v>
      </c>
      <c r="E521" s="7" t="s">
        <v>2738</v>
      </c>
      <c r="F521" s="7"/>
      <c r="G521" s="7" t="s">
        <v>125</v>
      </c>
      <c r="H521" s="7" t="s">
        <v>90</v>
      </c>
      <c r="I521">
        <v>2025</v>
      </c>
    </row>
    <row r="522" spans="1:9" x14ac:dyDescent="0.3">
      <c r="A522" s="6" t="s">
        <v>2739</v>
      </c>
      <c r="B522" t="s">
        <v>5052</v>
      </c>
      <c r="C522" s="7" t="s">
        <v>587</v>
      </c>
      <c r="D522" s="7" t="s">
        <v>1484</v>
      </c>
      <c r="E522" s="7" t="s">
        <v>2741</v>
      </c>
      <c r="F522" s="7"/>
      <c r="G522" s="7" t="s">
        <v>125</v>
      </c>
      <c r="H522" s="7" t="s">
        <v>90</v>
      </c>
      <c r="I522">
        <v>2025</v>
      </c>
    </row>
    <row r="523" spans="1:9" ht="27.6" x14ac:dyDescent="0.3">
      <c r="A523" s="6" t="s">
        <v>2742</v>
      </c>
      <c r="B523" t="s">
        <v>5053</v>
      </c>
      <c r="C523" s="7" t="s">
        <v>2744</v>
      </c>
      <c r="D523" s="7" t="s">
        <v>2745</v>
      </c>
      <c r="E523" s="7" t="s">
        <v>2746</v>
      </c>
      <c r="F523" s="7"/>
      <c r="G523" s="7" t="s">
        <v>125</v>
      </c>
      <c r="H523" s="7" t="s">
        <v>90</v>
      </c>
      <c r="I523">
        <v>2025</v>
      </c>
    </row>
    <row r="524" spans="1:9" x14ac:dyDescent="0.3">
      <c r="A524" s="6" t="s">
        <v>2748</v>
      </c>
      <c r="B524" t="s">
        <v>5054</v>
      </c>
      <c r="C524" s="7" t="s">
        <v>1924</v>
      </c>
      <c r="D524" s="7" t="s">
        <v>659</v>
      </c>
      <c r="E524" s="7" t="s">
        <v>2750</v>
      </c>
      <c r="F524" s="7"/>
      <c r="G524" s="7" t="s">
        <v>125</v>
      </c>
      <c r="H524" s="7" t="s">
        <v>90</v>
      </c>
      <c r="I524">
        <v>2025</v>
      </c>
    </row>
    <row r="525" spans="1:9" x14ac:dyDescent="0.3">
      <c r="A525" s="6" t="s">
        <v>2752</v>
      </c>
      <c r="B525" t="s">
        <v>5055</v>
      </c>
      <c r="C525" s="7" t="s">
        <v>1924</v>
      </c>
      <c r="D525" s="7" t="s">
        <v>1384</v>
      </c>
      <c r="E525" s="7" t="s">
        <v>2754</v>
      </c>
      <c r="F525" s="7"/>
      <c r="G525" s="7" t="s">
        <v>125</v>
      </c>
      <c r="H525" s="7" t="s">
        <v>90</v>
      </c>
      <c r="I525">
        <v>2025</v>
      </c>
    </row>
    <row r="526" spans="1:9" x14ac:dyDescent="0.3">
      <c r="A526" s="6" t="s">
        <v>2755</v>
      </c>
      <c r="B526" t="s">
        <v>5056</v>
      </c>
      <c r="C526" s="7" t="s">
        <v>692</v>
      </c>
      <c r="D526" s="7" t="s">
        <v>1997</v>
      </c>
      <c r="E526" s="7" t="s">
        <v>2757</v>
      </c>
      <c r="F526" s="7"/>
      <c r="G526" s="7" t="s">
        <v>125</v>
      </c>
      <c r="H526" s="7" t="s">
        <v>90</v>
      </c>
      <c r="I526">
        <v>2025</v>
      </c>
    </row>
    <row r="527" spans="1:9" x14ac:dyDescent="0.3">
      <c r="A527" s="6" t="s">
        <v>2758</v>
      </c>
      <c r="B527" t="s">
        <v>5057</v>
      </c>
      <c r="C527" s="7" t="s">
        <v>2760</v>
      </c>
      <c r="D527" s="7" t="s">
        <v>2761</v>
      </c>
      <c r="E527" s="7" t="s">
        <v>2762</v>
      </c>
      <c r="F527" s="7"/>
      <c r="G527" s="7" t="s">
        <v>125</v>
      </c>
      <c r="H527" s="7" t="s">
        <v>90</v>
      </c>
      <c r="I527">
        <v>2025</v>
      </c>
    </row>
    <row r="528" spans="1:9" x14ac:dyDescent="0.3">
      <c r="A528" s="6" t="s">
        <v>2763</v>
      </c>
      <c r="B528" t="s">
        <v>5058</v>
      </c>
      <c r="C528" s="7" t="s">
        <v>2765</v>
      </c>
      <c r="D528" s="7" t="s">
        <v>524</v>
      </c>
      <c r="E528" s="7" t="s">
        <v>2766</v>
      </c>
      <c r="F528" s="7"/>
      <c r="G528" s="7" t="s">
        <v>125</v>
      </c>
      <c r="H528" s="7" t="s">
        <v>90</v>
      </c>
      <c r="I528">
        <v>2025</v>
      </c>
    </row>
    <row r="529" spans="1:9" x14ac:dyDescent="0.3">
      <c r="A529" s="6" t="s">
        <v>2767</v>
      </c>
      <c r="B529" t="s">
        <v>5059</v>
      </c>
      <c r="C529" s="7" t="s">
        <v>2769</v>
      </c>
      <c r="D529" s="7" t="s">
        <v>2770</v>
      </c>
      <c r="E529" s="7" t="s">
        <v>2771</v>
      </c>
      <c r="F529" s="7"/>
      <c r="G529" s="7" t="s">
        <v>125</v>
      </c>
      <c r="H529" s="7" t="s">
        <v>90</v>
      </c>
      <c r="I529">
        <v>2025</v>
      </c>
    </row>
  </sheetData>
  <autoFilter ref="A1:M529" xr:uid="{6B572A65-3335-4A34-AA85-C7594210529F}"/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2157-A71E-472D-A4E6-8718D674E23C}">
  <dimension ref="A1:E529"/>
  <sheetViews>
    <sheetView workbookViewId="0">
      <selection activeCell="N22" sqref="N22"/>
    </sheetView>
  </sheetViews>
  <sheetFormatPr baseColWidth="10" defaultRowHeight="14.4" x14ac:dyDescent="0.3"/>
  <cols>
    <col min="1" max="1" width="16.33203125" customWidth="1"/>
    <col min="2" max="2" width="18" customWidth="1"/>
    <col min="3" max="3" width="16" customWidth="1"/>
  </cols>
  <sheetData>
    <row r="1" spans="1:5" x14ac:dyDescent="0.3">
      <c r="A1" s="3" t="s">
        <v>4531</v>
      </c>
      <c r="B1" s="3" t="s">
        <v>188</v>
      </c>
      <c r="C1" s="3" t="s">
        <v>189</v>
      </c>
      <c r="D1" s="19" t="s">
        <v>4500</v>
      </c>
      <c r="E1" s="19" t="s">
        <v>4527</v>
      </c>
    </row>
    <row r="2" spans="1:5" x14ac:dyDescent="0.3">
      <c r="A2" t="s">
        <v>4532</v>
      </c>
      <c r="B2" s="7" t="s">
        <v>206</v>
      </c>
      <c r="C2" s="7" t="s">
        <v>207</v>
      </c>
    </row>
    <row r="3" spans="1:5" x14ac:dyDescent="0.3">
      <c r="A3" t="s">
        <v>4533</v>
      </c>
      <c r="B3" s="7" t="s">
        <v>212</v>
      </c>
      <c r="C3" s="7" t="s">
        <v>213</v>
      </c>
    </row>
    <row r="4" spans="1:5" x14ac:dyDescent="0.3">
      <c r="A4" t="s">
        <v>4534</v>
      </c>
      <c r="B4" s="7" t="s">
        <v>218</v>
      </c>
      <c r="C4" s="7" t="s">
        <v>219</v>
      </c>
    </row>
    <row r="5" spans="1:5" x14ac:dyDescent="0.3">
      <c r="A5" t="s">
        <v>4535</v>
      </c>
      <c r="B5" s="7" t="s">
        <v>225</v>
      </c>
      <c r="C5" s="7" t="s">
        <v>226</v>
      </c>
    </row>
    <row r="6" spans="1:5" x14ac:dyDescent="0.3">
      <c r="A6" t="s">
        <v>4536</v>
      </c>
      <c r="B6" s="7" t="s">
        <v>230</v>
      </c>
      <c r="C6" s="7" t="s">
        <v>231</v>
      </c>
    </row>
    <row r="7" spans="1:5" x14ac:dyDescent="0.3">
      <c r="A7" t="s">
        <v>4537</v>
      </c>
      <c r="B7" s="7" t="s">
        <v>235</v>
      </c>
      <c r="C7" s="7" t="s">
        <v>236</v>
      </c>
    </row>
    <row r="8" spans="1:5" x14ac:dyDescent="0.3">
      <c r="A8" t="s">
        <v>4538</v>
      </c>
      <c r="B8" s="7" t="s">
        <v>240</v>
      </c>
      <c r="C8" s="7" t="s">
        <v>241</v>
      </c>
    </row>
    <row r="9" spans="1:5" x14ac:dyDescent="0.3">
      <c r="A9" t="s">
        <v>4539</v>
      </c>
      <c r="B9" s="7" t="s">
        <v>245</v>
      </c>
      <c r="C9" s="7" t="s">
        <v>246</v>
      </c>
    </row>
    <row r="10" spans="1:5" x14ac:dyDescent="0.3">
      <c r="A10" t="s">
        <v>4540</v>
      </c>
      <c r="B10" s="7" t="s">
        <v>251</v>
      </c>
      <c r="C10" s="7" t="s">
        <v>252</v>
      </c>
    </row>
    <row r="11" spans="1:5" x14ac:dyDescent="0.3">
      <c r="A11" t="s">
        <v>4541</v>
      </c>
      <c r="B11" s="7" t="s">
        <v>258</v>
      </c>
      <c r="C11" s="7" t="s">
        <v>259</v>
      </c>
    </row>
    <row r="12" spans="1:5" x14ac:dyDescent="0.3">
      <c r="A12" t="s">
        <v>4542</v>
      </c>
      <c r="B12" s="7" t="s">
        <v>264</v>
      </c>
      <c r="C12" s="7" t="s">
        <v>265</v>
      </c>
    </row>
    <row r="13" spans="1:5" x14ac:dyDescent="0.3">
      <c r="A13" t="s">
        <v>4543</v>
      </c>
      <c r="B13" s="7" t="s">
        <v>272</v>
      </c>
      <c r="C13" s="7" t="s">
        <v>273</v>
      </c>
    </row>
    <row r="14" spans="1:5" x14ac:dyDescent="0.3">
      <c r="A14" t="s">
        <v>4544</v>
      </c>
      <c r="B14" s="7" t="s">
        <v>279</v>
      </c>
      <c r="C14" s="7" t="s">
        <v>280</v>
      </c>
    </row>
    <row r="15" spans="1:5" x14ac:dyDescent="0.3">
      <c r="A15" t="s">
        <v>4545</v>
      </c>
      <c r="B15" s="7" t="s">
        <v>284</v>
      </c>
      <c r="C15" s="7" t="s">
        <v>285</v>
      </c>
    </row>
    <row r="16" spans="1:5" x14ac:dyDescent="0.3">
      <c r="A16" t="s">
        <v>4546</v>
      </c>
      <c r="B16" s="7" t="s">
        <v>284</v>
      </c>
      <c r="C16" s="7" t="s">
        <v>289</v>
      </c>
    </row>
    <row r="17" spans="1:3" x14ac:dyDescent="0.3">
      <c r="A17" t="s">
        <v>4547</v>
      </c>
      <c r="B17" s="7" t="s">
        <v>294</v>
      </c>
      <c r="C17" s="7" t="s">
        <v>295</v>
      </c>
    </row>
    <row r="18" spans="1:3" x14ac:dyDescent="0.3">
      <c r="A18" t="s">
        <v>4548</v>
      </c>
      <c r="B18" s="7" t="s">
        <v>299</v>
      </c>
      <c r="C18" s="7" t="s">
        <v>300</v>
      </c>
    </row>
    <row r="19" spans="1:3" x14ac:dyDescent="0.3">
      <c r="A19" t="s">
        <v>4549</v>
      </c>
      <c r="B19" s="7" t="s">
        <v>305</v>
      </c>
      <c r="C19" s="7" t="s">
        <v>306</v>
      </c>
    </row>
    <row r="20" spans="1:3" x14ac:dyDescent="0.3">
      <c r="A20" t="s">
        <v>4550</v>
      </c>
      <c r="B20" s="7" t="s">
        <v>311</v>
      </c>
      <c r="C20" s="7" t="s">
        <v>312</v>
      </c>
    </row>
    <row r="21" spans="1:3" x14ac:dyDescent="0.3">
      <c r="A21" t="s">
        <v>4551</v>
      </c>
      <c r="B21" s="7" t="s">
        <v>318</v>
      </c>
      <c r="C21" s="7" t="s">
        <v>319</v>
      </c>
    </row>
    <row r="22" spans="1:3" ht="27.6" x14ac:dyDescent="0.3">
      <c r="A22" t="s">
        <v>4552</v>
      </c>
      <c r="B22" s="7" t="s">
        <v>323</v>
      </c>
      <c r="C22" s="7" t="s">
        <v>324</v>
      </c>
    </row>
    <row r="23" spans="1:3" x14ac:dyDescent="0.3">
      <c r="A23" t="s">
        <v>4553</v>
      </c>
      <c r="B23" s="7" t="s">
        <v>294</v>
      </c>
      <c r="C23" s="7" t="s">
        <v>330</v>
      </c>
    </row>
    <row r="24" spans="1:3" x14ac:dyDescent="0.3">
      <c r="A24" t="s">
        <v>4554</v>
      </c>
      <c r="B24" s="7" t="s">
        <v>334</v>
      </c>
      <c r="C24" s="7" t="s">
        <v>335</v>
      </c>
    </row>
    <row r="25" spans="1:3" x14ac:dyDescent="0.3">
      <c r="A25" t="s">
        <v>4555</v>
      </c>
      <c r="B25" s="7" t="s">
        <v>334</v>
      </c>
      <c r="C25" s="7" t="s">
        <v>340</v>
      </c>
    </row>
    <row r="26" spans="1:3" ht="27.6" x14ac:dyDescent="0.3">
      <c r="A26" t="s">
        <v>4556</v>
      </c>
      <c r="B26" s="7" t="s">
        <v>344</v>
      </c>
      <c r="C26" s="7" t="s">
        <v>345</v>
      </c>
    </row>
    <row r="27" spans="1:3" ht="27.6" x14ac:dyDescent="0.3">
      <c r="A27" t="s">
        <v>4557</v>
      </c>
      <c r="B27" s="7" t="s">
        <v>349</v>
      </c>
      <c r="C27" s="7" t="s">
        <v>350</v>
      </c>
    </row>
    <row r="28" spans="1:3" x14ac:dyDescent="0.3">
      <c r="A28" t="s">
        <v>4558</v>
      </c>
      <c r="B28" s="7" t="s">
        <v>356</v>
      </c>
      <c r="C28" s="7" t="s">
        <v>357</v>
      </c>
    </row>
    <row r="29" spans="1:3" x14ac:dyDescent="0.3">
      <c r="A29" t="s">
        <v>4559</v>
      </c>
      <c r="B29" s="7" t="s">
        <v>284</v>
      </c>
      <c r="C29" s="7" t="s">
        <v>363</v>
      </c>
    </row>
    <row r="30" spans="1:3" x14ac:dyDescent="0.3">
      <c r="A30" t="s">
        <v>4560</v>
      </c>
      <c r="B30" s="7" t="s">
        <v>284</v>
      </c>
      <c r="C30" s="7" t="s">
        <v>367</v>
      </c>
    </row>
    <row r="31" spans="1:3" x14ac:dyDescent="0.3">
      <c r="A31" t="s">
        <v>4561</v>
      </c>
      <c r="B31" s="7" t="s">
        <v>372</v>
      </c>
      <c r="C31" s="7" t="s">
        <v>373</v>
      </c>
    </row>
    <row r="32" spans="1:3" x14ac:dyDescent="0.3">
      <c r="A32" t="s">
        <v>4903</v>
      </c>
      <c r="B32" s="7" t="s">
        <v>379</v>
      </c>
      <c r="C32" s="7" t="s">
        <v>380</v>
      </c>
    </row>
    <row r="33" spans="1:3" x14ac:dyDescent="0.3">
      <c r="A33" t="s">
        <v>4904</v>
      </c>
      <c r="B33" s="7" t="s">
        <v>386</v>
      </c>
      <c r="C33" s="7" t="s">
        <v>387</v>
      </c>
    </row>
    <row r="34" spans="1:3" x14ac:dyDescent="0.3">
      <c r="A34" t="s">
        <v>4905</v>
      </c>
      <c r="B34" s="7" t="s">
        <v>392</v>
      </c>
      <c r="C34" s="7" t="s">
        <v>393</v>
      </c>
    </row>
    <row r="35" spans="1:3" ht="27.6" x14ac:dyDescent="0.3">
      <c r="A35" t="s">
        <v>4566</v>
      </c>
      <c r="B35" s="7" t="s">
        <v>399</v>
      </c>
      <c r="C35" s="7" t="s">
        <v>400</v>
      </c>
    </row>
    <row r="36" spans="1:3" ht="27.6" x14ac:dyDescent="0.3">
      <c r="A36" t="s">
        <v>4567</v>
      </c>
      <c r="B36" s="7" t="s">
        <v>406</v>
      </c>
      <c r="C36" s="7" t="s">
        <v>407</v>
      </c>
    </row>
    <row r="37" spans="1:3" ht="27.6" x14ac:dyDescent="0.3">
      <c r="A37" t="s">
        <v>4568</v>
      </c>
      <c r="B37" s="7" t="s">
        <v>411</v>
      </c>
      <c r="C37" s="7" t="s">
        <v>412</v>
      </c>
    </row>
    <row r="38" spans="1:3" x14ac:dyDescent="0.3">
      <c r="A38" t="s">
        <v>4569</v>
      </c>
      <c r="B38" s="7" t="s">
        <v>416</v>
      </c>
      <c r="C38" s="7" t="s">
        <v>417</v>
      </c>
    </row>
    <row r="39" spans="1:3" x14ac:dyDescent="0.3">
      <c r="A39" t="s">
        <v>4570</v>
      </c>
      <c r="B39" s="7" t="s">
        <v>423</v>
      </c>
      <c r="C39" s="7" t="s">
        <v>424</v>
      </c>
    </row>
    <row r="40" spans="1:3" x14ac:dyDescent="0.3">
      <c r="A40" t="s">
        <v>4571</v>
      </c>
      <c r="B40" s="7" t="s">
        <v>428</v>
      </c>
      <c r="C40" s="7"/>
    </row>
    <row r="41" spans="1:3" x14ac:dyDescent="0.3">
      <c r="A41" t="s">
        <v>4572</v>
      </c>
      <c r="B41" s="7" t="s">
        <v>432</v>
      </c>
      <c r="C41" s="7" t="s">
        <v>433</v>
      </c>
    </row>
    <row r="42" spans="1:3" x14ac:dyDescent="0.3">
      <c r="A42" t="s">
        <v>4573</v>
      </c>
      <c r="B42" s="7" t="s">
        <v>439</v>
      </c>
      <c r="C42" s="7" t="s">
        <v>440</v>
      </c>
    </row>
    <row r="43" spans="1:3" x14ac:dyDescent="0.3">
      <c r="A43" t="s">
        <v>4574</v>
      </c>
      <c r="B43" s="7" t="s">
        <v>444</v>
      </c>
      <c r="C43" s="7" t="s">
        <v>445</v>
      </c>
    </row>
    <row r="44" spans="1:3" x14ac:dyDescent="0.3">
      <c r="A44" t="s">
        <v>4575</v>
      </c>
      <c r="B44" s="7" t="s">
        <v>449</v>
      </c>
      <c r="C44" s="7" t="s">
        <v>450</v>
      </c>
    </row>
    <row r="45" spans="1:3" ht="27.6" x14ac:dyDescent="0.3">
      <c r="A45" t="s">
        <v>4576</v>
      </c>
      <c r="B45" s="7" t="s">
        <v>453</v>
      </c>
      <c r="C45" s="7" t="s">
        <v>454</v>
      </c>
    </row>
    <row r="46" spans="1:3" x14ac:dyDescent="0.3">
      <c r="A46" t="s">
        <v>4577</v>
      </c>
      <c r="B46" s="7" t="s">
        <v>458</v>
      </c>
      <c r="C46" s="7" t="s">
        <v>459</v>
      </c>
    </row>
    <row r="47" spans="1:3" x14ac:dyDescent="0.3">
      <c r="A47" t="s">
        <v>4578</v>
      </c>
      <c r="B47" s="7" t="s">
        <v>465</v>
      </c>
      <c r="C47" s="7" t="s">
        <v>466</v>
      </c>
    </row>
    <row r="48" spans="1:3" x14ac:dyDescent="0.3">
      <c r="A48" t="s">
        <v>4579</v>
      </c>
      <c r="B48" s="7" t="s">
        <v>472</v>
      </c>
      <c r="C48" s="7" t="s">
        <v>473</v>
      </c>
    </row>
    <row r="49" spans="1:3" x14ac:dyDescent="0.3">
      <c r="A49" t="s">
        <v>4580</v>
      </c>
      <c r="B49" s="7" t="s">
        <v>477</v>
      </c>
      <c r="C49" s="7" t="s">
        <v>380</v>
      </c>
    </row>
    <row r="50" spans="1:3" ht="27.6" x14ac:dyDescent="0.3">
      <c r="A50" t="s">
        <v>4581</v>
      </c>
      <c r="B50" s="7" t="s">
        <v>481</v>
      </c>
      <c r="C50" s="7" t="s">
        <v>482</v>
      </c>
    </row>
    <row r="51" spans="1:3" x14ac:dyDescent="0.3">
      <c r="A51" t="s">
        <v>4582</v>
      </c>
      <c r="B51" s="7" t="s">
        <v>488</v>
      </c>
      <c r="C51" s="7" t="s">
        <v>489</v>
      </c>
    </row>
    <row r="52" spans="1:3" x14ac:dyDescent="0.3">
      <c r="A52" t="s">
        <v>4583</v>
      </c>
      <c r="B52" s="7" t="s">
        <v>294</v>
      </c>
      <c r="C52" s="7" t="s">
        <v>493</v>
      </c>
    </row>
    <row r="53" spans="1:3" x14ac:dyDescent="0.3">
      <c r="A53" t="s">
        <v>4584</v>
      </c>
      <c r="B53" s="7" t="s">
        <v>496</v>
      </c>
      <c r="C53" s="7" t="s">
        <v>497</v>
      </c>
    </row>
    <row r="54" spans="1:3" x14ac:dyDescent="0.3">
      <c r="A54" t="s">
        <v>4585</v>
      </c>
      <c r="B54" s="7" t="s">
        <v>501</v>
      </c>
      <c r="C54" s="7"/>
    </row>
    <row r="55" spans="1:3" x14ac:dyDescent="0.3">
      <c r="A55" t="s">
        <v>4586</v>
      </c>
      <c r="B55" s="7" t="s">
        <v>505</v>
      </c>
      <c r="C55" s="7" t="s">
        <v>506</v>
      </c>
    </row>
    <row r="56" spans="1:3" x14ac:dyDescent="0.3">
      <c r="A56" t="s">
        <v>4587</v>
      </c>
      <c r="B56" s="7" t="s">
        <v>305</v>
      </c>
      <c r="C56" s="7" t="s">
        <v>510</v>
      </c>
    </row>
    <row r="57" spans="1:3" x14ac:dyDescent="0.3">
      <c r="A57" t="s">
        <v>4588</v>
      </c>
      <c r="B57" s="7" t="s">
        <v>305</v>
      </c>
      <c r="C57" s="7" t="s">
        <v>514</v>
      </c>
    </row>
    <row r="58" spans="1:3" x14ac:dyDescent="0.3">
      <c r="A58" t="s">
        <v>4589</v>
      </c>
      <c r="B58" s="7" t="s">
        <v>518</v>
      </c>
      <c r="C58" s="7" t="s">
        <v>519</v>
      </c>
    </row>
    <row r="59" spans="1:3" x14ac:dyDescent="0.3">
      <c r="A59" t="s">
        <v>4590</v>
      </c>
      <c r="B59" s="7" t="s">
        <v>523</v>
      </c>
      <c r="C59" s="7" t="s">
        <v>524</v>
      </c>
    </row>
    <row r="60" spans="1:3" ht="27.6" x14ac:dyDescent="0.3">
      <c r="A60" t="s">
        <v>4591</v>
      </c>
      <c r="B60" s="7" t="s">
        <v>527</v>
      </c>
      <c r="C60" s="7" t="s">
        <v>528</v>
      </c>
    </row>
    <row r="61" spans="1:3" x14ac:dyDescent="0.3">
      <c r="A61" t="s">
        <v>4592</v>
      </c>
      <c r="B61" s="7" t="s">
        <v>533</v>
      </c>
      <c r="C61" s="7" t="s">
        <v>534</v>
      </c>
    </row>
    <row r="62" spans="1:3" x14ac:dyDescent="0.3">
      <c r="A62" t="s">
        <v>4593</v>
      </c>
      <c r="B62" s="7" t="s">
        <v>540</v>
      </c>
      <c r="C62" s="7" t="s">
        <v>541</v>
      </c>
    </row>
    <row r="63" spans="1:3" x14ac:dyDescent="0.3">
      <c r="A63" t="s">
        <v>4594</v>
      </c>
      <c r="B63" s="7" t="s">
        <v>545</v>
      </c>
      <c r="C63" s="7" t="s">
        <v>546</v>
      </c>
    </row>
    <row r="64" spans="1:3" x14ac:dyDescent="0.3">
      <c r="A64" t="s">
        <v>4595</v>
      </c>
      <c r="B64" s="7" t="s">
        <v>552</v>
      </c>
      <c r="C64" s="7" t="s">
        <v>553</v>
      </c>
    </row>
    <row r="65" spans="1:3" x14ac:dyDescent="0.3">
      <c r="A65" t="s">
        <v>4596</v>
      </c>
      <c r="B65" s="7" t="s">
        <v>557</v>
      </c>
      <c r="C65" s="7" t="s">
        <v>558</v>
      </c>
    </row>
    <row r="66" spans="1:3" x14ac:dyDescent="0.3">
      <c r="A66" t="s">
        <v>4597</v>
      </c>
      <c r="B66" s="7" t="s">
        <v>311</v>
      </c>
      <c r="C66" s="7" t="s">
        <v>562</v>
      </c>
    </row>
    <row r="67" spans="1:3" x14ac:dyDescent="0.3">
      <c r="A67" t="s">
        <v>4598</v>
      </c>
      <c r="B67" s="7" t="s">
        <v>567</v>
      </c>
      <c r="C67" s="7" t="s">
        <v>568</v>
      </c>
    </row>
    <row r="68" spans="1:3" x14ac:dyDescent="0.3">
      <c r="A68" t="s">
        <v>4599</v>
      </c>
      <c r="B68" s="7" t="s">
        <v>567</v>
      </c>
      <c r="C68" s="7" t="s">
        <v>572</v>
      </c>
    </row>
    <row r="69" spans="1:3" x14ac:dyDescent="0.3">
      <c r="A69" t="s">
        <v>4600</v>
      </c>
      <c r="B69" s="7" t="s">
        <v>576</v>
      </c>
      <c r="C69" s="7" t="s">
        <v>577</v>
      </c>
    </row>
    <row r="70" spans="1:3" x14ac:dyDescent="0.3">
      <c r="A70" t="s">
        <v>4601</v>
      </c>
      <c r="B70" s="7" t="s">
        <v>581</v>
      </c>
      <c r="C70" s="7" t="s">
        <v>582</v>
      </c>
    </row>
    <row r="71" spans="1:3" x14ac:dyDescent="0.3">
      <c r="A71" t="s">
        <v>4602</v>
      </c>
      <c r="B71" s="7" t="s">
        <v>587</v>
      </c>
      <c r="C71" s="7" t="s">
        <v>485</v>
      </c>
    </row>
    <row r="72" spans="1:3" x14ac:dyDescent="0.3">
      <c r="A72" t="s">
        <v>4603</v>
      </c>
      <c r="B72" s="7" t="s">
        <v>458</v>
      </c>
      <c r="C72" s="7" t="s">
        <v>591</v>
      </c>
    </row>
    <row r="73" spans="1:3" x14ac:dyDescent="0.3">
      <c r="A73" t="s">
        <v>4604</v>
      </c>
      <c r="B73" s="7" t="s">
        <v>587</v>
      </c>
      <c r="C73" s="7" t="s">
        <v>596</v>
      </c>
    </row>
    <row r="74" spans="1:3" x14ac:dyDescent="0.3">
      <c r="A74" t="s">
        <v>4605</v>
      </c>
      <c r="B74" s="7" t="s">
        <v>600</v>
      </c>
      <c r="C74" s="7" t="s">
        <v>601</v>
      </c>
    </row>
    <row r="75" spans="1:3" x14ac:dyDescent="0.3">
      <c r="A75" t="s">
        <v>4606</v>
      </c>
      <c r="B75" s="7" t="s">
        <v>605</v>
      </c>
      <c r="C75" s="7" t="s">
        <v>606</v>
      </c>
    </row>
    <row r="76" spans="1:3" x14ac:dyDescent="0.3">
      <c r="A76" t="s">
        <v>4607</v>
      </c>
      <c r="B76" s="7" t="s">
        <v>605</v>
      </c>
      <c r="C76" s="7" t="s">
        <v>611</v>
      </c>
    </row>
    <row r="77" spans="1:3" x14ac:dyDescent="0.3">
      <c r="A77" t="s">
        <v>4608</v>
      </c>
      <c r="B77" s="7" t="s">
        <v>615</v>
      </c>
      <c r="C77" s="7" t="s">
        <v>616</v>
      </c>
    </row>
    <row r="78" spans="1:3" x14ac:dyDescent="0.3">
      <c r="A78" t="s">
        <v>4609</v>
      </c>
      <c r="B78" s="7" t="s">
        <v>620</v>
      </c>
      <c r="C78" s="7" t="s">
        <v>621</v>
      </c>
    </row>
    <row r="79" spans="1:3" x14ac:dyDescent="0.3">
      <c r="A79" t="s">
        <v>4610</v>
      </c>
      <c r="B79" s="7" t="s">
        <v>625</v>
      </c>
      <c r="C79" s="7" t="s">
        <v>626</v>
      </c>
    </row>
    <row r="80" spans="1:3" x14ac:dyDescent="0.3">
      <c r="A80" t="s">
        <v>4611</v>
      </c>
      <c r="B80" s="7" t="s">
        <v>630</v>
      </c>
      <c r="C80" s="7" t="s">
        <v>631</v>
      </c>
    </row>
    <row r="81" spans="1:3" x14ac:dyDescent="0.3">
      <c r="A81" t="s">
        <v>4612</v>
      </c>
      <c r="B81" s="7" t="s">
        <v>635</v>
      </c>
      <c r="C81" s="7" t="s">
        <v>636</v>
      </c>
    </row>
    <row r="82" spans="1:3" x14ac:dyDescent="0.3">
      <c r="A82" t="s">
        <v>4613</v>
      </c>
      <c r="B82" s="7" t="s">
        <v>311</v>
      </c>
      <c r="C82" s="7" t="s">
        <v>642</v>
      </c>
    </row>
    <row r="83" spans="1:3" x14ac:dyDescent="0.3">
      <c r="A83" t="s">
        <v>4614</v>
      </c>
      <c r="B83" s="7" t="s">
        <v>646</v>
      </c>
      <c r="C83" s="7" t="s">
        <v>647</v>
      </c>
    </row>
    <row r="84" spans="1:3" x14ac:dyDescent="0.3">
      <c r="A84" t="s">
        <v>4615</v>
      </c>
      <c r="B84" s="7" t="s">
        <v>653</v>
      </c>
      <c r="C84" s="7" t="s">
        <v>654</v>
      </c>
    </row>
    <row r="85" spans="1:3" x14ac:dyDescent="0.3">
      <c r="A85" t="s">
        <v>4616</v>
      </c>
      <c r="B85" s="7" t="s">
        <v>658</v>
      </c>
      <c r="C85" s="7" t="s">
        <v>659</v>
      </c>
    </row>
    <row r="86" spans="1:3" x14ac:dyDescent="0.3">
      <c r="A86" t="s">
        <v>4617</v>
      </c>
      <c r="B86" s="7" t="s">
        <v>658</v>
      </c>
      <c r="C86" s="7" t="s">
        <v>663</v>
      </c>
    </row>
    <row r="87" spans="1:3" x14ac:dyDescent="0.3">
      <c r="A87" t="s">
        <v>4618</v>
      </c>
      <c r="B87" s="7" t="s">
        <v>668</v>
      </c>
      <c r="C87" s="7" t="s">
        <v>669</v>
      </c>
    </row>
    <row r="88" spans="1:3" x14ac:dyDescent="0.3">
      <c r="A88" t="s">
        <v>4619</v>
      </c>
      <c r="B88" s="7" t="s">
        <v>677</v>
      </c>
      <c r="C88" s="7"/>
    </row>
    <row r="89" spans="1:3" x14ac:dyDescent="0.3">
      <c r="A89" t="s">
        <v>4620</v>
      </c>
      <c r="B89" s="7" t="s">
        <v>681</v>
      </c>
      <c r="C89" s="7"/>
    </row>
    <row r="90" spans="1:3" x14ac:dyDescent="0.3">
      <c r="A90" t="s">
        <v>4621</v>
      </c>
      <c r="B90" s="7" t="s">
        <v>687</v>
      </c>
      <c r="C90" s="7" t="s">
        <v>688</v>
      </c>
    </row>
    <row r="91" spans="1:3" x14ac:dyDescent="0.3">
      <c r="A91" t="s">
        <v>4622</v>
      </c>
      <c r="B91" s="7" t="s">
        <v>692</v>
      </c>
      <c r="C91" s="7" t="s">
        <v>693</v>
      </c>
    </row>
    <row r="92" spans="1:3" x14ac:dyDescent="0.3">
      <c r="A92" t="s">
        <v>4623</v>
      </c>
      <c r="B92" s="7" t="s">
        <v>697</v>
      </c>
      <c r="C92" s="7" t="s">
        <v>698</v>
      </c>
    </row>
    <row r="93" spans="1:3" x14ac:dyDescent="0.3">
      <c r="A93" t="s">
        <v>4624</v>
      </c>
      <c r="B93" s="7" t="s">
        <v>703</v>
      </c>
      <c r="C93" s="7" t="s">
        <v>424</v>
      </c>
    </row>
    <row r="94" spans="1:3" x14ac:dyDescent="0.3">
      <c r="A94" t="s">
        <v>4625</v>
      </c>
      <c r="B94" s="7" t="s">
        <v>428</v>
      </c>
      <c r="C94" s="7" t="s">
        <v>706</v>
      </c>
    </row>
    <row r="95" spans="1:3" x14ac:dyDescent="0.3">
      <c r="A95" t="s">
        <v>4626</v>
      </c>
      <c r="B95" s="7" t="s">
        <v>712</v>
      </c>
      <c r="C95" s="7" t="s">
        <v>713</v>
      </c>
    </row>
    <row r="96" spans="1:3" x14ac:dyDescent="0.3">
      <c r="A96" t="s">
        <v>4627</v>
      </c>
      <c r="B96" s="7" t="s">
        <v>712</v>
      </c>
      <c r="C96" s="7" t="s">
        <v>506</v>
      </c>
    </row>
    <row r="97" spans="1:3" ht="27.6" x14ac:dyDescent="0.3">
      <c r="A97" t="s">
        <v>4628</v>
      </c>
      <c r="B97" s="7" t="s">
        <v>720</v>
      </c>
      <c r="C97" s="7" t="s">
        <v>721</v>
      </c>
    </row>
    <row r="98" spans="1:3" x14ac:dyDescent="0.3">
      <c r="A98" t="s">
        <v>4629</v>
      </c>
      <c r="B98" s="7" t="s">
        <v>658</v>
      </c>
      <c r="C98" s="7" t="s">
        <v>726</v>
      </c>
    </row>
    <row r="99" spans="1:3" x14ac:dyDescent="0.3">
      <c r="A99" t="s">
        <v>4630</v>
      </c>
      <c r="B99" s="7" t="s">
        <v>732</v>
      </c>
      <c r="C99" s="7" t="s">
        <v>733</v>
      </c>
    </row>
    <row r="100" spans="1:3" x14ac:dyDescent="0.3">
      <c r="A100" t="s">
        <v>4631</v>
      </c>
      <c r="B100" s="7" t="s">
        <v>737</v>
      </c>
      <c r="C100" s="7" t="s">
        <v>738</v>
      </c>
    </row>
    <row r="101" spans="1:3" ht="27.6" x14ac:dyDescent="0.3">
      <c r="A101" t="s">
        <v>4632</v>
      </c>
      <c r="B101" s="7" t="s">
        <v>567</v>
      </c>
      <c r="C101" s="7" t="s">
        <v>742</v>
      </c>
    </row>
    <row r="102" spans="1:3" x14ac:dyDescent="0.3">
      <c r="A102" t="s">
        <v>4633</v>
      </c>
      <c r="B102" s="7" t="s">
        <v>747</v>
      </c>
      <c r="C102" s="7" t="s">
        <v>748</v>
      </c>
    </row>
    <row r="103" spans="1:3" x14ac:dyDescent="0.3">
      <c r="A103" t="s">
        <v>4634</v>
      </c>
      <c r="B103" s="7" t="s">
        <v>753</v>
      </c>
      <c r="C103" s="7" t="s">
        <v>754</v>
      </c>
    </row>
    <row r="104" spans="1:3" x14ac:dyDescent="0.3">
      <c r="A104" t="s">
        <v>4635</v>
      </c>
      <c r="B104" s="7" t="s">
        <v>758</v>
      </c>
      <c r="C104" s="7" t="s">
        <v>759</v>
      </c>
    </row>
    <row r="105" spans="1:3" x14ac:dyDescent="0.3">
      <c r="A105" t="s">
        <v>4636</v>
      </c>
      <c r="B105" s="7" t="s">
        <v>687</v>
      </c>
      <c r="C105" s="7" t="s">
        <v>763</v>
      </c>
    </row>
    <row r="106" spans="1:3" x14ac:dyDescent="0.3">
      <c r="A106" t="s">
        <v>4637</v>
      </c>
      <c r="B106" s="7" t="s">
        <v>687</v>
      </c>
      <c r="C106" s="7" t="s">
        <v>236</v>
      </c>
    </row>
    <row r="107" spans="1:3" x14ac:dyDescent="0.3">
      <c r="A107" t="s">
        <v>4638</v>
      </c>
      <c r="B107" s="7" t="s">
        <v>771</v>
      </c>
      <c r="C107" s="7" t="s">
        <v>772</v>
      </c>
    </row>
    <row r="108" spans="1:3" ht="27.6" x14ac:dyDescent="0.3">
      <c r="A108" t="s">
        <v>4639</v>
      </c>
      <c r="B108" s="7" t="s">
        <v>458</v>
      </c>
      <c r="C108" s="7" t="s">
        <v>776</v>
      </c>
    </row>
    <row r="109" spans="1:3" x14ac:dyDescent="0.3">
      <c r="A109" t="s">
        <v>4640</v>
      </c>
      <c r="B109" s="7" t="s">
        <v>780</v>
      </c>
      <c r="C109" s="7" t="s">
        <v>781</v>
      </c>
    </row>
    <row r="110" spans="1:3" x14ac:dyDescent="0.3">
      <c r="A110" t="s">
        <v>4641</v>
      </c>
      <c r="B110" s="7" t="s">
        <v>279</v>
      </c>
      <c r="C110" s="7" t="s">
        <v>785</v>
      </c>
    </row>
    <row r="111" spans="1:3" x14ac:dyDescent="0.3">
      <c r="A111" t="s">
        <v>4642</v>
      </c>
      <c r="B111" s="7" t="s">
        <v>789</v>
      </c>
      <c r="C111" s="7" t="s">
        <v>790</v>
      </c>
    </row>
    <row r="112" spans="1:3" x14ac:dyDescent="0.3">
      <c r="A112" t="s">
        <v>4643</v>
      </c>
      <c r="B112" s="7" t="s">
        <v>793</v>
      </c>
      <c r="C112" s="7" t="s">
        <v>794</v>
      </c>
    </row>
    <row r="113" spans="1:3" x14ac:dyDescent="0.3">
      <c r="A113" t="s">
        <v>4644</v>
      </c>
      <c r="B113" s="7" t="s">
        <v>800</v>
      </c>
      <c r="C113" s="7" t="s">
        <v>801</v>
      </c>
    </row>
    <row r="114" spans="1:3" x14ac:dyDescent="0.3">
      <c r="A114" t="s">
        <v>4645</v>
      </c>
      <c r="B114" s="7" t="s">
        <v>807</v>
      </c>
      <c r="C114" s="7" t="s">
        <v>808</v>
      </c>
    </row>
    <row r="115" spans="1:3" x14ac:dyDescent="0.3">
      <c r="A115" t="s">
        <v>4646</v>
      </c>
      <c r="B115" s="7" t="s">
        <v>812</v>
      </c>
      <c r="C115" s="7" t="s">
        <v>813</v>
      </c>
    </row>
    <row r="116" spans="1:3" x14ac:dyDescent="0.3">
      <c r="A116" t="s">
        <v>4647</v>
      </c>
      <c r="B116" s="7" t="s">
        <v>817</v>
      </c>
      <c r="C116" s="7" t="s">
        <v>818</v>
      </c>
    </row>
    <row r="117" spans="1:3" x14ac:dyDescent="0.3">
      <c r="A117" t="s">
        <v>4648</v>
      </c>
      <c r="B117" s="7" t="s">
        <v>822</v>
      </c>
      <c r="C117" s="7" t="s">
        <v>823</v>
      </c>
    </row>
    <row r="118" spans="1:3" x14ac:dyDescent="0.3">
      <c r="A118" t="s">
        <v>4649</v>
      </c>
      <c r="B118" s="7" t="s">
        <v>311</v>
      </c>
      <c r="C118" s="7" t="s">
        <v>826</v>
      </c>
    </row>
    <row r="119" spans="1:3" x14ac:dyDescent="0.3">
      <c r="A119" t="s">
        <v>4650</v>
      </c>
      <c r="B119" s="7" t="s">
        <v>830</v>
      </c>
      <c r="C119" s="7" t="s">
        <v>831</v>
      </c>
    </row>
    <row r="120" spans="1:3" ht="27.6" x14ac:dyDescent="0.3">
      <c r="A120" t="s">
        <v>4651</v>
      </c>
      <c r="B120" s="7" t="s">
        <v>835</v>
      </c>
      <c r="C120" s="7" t="s">
        <v>836</v>
      </c>
    </row>
    <row r="121" spans="1:3" x14ac:dyDescent="0.3">
      <c r="A121" t="s">
        <v>4652</v>
      </c>
      <c r="B121" s="7" t="s">
        <v>841</v>
      </c>
      <c r="C121" s="7" t="s">
        <v>219</v>
      </c>
    </row>
    <row r="122" spans="1:3" x14ac:dyDescent="0.3">
      <c r="A122" t="s">
        <v>4653</v>
      </c>
      <c r="B122" s="7" t="s">
        <v>845</v>
      </c>
      <c r="C122" s="7" t="s">
        <v>846</v>
      </c>
    </row>
    <row r="123" spans="1:3" x14ac:dyDescent="0.3">
      <c r="A123" t="s">
        <v>4654</v>
      </c>
      <c r="B123" s="7" t="s">
        <v>850</v>
      </c>
      <c r="C123" s="7" t="s">
        <v>851</v>
      </c>
    </row>
    <row r="124" spans="1:3" x14ac:dyDescent="0.3">
      <c r="A124" t="s">
        <v>4655</v>
      </c>
      <c r="B124" s="7" t="s">
        <v>856</v>
      </c>
      <c r="C124" s="7" t="s">
        <v>857</v>
      </c>
    </row>
    <row r="125" spans="1:3" x14ac:dyDescent="0.3">
      <c r="A125" t="s">
        <v>4656</v>
      </c>
      <c r="B125" s="7"/>
      <c r="C125" s="7"/>
    </row>
    <row r="126" spans="1:3" ht="27.6" x14ac:dyDescent="0.3">
      <c r="A126" t="s">
        <v>4657</v>
      </c>
      <c r="B126" s="7" t="s">
        <v>625</v>
      </c>
      <c r="C126" s="7" t="s">
        <v>865</v>
      </c>
    </row>
    <row r="127" spans="1:3" x14ac:dyDescent="0.3">
      <c r="A127" t="s">
        <v>4658</v>
      </c>
      <c r="B127" s="7"/>
      <c r="C127" s="7"/>
    </row>
    <row r="128" spans="1:3" x14ac:dyDescent="0.3">
      <c r="A128" t="s">
        <v>4659</v>
      </c>
      <c r="B128" s="7" t="s">
        <v>875</v>
      </c>
      <c r="C128" s="7" t="s">
        <v>876</v>
      </c>
    </row>
    <row r="129" spans="1:3" x14ac:dyDescent="0.3">
      <c r="A129" t="s">
        <v>4660</v>
      </c>
      <c r="B129" s="7" t="s">
        <v>880</v>
      </c>
      <c r="C129" s="7" t="s">
        <v>881</v>
      </c>
    </row>
    <row r="130" spans="1:3" x14ac:dyDescent="0.3">
      <c r="A130" t="s">
        <v>4661</v>
      </c>
      <c r="B130" s="7" t="s">
        <v>884</v>
      </c>
      <c r="C130" s="7" t="s">
        <v>885</v>
      </c>
    </row>
    <row r="131" spans="1:3" x14ac:dyDescent="0.3">
      <c r="A131" t="s">
        <v>4662</v>
      </c>
      <c r="B131" s="7" t="s">
        <v>891</v>
      </c>
      <c r="C131" s="7" t="s">
        <v>892</v>
      </c>
    </row>
    <row r="132" spans="1:3" x14ac:dyDescent="0.3">
      <c r="A132" t="s">
        <v>4663</v>
      </c>
      <c r="B132" s="7" t="s">
        <v>458</v>
      </c>
      <c r="C132" s="7" t="s">
        <v>896</v>
      </c>
    </row>
    <row r="133" spans="1:3" x14ac:dyDescent="0.3">
      <c r="A133" t="s">
        <v>4664</v>
      </c>
      <c r="B133" s="7" t="s">
        <v>901</v>
      </c>
      <c r="C133" s="7" t="s">
        <v>902</v>
      </c>
    </row>
    <row r="134" spans="1:3" x14ac:dyDescent="0.3">
      <c r="A134" t="s">
        <v>4665</v>
      </c>
      <c r="B134" s="7" t="s">
        <v>906</v>
      </c>
      <c r="C134" s="7" t="s">
        <v>907</v>
      </c>
    </row>
    <row r="135" spans="1:3" x14ac:dyDescent="0.3">
      <c r="A135" t="s">
        <v>4666</v>
      </c>
      <c r="B135" s="7" t="s">
        <v>687</v>
      </c>
      <c r="C135" s="7" t="s">
        <v>911</v>
      </c>
    </row>
    <row r="136" spans="1:3" x14ac:dyDescent="0.3">
      <c r="A136" t="s">
        <v>4667</v>
      </c>
      <c r="B136" s="7" t="s">
        <v>916</v>
      </c>
      <c r="C136" s="7" t="s">
        <v>917</v>
      </c>
    </row>
    <row r="137" spans="1:3" ht="27.6" x14ac:dyDescent="0.3">
      <c r="A137" t="s">
        <v>4668</v>
      </c>
      <c r="B137" s="7" t="s">
        <v>923</v>
      </c>
      <c r="C137" s="7" t="s">
        <v>924</v>
      </c>
    </row>
    <row r="138" spans="1:3" x14ac:dyDescent="0.3">
      <c r="A138" t="s">
        <v>4669</v>
      </c>
      <c r="B138" s="7" t="s">
        <v>567</v>
      </c>
      <c r="C138" s="7" t="s">
        <v>928</v>
      </c>
    </row>
    <row r="139" spans="1:3" x14ac:dyDescent="0.3">
      <c r="A139" t="s">
        <v>4670</v>
      </c>
      <c r="B139" s="7" t="s">
        <v>932</v>
      </c>
      <c r="C139" s="7" t="s">
        <v>933</v>
      </c>
    </row>
    <row r="140" spans="1:3" x14ac:dyDescent="0.3">
      <c r="A140" t="s">
        <v>4671</v>
      </c>
      <c r="B140" s="7" t="s">
        <v>587</v>
      </c>
      <c r="C140" s="7" t="s">
        <v>939</v>
      </c>
    </row>
    <row r="141" spans="1:3" x14ac:dyDescent="0.3">
      <c r="A141" t="s">
        <v>4672</v>
      </c>
      <c r="B141" s="7" t="s">
        <v>944</v>
      </c>
      <c r="C141" s="7" t="s">
        <v>939</v>
      </c>
    </row>
    <row r="142" spans="1:3" x14ac:dyDescent="0.3">
      <c r="A142" t="s">
        <v>4673</v>
      </c>
      <c r="B142" s="7" t="s">
        <v>948</v>
      </c>
      <c r="C142" s="7" t="s">
        <v>949</v>
      </c>
    </row>
    <row r="143" spans="1:3" ht="27.6" x14ac:dyDescent="0.3">
      <c r="A143" t="s">
        <v>4674</v>
      </c>
      <c r="B143" s="7" t="s">
        <v>658</v>
      </c>
      <c r="C143" s="7" t="s">
        <v>954</v>
      </c>
    </row>
    <row r="144" spans="1:3" x14ac:dyDescent="0.3">
      <c r="A144" t="s">
        <v>4675</v>
      </c>
      <c r="B144" s="7" t="s">
        <v>658</v>
      </c>
      <c r="C144" s="7" t="s">
        <v>958</v>
      </c>
    </row>
    <row r="145" spans="1:3" x14ac:dyDescent="0.3">
      <c r="A145" t="s">
        <v>4676</v>
      </c>
      <c r="B145" s="7" t="s">
        <v>965</v>
      </c>
      <c r="C145" s="7" t="s">
        <v>966</v>
      </c>
    </row>
    <row r="146" spans="1:3" x14ac:dyDescent="0.3">
      <c r="A146" t="s">
        <v>4677</v>
      </c>
      <c r="B146" s="7" t="s">
        <v>971</v>
      </c>
      <c r="C146" s="7" t="s">
        <v>972</v>
      </c>
    </row>
    <row r="147" spans="1:3" ht="27.6" x14ac:dyDescent="0.3">
      <c r="A147" t="s">
        <v>4678</v>
      </c>
      <c r="B147" s="7" t="s">
        <v>975</v>
      </c>
      <c r="C147" s="7" t="s">
        <v>949</v>
      </c>
    </row>
    <row r="148" spans="1:3" x14ac:dyDescent="0.3">
      <c r="A148" t="s">
        <v>4679</v>
      </c>
      <c r="B148" s="7" t="s">
        <v>978</v>
      </c>
      <c r="C148" s="7" t="s">
        <v>979</v>
      </c>
    </row>
    <row r="149" spans="1:3" x14ac:dyDescent="0.3">
      <c r="A149" t="s">
        <v>4680</v>
      </c>
      <c r="B149" s="7" t="s">
        <v>712</v>
      </c>
      <c r="C149" s="7" t="s">
        <v>983</v>
      </c>
    </row>
    <row r="150" spans="1:3" x14ac:dyDescent="0.3">
      <c r="A150" t="s">
        <v>4681</v>
      </c>
      <c r="B150" s="7" t="s">
        <v>305</v>
      </c>
      <c r="C150" s="7" t="s">
        <v>987</v>
      </c>
    </row>
    <row r="151" spans="1:3" x14ac:dyDescent="0.3">
      <c r="A151" t="s">
        <v>4682</v>
      </c>
      <c r="B151" s="7" t="s">
        <v>993</v>
      </c>
      <c r="C151" s="7" t="s">
        <v>994</v>
      </c>
    </row>
    <row r="152" spans="1:3" x14ac:dyDescent="0.3">
      <c r="A152" t="s">
        <v>4683</v>
      </c>
      <c r="B152" s="7" t="s">
        <v>997</v>
      </c>
      <c r="C152" s="7" t="s">
        <v>998</v>
      </c>
    </row>
    <row r="153" spans="1:3" x14ac:dyDescent="0.3">
      <c r="A153" t="s">
        <v>4684</v>
      </c>
      <c r="B153" s="7" t="s">
        <v>334</v>
      </c>
      <c r="C153" s="7" t="s">
        <v>1002</v>
      </c>
    </row>
    <row r="154" spans="1:3" x14ac:dyDescent="0.3">
      <c r="A154" t="s">
        <v>4685</v>
      </c>
      <c r="B154" s="7" t="s">
        <v>334</v>
      </c>
      <c r="C154" s="7" t="s">
        <v>1006</v>
      </c>
    </row>
    <row r="155" spans="1:3" x14ac:dyDescent="0.3">
      <c r="A155" t="s">
        <v>4686</v>
      </c>
      <c r="B155" s="7" t="s">
        <v>567</v>
      </c>
      <c r="C155" s="7" t="s">
        <v>1012</v>
      </c>
    </row>
    <row r="156" spans="1:3" ht="27.6" x14ac:dyDescent="0.3">
      <c r="A156" t="s">
        <v>4687</v>
      </c>
      <c r="B156" s="7" t="s">
        <v>1016</v>
      </c>
      <c r="C156" s="7" t="s">
        <v>1017</v>
      </c>
    </row>
    <row r="157" spans="1:3" x14ac:dyDescent="0.3">
      <c r="A157" t="s">
        <v>4688</v>
      </c>
      <c r="B157" s="7" t="s">
        <v>1021</v>
      </c>
      <c r="C157" s="7"/>
    </row>
    <row r="158" spans="1:3" x14ac:dyDescent="0.3">
      <c r="A158" t="s">
        <v>4689</v>
      </c>
      <c r="B158" s="7" t="s">
        <v>1026</v>
      </c>
      <c r="C158" s="7" t="s">
        <v>1027</v>
      </c>
    </row>
    <row r="159" spans="1:3" x14ac:dyDescent="0.3">
      <c r="A159" t="s">
        <v>4690</v>
      </c>
      <c r="B159" s="7" t="s">
        <v>1031</v>
      </c>
      <c r="C159" s="7" t="s">
        <v>312</v>
      </c>
    </row>
    <row r="160" spans="1:3" x14ac:dyDescent="0.3">
      <c r="A160" t="s">
        <v>4691</v>
      </c>
      <c r="B160" s="7" t="s">
        <v>1036</v>
      </c>
      <c r="C160" s="7" t="s">
        <v>1037</v>
      </c>
    </row>
    <row r="161" spans="1:3" x14ac:dyDescent="0.3">
      <c r="A161" t="s">
        <v>4692</v>
      </c>
      <c r="B161" s="7" t="s">
        <v>206</v>
      </c>
      <c r="C161" s="7" t="s">
        <v>1041</v>
      </c>
    </row>
    <row r="162" spans="1:3" x14ac:dyDescent="0.3">
      <c r="A162" t="s">
        <v>4693</v>
      </c>
      <c r="B162" s="7" t="s">
        <v>1045</v>
      </c>
      <c r="C162" s="7" t="s">
        <v>1046</v>
      </c>
    </row>
    <row r="163" spans="1:3" x14ac:dyDescent="0.3">
      <c r="A163" t="s">
        <v>4694</v>
      </c>
      <c r="B163" s="7" t="s">
        <v>272</v>
      </c>
      <c r="C163" s="7" t="s">
        <v>902</v>
      </c>
    </row>
    <row r="164" spans="1:3" ht="27.6" x14ac:dyDescent="0.3">
      <c r="A164" t="s">
        <v>4695</v>
      </c>
      <c r="B164" s="7" t="s">
        <v>1054</v>
      </c>
      <c r="C164" s="7" t="s">
        <v>1055</v>
      </c>
    </row>
    <row r="165" spans="1:3" x14ac:dyDescent="0.3">
      <c r="A165" t="s">
        <v>4696</v>
      </c>
      <c r="B165" s="7" t="s">
        <v>1063</v>
      </c>
      <c r="C165" s="7" t="s">
        <v>1064</v>
      </c>
    </row>
    <row r="166" spans="1:3" ht="27.6" x14ac:dyDescent="0.3">
      <c r="A166" t="s">
        <v>4697</v>
      </c>
      <c r="B166" s="7" t="s">
        <v>1070</v>
      </c>
      <c r="C166" s="7" t="s">
        <v>1071</v>
      </c>
    </row>
    <row r="167" spans="1:3" x14ac:dyDescent="0.3">
      <c r="A167" t="s">
        <v>4698</v>
      </c>
      <c r="B167" s="7" t="s">
        <v>1076</v>
      </c>
      <c r="C167" s="7" t="s">
        <v>754</v>
      </c>
    </row>
    <row r="168" spans="1:3" x14ac:dyDescent="0.3">
      <c r="A168" t="s">
        <v>4699</v>
      </c>
      <c r="B168" s="7" t="s">
        <v>965</v>
      </c>
      <c r="C168" s="7" t="s">
        <v>1080</v>
      </c>
    </row>
    <row r="169" spans="1:3" x14ac:dyDescent="0.3">
      <c r="A169" t="s">
        <v>4700</v>
      </c>
      <c r="B169" s="7" t="s">
        <v>965</v>
      </c>
      <c r="C169" s="7" t="s">
        <v>1086</v>
      </c>
    </row>
    <row r="170" spans="1:3" x14ac:dyDescent="0.3">
      <c r="A170" t="s">
        <v>4701</v>
      </c>
      <c r="B170" s="7" t="s">
        <v>1090</v>
      </c>
      <c r="C170" s="7" t="s">
        <v>1091</v>
      </c>
    </row>
    <row r="171" spans="1:3" x14ac:dyDescent="0.3">
      <c r="A171" t="s">
        <v>4702</v>
      </c>
      <c r="B171" s="7" t="s">
        <v>1095</v>
      </c>
      <c r="C171" s="7" t="s">
        <v>1096</v>
      </c>
    </row>
    <row r="172" spans="1:3" x14ac:dyDescent="0.3">
      <c r="A172" t="s">
        <v>4703</v>
      </c>
      <c r="B172" s="7" t="s">
        <v>1100</v>
      </c>
      <c r="C172" s="7" t="s">
        <v>1096</v>
      </c>
    </row>
    <row r="173" spans="1:3" x14ac:dyDescent="0.3">
      <c r="A173" t="s">
        <v>4704</v>
      </c>
      <c r="B173" s="7" t="s">
        <v>687</v>
      </c>
      <c r="C173" s="7" t="s">
        <v>546</v>
      </c>
    </row>
    <row r="174" spans="1:3" ht="27.6" x14ac:dyDescent="0.3">
      <c r="A174" t="s">
        <v>4705</v>
      </c>
      <c r="B174" s="7" t="s">
        <v>1107</v>
      </c>
      <c r="C174" s="7" t="s">
        <v>1108</v>
      </c>
    </row>
    <row r="175" spans="1:3" x14ac:dyDescent="0.3">
      <c r="A175" t="s">
        <v>4706</v>
      </c>
      <c r="B175" s="7" t="s">
        <v>687</v>
      </c>
      <c r="C175" s="7" t="s">
        <v>1113</v>
      </c>
    </row>
    <row r="176" spans="1:3" x14ac:dyDescent="0.3">
      <c r="A176" t="s">
        <v>4707</v>
      </c>
      <c r="B176" s="7" t="s">
        <v>687</v>
      </c>
      <c r="C176" s="7" t="s">
        <v>231</v>
      </c>
    </row>
    <row r="177" spans="1:3" x14ac:dyDescent="0.3">
      <c r="A177" t="s">
        <v>4708</v>
      </c>
      <c r="B177" s="7" t="s">
        <v>1121</v>
      </c>
      <c r="C177" s="7" t="s">
        <v>1122</v>
      </c>
    </row>
    <row r="178" spans="1:3" x14ac:dyDescent="0.3">
      <c r="A178" t="s">
        <v>4709</v>
      </c>
      <c r="B178" s="7" t="s">
        <v>630</v>
      </c>
      <c r="C178" s="7" t="s">
        <v>1127</v>
      </c>
    </row>
    <row r="179" spans="1:3" x14ac:dyDescent="0.3">
      <c r="A179" t="s">
        <v>4710</v>
      </c>
      <c r="B179" s="7" t="s">
        <v>1130</v>
      </c>
      <c r="C179" s="7" t="s">
        <v>892</v>
      </c>
    </row>
    <row r="180" spans="1:3" ht="27.6" x14ac:dyDescent="0.3">
      <c r="A180" t="s">
        <v>4711</v>
      </c>
      <c r="B180" s="7" t="s">
        <v>1130</v>
      </c>
      <c r="C180" s="7" t="s">
        <v>1134</v>
      </c>
    </row>
    <row r="181" spans="1:3" x14ac:dyDescent="0.3">
      <c r="A181" t="s">
        <v>4712</v>
      </c>
      <c r="B181" s="7" t="s">
        <v>1063</v>
      </c>
      <c r="C181" s="7" t="s">
        <v>280</v>
      </c>
    </row>
    <row r="182" spans="1:3" x14ac:dyDescent="0.3">
      <c r="A182" t="s">
        <v>4713</v>
      </c>
      <c r="B182" s="7" t="s">
        <v>1143</v>
      </c>
      <c r="C182" s="7" t="s">
        <v>1144</v>
      </c>
    </row>
    <row r="183" spans="1:3" x14ac:dyDescent="0.3">
      <c r="A183" t="s">
        <v>4714</v>
      </c>
      <c r="B183" s="7" t="s">
        <v>1148</v>
      </c>
      <c r="C183" s="7" t="s">
        <v>972</v>
      </c>
    </row>
    <row r="184" spans="1:3" x14ac:dyDescent="0.3">
      <c r="A184" t="s">
        <v>4715</v>
      </c>
      <c r="B184" s="7" t="s">
        <v>1153</v>
      </c>
      <c r="C184" s="7" t="s">
        <v>1154</v>
      </c>
    </row>
    <row r="185" spans="1:3" x14ac:dyDescent="0.3">
      <c r="A185" t="s">
        <v>4716</v>
      </c>
      <c r="B185" s="7" t="s">
        <v>1158</v>
      </c>
      <c r="C185" s="7" t="s">
        <v>1159</v>
      </c>
    </row>
    <row r="186" spans="1:3" x14ac:dyDescent="0.3">
      <c r="A186" t="s">
        <v>4717</v>
      </c>
      <c r="B186" s="7" t="s">
        <v>1163</v>
      </c>
      <c r="C186" s="7" t="s">
        <v>1164</v>
      </c>
    </row>
    <row r="187" spans="1:3" x14ac:dyDescent="0.3">
      <c r="A187" t="s">
        <v>4718</v>
      </c>
      <c r="B187" s="7" t="s">
        <v>1168</v>
      </c>
      <c r="C187" s="7" t="s">
        <v>759</v>
      </c>
    </row>
    <row r="188" spans="1:3" x14ac:dyDescent="0.3">
      <c r="A188" t="s">
        <v>4719</v>
      </c>
      <c r="B188" s="7" t="s">
        <v>697</v>
      </c>
      <c r="C188" s="7" t="s">
        <v>1173</v>
      </c>
    </row>
    <row r="189" spans="1:3" x14ac:dyDescent="0.3">
      <c r="A189" t="s">
        <v>4720</v>
      </c>
      <c r="B189" s="7" t="s">
        <v>697</v>
      </c>
      <c r="C189" s="7" t="s">
        <v>1178</v>
      </c>
    </row>
    <row r="190" spans="1:3" x14ac:dyDescent="0.3">
      <c r="A190" t="s">
        <v>4721</v>
      </c>
      <c r="B190" s="7" t="s">
        <v>1181</v>
      </c>
      <c r="C190" s="7" t="s">
        <v>1182</v>
      </c>
    </row>
    <row r="191" spans="1:3" x14ac:dyDescent="0.3">
      <c r="A191" t="s">
        <v>4722</v>
      </c>
      <c r="B191" s="7" t="s">
        <v>1186</v>
      </c>
      <c r="C191" s="7" t="s">
        <v>1187</v>
      </c>
    </row>
    <row r="192" spans="1:3" x14ac:dyDescent="0.3">
      <c r="A192" t="s">
        <v>4723</v>
      </c>
      <c r="B192" s="7" t="s">
        <v>1192</v>
      </c>
      <c r="C192" s="7" t="s">
        <v>1193</v>
      </c>
    </row>
    <row r="193" spans="1:3" x14ac:dyDescent="0.3">
      <c r="A193" t="s">
        <v>4724</v>
      </c>
      <c r="B193" s="7" t="s">
        <v>1197</v>
      </c>
      <c r="C193" s="7" t="s">
        <v>998</v>
      </c>
    </row>
    <row r="194" spans="1:3" x14ac:dyDescent="0.3">
      <c r="A194" t="s">
        <v>4725</v>
      </c>
      <c r="B194" s="7" t="s">
        <v>1201</v>
      </c>
      <c r="C194" s="7" t="s">
        <v>1202</v>
      </c>
    </row>
    <row r="195" spans="1:3" x14ac:dyDescent="0.3">
      <c r="A195" t="s">
        <v>4726</v>
      </c>
      <c r="B195" s="7" t="s">
        <v>1206</v>
      </c>
      <c r="C195" s="7" t="s">
        <v>1207</v>
      </c>
    </row>
    <row r="196" spans="1:3" ht="27.6" x14ac:dyDescent="0.3">
      <c r="A196" t="s">
        <v>4727</v>
      </c>
      <c r="B196" s="7" t="s">
        <v>1212</v>
      </c>
      <c r="C196" s="7" t="s">
        <v>1213</v>
      </c>
    </row>
    <row r="197" spans="1:3" x14ac:dyDescent="0.3">
      <c r="A197" t="s">
        <v>4728</v>
      </c>
      <c r="B197" s="7" t="s">
        <v>1217</v>
      </c>
      <c r="C197" s="7" t="s">
        <v>1218</v>
      </c>
    </row>
    <row r="198" spans="1:3" x14ac:dyDescent="0.3">
      <c r="A198" t="s">
        <v>4729</v>
      </c>
      <c r="B198" s="7" t="s">
        <v>1217</v>
      </c>
      <c r="C198" s="7" t="s">
        <v>1223</v>
      </c>
    </row>
    <row r="199" spans="1:3" x14ac:dyDescent="0.3">
      <c r="A199" t="s">
        <v>4730</v>
      </c>
      <c r="B199" s="7" t="s">
        <v>697</v>
      </c>
      <c r="C199" s="7" t="s">
        <v>1226</v>
      </c>
    </row>
    <row r="200" spans="1:3" x14ac:dyDescent="0.3">
      <c r="A200" t="s">
        <v>4731</v>
      </c>
      <c r="B200" s="7" t="s">
        <v>1232</v>
      </c>
      <c r="C200" s="7" t="s">
        <v>1233</v>
      </c>
    </row>
    <row r="201" spans="1:3" x14ac:dyDescent="0.3">
      <c r="A201" t="s">
        <v>4732</v>
      </c>
      <c r="B201" s="7" t="s">
        <v>299</v>
      </c>
      <c r="C201" s="7" t="s">
        <v>1237</v>
      </c>
    </row>
    <row r="202" spans="1:3" ht="27.6" x14ac:dyDescent="0.3">
      <c r="A202" t="s">
        <v>4733</v>
      </c>
      <c r="B202" s="7" t="s">
        <v>1090</v>
      </c>
      <c r="C202" s="7" t="s">
        <v>1242</v>
      </c>
    </row>
    <row r="203" spans="1:3" ht="41.4" x14ac:dyDescent="0.3">
      <c r="A203" t="s">
        <v>4734</v>
      </c>
      <c r="B203" s="7" t="s">
        <v>1246</v>
      </c>
      <c r="C203" s="7" t="s">
        <v>1247</v>
      </c>
    </row>
    <row r="204" spans="1:3" x14ac:dyDescent="0.3">
      <c r="A204" t="s">
        <v>4735</v>
      </c>
      <c r="B204" s="7" t="s">
        <v>1251</v>
      </c>
      <c r="C204" s="7" t="s">
        <v>1252</v>
      </c>
    </row>
    <row r="205" spans="1:3" ht="27.6" x14ac:dyDescent="0.3">
      <c r="A205" t="s">
        <v>4736</v>
      </c>
      <c r="B205" s="7" t="s">
        <v>1256</v>
      </c>
      <c r="C205" s="7" t="s">
        <v>1257</v>
      </c>
    </row>
    <row r="206" spans="1:3" x14ac:dyDescent="0.3">
      <c r="A206" t="s">
        <v>4737</v>
      </c>
      <c r="B206" s="7"/>
      <c r="C206" s="7"/>
    </row>
    <row r="207" spans="1:3" x14ac:dyDescent="0.3">
      <c r="A207" t="s">
        <v>4738</v>
      </c>
      <c r="B207" s="7" t="s">
        <v>1263</v>
      </c>
      <c r="C207" s="7" t="s">
        <v>1264</v>
      </c>
    </row>
    <row r="208" spans="1:3" x14ac:dyDescent="0.3">
      <c r="A208" t="s">
        <v>4739</v>
      </c>
      <c r="B208" s="7" t="s">
        <v>1268</v>
      </c>
      <c r="C208" s="7" t="s">
        <v>1269</v>
      </c>
    </row>
    <row r="209" spans="1:3" x14ac:dyDescent="0.3">
      <c r="A209" t="s">
        <v>4740</v>
      </c>
      <c r="B209" s="7" t="s">
        <v>1273</v>
      </c>
      <c r="C209" s="7" t="s">
        <v>1274</v>
      </c>
    </row>
    <row r="210" spans="1:3" x14ac:dyDescent="0.3">
      <c r="A210" t="s">
        <v>4741</v>
      </c>
      <c r="B210" s="7" t="s">
        <v>1279</v>
      </c>
      <c r="C210" s="7" t="s">
        <v>1280</v>
      </c>
    </row>
    <row r="211" spans="1:3" x14ac:dyDescent="0.3">
      <c r="A211" t="s">
        <v>4742</v>
      </c>
      <c r="B211" s="7" t="s">
        <v>1285</v>
      </c>
      <c r="C211" s="7" t="s">
        <v>1286</v>
      </c>
    </row>
    <row r="212" spans="1:3" x14ac:dyDescent="0.3">
      <c r="A212" t="s">
        <v>4756</v>
      </c>
      <c r="B212" s="7" t="s">
        <v>1292</v>
      </c>
      <c r="C212" s="7" t="s">
        <v>892</v>
      </c>
    </row>
    <row r="213" spans="1:3" x14ac:dyDescent="0.3">
      <c r="A213" t="s">
        <v>4757</v>
      </c>
      <c r="B213" s="7" t="s">
        <v>1296</v>
      </c>
      <c r="C213" s="7" t="s">
        <v>1297</v>
      </c>
    </row>
    <row r="214" spans="1:3" x14ac:dyDescent="0.3">
      <c r="A214" t="s">
        <v>4758</v>
      </c>
      <c r="B214" s="7" t="s">
        <v>1302</v>
      </c>
      <c r="C214" s="7" t="s">
        <v>1303</v>
      </c>
    </row>
    <row r="215" spans="1:3" x14ac:dyDescent="0.3">
      <c r="A215" t="s">
        <v>4759</v>
      </c>
      <c r="B215" s="7" t="s">
        <v>1307</v>
      </c>
      <c r="C215" s="7" t="s">
        <v>424</v>
      </c>
    </row>
    <row r="216" spans="1:3" x14ac:dyDescent="0.3">
      <c r="A216" t="s">
        <v>4760</v>
      </c>
      <c r="B216" s="7" t="s">
        <v>1307</v>
      </c>
      <c r="C216" s="7" t="s">
        <v>1311</v>
      </c>
    </row>
    <row r="217" spans="1:3" x14ac:dyDescent="0.3">
      <c r="A217" t="s">
        <v>4761</v>
      </c>
      <c r="B217" s="7" t="s">
        <v>1314</v>
      </c>
      <c r="C217" s="7" t="s">
        <v>1315</v>
      </c>
    </row>
    <row r="218" spans="1:3" x14ac:dyDescent="0.3">
      <c r="A218" t="s">
        <v>4762</v>
      </c>
      <c r="B218" s="7" t="s">
        <v>1319</v>
      </c>
      <c r="C218" s="7" t="s">
        <v>1320</v>
      </c>
    </row>
    <row r="219" spans="1:3" x14ac:dyDescent="0.3">
      <c r="A219" t="s">
        <v>4763</v>
      </c>
      <c r="B219" s="7" t="s">
        <v>1324</v>
      </c>
      <c r="C219" s="7"/>
    </row>
    <row r="220" spans="1:3" x14ac:dyDescent="0.3">
      <c r="A220" t="s">
        <v>4764</v>
      </c>
      <c r="B220" s="7" t="s">
        <v>1329</v>
      </c>
      <c r="C220" s="7" t="s">
        <v>1330</v>
      </c>
    </row>
    <row r="221" spans="1:3" x14ac:dyDescent="0.3">
      <c r="A221" t="s">
        <v>4765</v>
      </c>
      <c r="B221" s="7" t="s">
        <v>1334</v>
      </c>
      <c r="C221" s="7" t="s">
        <v>1037</v>
      </c>
    </row>
    <row r="222" spans="1:3" x14ac:dyDescent="0.3">
      <c r="A222" t="s">
        <v>4766</v>
      </c>
      <c r="B222" s="7" t="s">
        <v>687</v>
      </c>
      <c r="C222" s="7" t="s">
        <v>1338</v>
      </c>
    </row>
    <row r="223" spans="1:3" x14ac:dyDescent="0.3">
      <c r="A223" t="s">
        <v>4767</v>
      </c>
      <c r="B223" s="7" t="s">
        <v>697</v>
      </c>
      <c r="C223" s="7" t="s">
        <v>1343</v>
      </c>
    </row>
    <row r="224" spans="1:3" ht="27.6" x14ac:dyDescent="0.3">
      <c r="A224" t="s">
        <v>4768</v>
      </c>
      <c r="B224" s="7" t="s">
        <v>1347</v>
      </c>
      <c r="C224" s="7" t="s">
        <v>1348</v>
      </c>
    </row>
    <row r="225" spans="1:3" x14ac:dyDescent="0.3">
      <c r="A225" t="s">
        <v>4769</v>
      </c>
      <c r="B225" s="7" t="s">
        <v>1347</v>
      </c>
      <c r="C225" s="7" t="s">
        <v>1352</v>
      </c>
    </row>
    <row r="226" spans="1:3" x14ac:dyDescent="0.3">
      <c r="A226" t="s">
        <v>4770</v>
      </c>
      <c r="B226" s="7" t="s">
        <v>1356</v>
      </c>
      <c r="C226" s="7" t="s">
        <v>1357</v>
      </c>
    </row>
    <row r="227" spans="1:3" x14ac:dyDescent="0.3">
      <c r="A227" t="s">
        <v>4771</v>
      </c>
      <c r="B227" s="7" t="s">
        <v>1360</v>
      </c>
      <c r="C227" s="7" t="s">
        <v>1361</v>
      </c>
    </row>
    <row r="228" spans="1:3" x14ac:dyDescent="0.3">
      <c r="A228" t="s">
        <v>4772</v>
      </c>
      <c r="B228" s="7" t="s">
        <v>1367</v>
      </c>
      <c r="C228" s="7" t="s">
        <v>738</v>
      </c>
    </row>
    <row r="229" spans="1:3" x14ac:dyDescent="0.3">
      <c r="A229" t="s">
        <v>4773</v>
      </c>
      <c r="B229" s="7" t="s">
        <v>625</v>
      </c>
      <c r="C229" s="7" t="s">
        <v>1371</v>
      </c>
    </row>
    <row r="230" spans="1:3" x14ac:dyDescent="0.3">
      <c r="A230" t="s">
        <v>4774</v>
      </c>
      <c r="B230" s="7" t="s">
        <v>1374</v>
      </c>
      <c r="C230" s="7" t="s">
        <v>1375</v>
      </c>
    </row>
    <row r="231" spans="1:3" x14ac:dyDescent="0.3">
      <c r="A231" t="s">
        <v>4775</v>
      </c>
      <c r="B231" s="7" t="s">
        <v>428</v>
      </c>
      <c r="C231" s="7" t="s">
        <v>1379</v>
      </c>
    </row>
    <row r="232" spans="1:3" x14ac:dyDescent="0.3">
      <c r="A232" t="s">
        <v>4776</v>
      </c>
      <c r="B232" s="7" t="s">
        <v>1383</v>
      </c>
      <c r="C232" s="7" t="s">
        <v>1384</v>
      </c>
    </row>
    <row r="233" spans="1:3" ht="27.6" x14ac:dyDescent="0.3">
      <c r="A233" t="s">
        <v>4777</v>
      </c>
      <c r="B233" s="7" t="s">
        <v>1383</v>
      </c>
      <c r="C233" s="7" t="s">
        <v>1388</v>
      </c>
    </row>
    <row r="234" spans="1:3" x14ac:dyDescent="0.3">
      <c r="A234" t="s">
        <v>4778</v>
      </c>
      <c r="B234" s="7" t="s">
        <v>299</v>
      </c>
      <c r="C234" s="7" t="s">
        <v>1392</v>
      </c>
    </row>
    <row r="235" spans="1:3" x14ac:dyDescent="0.3">
      <c r="A235" t="s">
        <v>4779</v>
      </c>
      <c r="B235" s="7" t="s">
        <v>1396</v>
      </c>
      <c r="C235" s="7" t="s">
        <v>259</v>
      </c>
    </row>
    <row r="236" spans="1:3" ht="27.6" x14ac:dyDescent="0.3">
      <c r="A236" t="s">
        <v>4780</v>
      </c>
      <c r="B236" s="7" t="s">
        <v>1400</v>
      </c>
      <c r="C236" s="7" t="s">
        <v>1401</v>
      </c>
    </row>
    <row r="237" spans="1:3" x14ac:dyDescent="0.3">
      <c r="A237" t="s">
        <v>4781</v>
      </c>
      <c r="B237" s="7" t="s">
        <v>1406</v>
      </c>
      <c r="C237" s="7" t="s">
        <v>1407</v>
      </c>
    </row>
    <row r="238" spans="1:3" x14ac:dyDescent="0.3">
      <c r="A238" t="s">
        <v>4782</v>
      </c>
      <c r="B238" s="7" t="s">
        <v>1412</v>
      </c>
      <c r="C238" s="7" t="s">
        <v>1413</v>
      </c>
    </row>
    <row r="239" spans="1:3" x14ac:dyDescent="0.3">
      <c r="A239" t="s">
        <v>4783</v>
      </c>
      <c r="B239" s="7" t="s">
        <v>1417</v>
      </c>
      <c r="C239" s="7" t="s">
        <v>1384</v>
      </c>
    </row>
    <row r="240" spans="1:3" x14ac:dyDescent="0.3">
      <c r="A240" t="s">
        <v>4784</v>
      </c>
      <c r="B240" s="7" t="s">
        <v>1421</v>
      </c>
      <c r="C240" s="7" t="s">
        <v>881</v>
      </c>
    </row>
    <row r="241" spans="1:3" x14ac:dyDescent="0.3">
      <c r="A241" t="s">
        <v>4785</v>
      </c>
      <c r="B241" s="7" t="s">
        <v>1421</v>
      </c>
      <c r="C241" s="7" t="s">
        <v>1425</v>
      </c>
    </row>
    <row r="242" spans="1:3" x14ac:dyDescent="0.3">
      <c r="A242" t="s">
        <v>4786</v>
      </c>
      <c r="B242" s="7" t="s">
        <v>311</v>
      </c>
      <c r="C242" s="7" t="s">
        <v>611</v>
      </c>
    </row>
    <row r="243" spans="1:3" x14ac:dyDescent="0.3">
      <c r="A243" t="s">
        <v>4787</v>
      </c>
      <c r="B243" s="7" t="s">
        <v>1432</v>
      </c>
      <c r="C243" s="7" t="s">
        <v>1433</v>
      </c>
    </row>
    <row r="244" spans="1:3" x14ac:dyDescent="0.3">
      <c r="A244" t="s">
        <v>4788</v>
      </c>
      <c r="B244" s="7" t="s">
        <v>1438</v>
      </c>
      <c r="C244" s="7" t="s">
        <v>1439</v>
      </c>
    </row>
    <row r="245" spans="1:3" ht="27.6" x14ac:dyDescent="0.3">
      <c r="A245" t="s">
        <v>4789</v>
      </c>
      <c r="B245" s="7" t="s">
        <v>1356</v>
      </c>
      <c r="C245" s="7" t="s">
        <v>1443</v>
      </c>
    </row>
    <row r="246" spans="1:3" x14ac:dyDescent="0.3">
      <c r="A246" t="s">
        <v>4790</v>
      </c>
      <c r="B246" s="7" t="s">
        <v>1447</v>
      </c>
      <c r="C246" s="7" t="s">
        <v>1448</v>
      </c>
    </row>
    <row r="247" spans="1:3" ht="27.6" x14ac:dyDescent="0.3">
      <c r="A247" t="s">
        <v>4791</v>
      </c>
      <c r="B247" s="7" t="s">
        <v>1452</v>
      </c>
      <c r="C247" s="7" t="s">
        <v>808</v>
      </c>
    </row>
    <row r="248" spans="1:3" x14ac:dyDescent="0.3">
      <c r="A248" t="s">
        <v>4792</v>
      </c>
      <c r="B248" s="7" t="s">
        <v>1456</v>
      </c>
      <c r="C248" s="7" t="s">
        <v>1457</v>
      </c>
    </row>
    <row r="249" spans="1:3" x14ac:dyDescent="0.3">
      <c r="A249" t="s">
        <v>4793</v>
      </c>
      <c r="B249" s="7" t="s">
        <v>1461</v>
      </c>
      <c r="C249" s="7" t="s">
        <v>1462</v>
      </c>
    </row>
    <row r="250" spans="1:3" x14ac:dyDescent="0.3">
      <c r="A250" t="s">
        <v>4794</v>
      </c>
      <c r="B250" s="7" t="s">
        <v>272</v>
      </c>
      <c r="C250" s="7" t="s">
        <v>1466</v>
      </c>
    </row>
    <row r="251" spans="1:3" x14ac:dyDescent="0.3">
      <c r="A251" t="s">
        <v>4795</v>
      </c>
      <c r="B251" s="7" t="s">
        <v>1432</v>
      </c>
      <c r="C251" s="7" t="s">
        <v>1471</v>
      </c>
    </row>
    <row r="252" spans="1:3" x14ac:dyDescent="0.3">
      <c r="A252" t="s">
        <v>4796</v>
      </c>
      <c r="B252" s="7" t="s">
        <v>1476</v>
      </c>
      <c r="C252" s="7" t="s">
        <v>1477</v>
      </c>
    </row>
    <row r="253" spans="1:3" x14ac:dyDescent="0.3">
      <c r="A253" t="s">
        <v>4797</v>
      </c>
      <c r="B253" s="7" t="s">
        <v>1483</v>
      </c>
      <c r="C253" s="7" t="s">
        <v>1484</v>
      </c>
    </row>
    <row r="254" spans="1:3" x14ac:dyDescent="0.3">
      <c r="A254" t="s">
        <v>4798</v>
      </c>
      <c r="B254" s="7" t="s">
        <v>965</v>
      </c>
      <c r="C254" s="7" t="s">
        <v>1488</v>
      </c>
    </row>
    <row r="255" spans="1:3" x14ac:dyDescent="0.3">
      <c r="A255" t="s">
        <v>4799</v>
      </c>
      <c r="B255" s="7" t="s">
        <v>1314</v>
      </c>
      <c r="C255" s="7" t="s">
        <v>1492</v>
      </c>
    </row>
    <row r="256" spans="1:3" x14ac:dyDescent="0.3">
      <c r="A256" t="s">
        <v>4800</v>
      </c>
      <c r="B256" s="7" t="s">
        <v>567</v>
      </c>
      <c r="C256" s="7" t="s">
        <v>896</v>
      </c>
    </row>
    <row r="257" spans="1:3" x14ac:dyDescent="0.3">
      <c r="A257" t="s">
        <v>4801</v>
      </c>
      <c r="B257" s="7" t="s">
        <v>1499</v>
      </c>
      <c r="C257" s="7" t="s">
        <v>1500</v>
      </c>
    </row>
    <row r="258" spans="1:3" x14ac:dyDescent="0.3">
      <c r="A258" t="s">
        <v>4802</v>
      </c>
      <c r="B258" s="7" t="s">
        <v>1504</v>
      </c>
      <c r="C258" s="7" t="s">
        <v>1505</v>
      </c>
    </row>
    <row r="259" spans="1:3" x14ac:dyDescent="0.3">
      <c r="A259" t="s">
        <v>4803</v>
      </c>
      <c r="B259" s="7" t="s">
        <v>1509</v>
      </c>
      <c r="C259" s="7" t="s">
        <v>1510</v>
      </c>
    </row>
    <row r="260" spans="1:3" x14ac:dyDescent="0.3">
      <c r="A260" t="s">
        <v>4804</v>
      </c>
      <c r="B260" s="7" t="s">
        <v>1514</v>
      </c>
      <c r="C260" s="7" t="s">
        <v>1515</v>
      </c>
    </row>
    <row r="261" spans="1:3" ht="27.6" x14ac:dyDescent="0.3">
      <c r="A261" t="s">
        <v>4805</v>
      </c>
      <c r="B261" s="7" t="s">
        <v>458</v>
      </c>
      <c r="C261" s="7" t="s">
        <v>1519</v>
      </c>
    </row>
    <row r="262" spans="1:3" ht="27.6" x14ac:dyDescent="0.3">
      <c r="A262" t="s">
        <v>4806</v>
      </c>
      <c r="B262" s="7" t="s">
        <v>1523</v>
      </c>
      <c r="C262" s="7" t="s">
        <v>1524</v>
      </c>
    </row>
    <row r="263" spans="1:3" x14ac:dyDescent="0.3">
      <c r="A263" t="s">
        <v>4807</v>
      </c>
      <c r="B263" s="7" t="s">
        <v>1523</v>
      </c>
      <c r="C263" s="7" t="s">
        <v>1529</v>
      </c>
    </row>
    <row r="264" spans="1:3" x14ac:dyDescent="0.3">
      <c r="A264" t="s">
        <v>4808</v>
      </c>
      <c r="B264" s="7" t="s">
        <v>1532</v>
      </c>
      <c r="C264" s="7" t="s">
        <v>1533</v>
      </c>
    </row>
    <row r="265" spans="1:3" ht="27.6" x14ac:dyDescent="0.3">
      <c r="A265" t="s">
        <v>4809</v>
      </c>
      <c r="B265" s="7" t="s">
        <v>1537</v>
      </c>
      <c r="C265" s="7" t="s">
        <v>1538</v>
      </c>
    </row>
    <row r="266" spans="1:3" x14ac:dyDescent="0.3">
      <c r="A266" t="s">
        <v>4810</v>
      </c>
      <c r="B266" s="7" t="s">
        <v>272</v>
      </c>
      <c r="C266" s="7" t="s">
        <v>424</v>
      </c>
    </row>
    <row r="267" spans="1:3" x14ac:dyDescent="0.3">
      <c r="A267" t="s">
        <v>4811</v>
      </c>
      <c r="B267" s="7" t="s">
        <v>1546</v>
      </c>
      <c r="C267" s="7" t="s">
        <v>1547</v>
      </c>
    </row>
    <row r="268" spans="1:3" x14ac:dyDescent="0.3">
      <c r="A268" t="s">
        <v>4812</v>
      </c>
      <c r="B268" s="7" t="s">
        <v>1456</v>
      </c>
      <c r="C268" s="7" t="s">
        <v>1552</v>
      </c>
    </row>
    <row r="269" spans="1:3" x14ac:dyDescent="0.3">
      <c r="A269" t="s">
        <v>4813</v>
      </c>
      <c r="B269" s="7" t="s">
        <v>1456</v>
      </c>
      <c r="C269" s="7" t="s">
        <v>1556</v>
      </c>
    </row>
    <row r="270" spans="1:3" ht="27.6" x14ac:dyDescent="0.3">
      <c r="A270" t="s">
        <v>4814</v>
      </c>
      <c r="B270" s="7"/>
      <c r="C270" s="7" t="s">
        <v>407</v>
      </c>
    </row>
    <row r="271" spans="1:3" x14ac:dyDescent="0.3">
      <c r="A271" t="s">
        <v>4815</v>
      </c>
      <c r="B271" s="7" t="s">
        <v>1562</v>
      </c>
      <c r="C271" s="7" t="s">
        <v>1173</v>
      </c>
    </row>
    <row r="272" spans="1:3" x14ac:dyDescent="0.3">
      <c r="A272" t="s">
        <v>4816</v>
      </c>
      <c r="B272" s="7" t="s">
        <v>1568</v>
      </c>
      <c r="C272" s="7" t="s">
        <v>1569</v>
      </c>
    </row>
    <row r="273" spans="1:3" x14ac:dyDescent="0.3">
      <c r="A273" t="s">
        <v>4817</v>
      </c>
      <c r="B273" s="7" t="s">
        <v>1573</v>
      </c>
      <c r="C273" s="7" t="s">
        <v>1574</v>
      </c>
    </row>
    <row r="274" spans="1:3" x14ac:dyDescent="0.3">
      <c r="A274" t="s">
        <v>4818</v>
      </c>
      <c r="B274" s="7" t="s">
        <v>1578</v>
      </c>
      <c r="C274" s="7" t="s">
        <v>295</v>
      </c>
    </row>
    <row r="275" spans="1:3" x14ac:dyDescent="0.3">
      <c r="A275" t="s">
        <v>4819</v>
      </c>
      <c r="B275" s="7" t="s">
        <v>334</v>
      </c>
      <c r="C275" s="7" t="s">
        <v>983</v>
      </c>
    </row>
    <row r="276" spans="1:3" x14ac:dyDescent="0.3">
      <c r="A276" t="s">
        <v>4820</v>
      </c>
      <c r="B276" s="7" t="s">
        <v>1307</v>
      </c>
      <c r="C276" s="7" t="s">
        <v>1587</v>
      </c>
    </row>
    <row r="277" spans="1:3" x14ac:dyDescent="0.3">
      <c r="A277" t="s">
        <v>4821</v>
      </c>
      <c r="B277" s="7" t="s">
        <v>965</v>
      </c>
      <c r="C277" s="7" t="s">
        <v>1591</v>
      </c>
    </row>
    <row r="278" spans="1:3" x14ac:dyDescent="0.3">
      <c r="A278" t="s">
        <v>4822</v>
      </c>
      <c r="B278" s="7" t="s">
        <v>965</v>
      </c>
      <c r="C278" s="7" t="s">
        <v>1595</v>
      </c>
    </row>
    <row r="279" spans="1:3" x14ac:dyDescent="0.3">
      <c r="A279" t="s">
        <v>4823</v>
      </c>
      <c r="B279" s="7" t="s">
        <v>1599</v>
      </c>
      <c r="C279" s="7" t="s">
        <v>226</v>
      </c>
    </row>
    <row r="280" spans="1:3" x14ac:dyDescent="0.3">
      <c r="A280" t="s">
        <v>4824</v>
      </c>
      <c r="B280" s="7" t="s">
        <v>1314</v>
      </c>
      <c r="C280" s="7" t="s">
        <v>1604</v>
      </c>
    </row>
    <row r="281" spans="1:3" x14ac:dyDescent="0.3">
      <c r="A281" t="s">
        <v>4825</v>
      </c>
      <c r="B281" s="7" t="s">
        <v>1607</v>
      </c>
      <c r="C281" s="7" t="s">
        <v>1608</v>
      </c>
    </row>
    <row r="282" spans="1:3" x14ac:dyDescent="0.3">
      <c r="A282" t="s">
        <v>4826</v>
      </c>
      <c r="B282" s="7" t="s">
        <v>567</v>
      </c>
      <c r="C282" s="7" t="s">
        <v>1612</v>
      </c>
    </row>
    <row r="283" spans="1:3" x14ac:dyDescent="0.3">
      <c r="A283" t="s">
        <v>4827</v>
      </c>
      <c r="B283" s="7" t="s">
        <v>932</v>
      </c>
      <c r="C283" s="7" t="s">
        <v>939</v>
      </c>
    </row>
    <row r="284" spans="1:3" x14ac:dyDescent="0.3">
      <c r="A284" t="s">
        <v>4828</v>
      </c>
      <c r="B284" s="7" t="s">
        <v>1619</v>
      </c>
      <c r="C284" s="7" t="s">
        <v>1620</v>
      </c>
    </row>
    <row r="285" spans="1:3" x14ac:dyDescent="0.3">
      <c r="A285" t="s">
        <v>4829</v>
      </c>
      <c r="B285" s="7" t="s">
        <v>687</v>
      </c>
      <c r="C285" s="7" t="s">
        <v>966</v>
      </c>
    </row>
    <row r="286" spans="1:3" x14ac:dyDescent="0.3">
      <c r="A286" t="s">
        <v>4830</v>
      </c>
      <c r="B286" s="7" t="s">
        <v>1628</v>
      </c>
      <c r="C286" s="7" t="s">
        <v>1629</v>
      </c>
    </row>
    <row r="287" spans="1:3" x14ac:dyDescent="0.3">
      <c r="A287" t="s">
        <v>4831</v>
      </c>
      <c r="B287" s="7" t="s">
        <v>1632</v>
      </c>
      <c r="C287" s="7" t="s">
        <v>1633</v>
      </c>
    </row>
    <row r="288" spans="1:3" x14ac:dyDescent="0.3">
      <c r="A288" t="s">
        <v>4832</v>
      </c>
      <c r="B288" s="7" t="s">
        <v>1638</v>
      </c>
      <c r="C288" s="7" t="s">
        <v>1639</v>
      </c>
    </row>
    <row r="289" spans="1:3" x14ac:dyDescent="0.3">
      <c r="A289" t="s">
        <v>4833</v>
      </c>
      <c r="B289" s="7" t="s">
        <v>1643</v>
      </c>
      <c r="C289" s="7" t="s">
        <v>312</v>
      </c>
    </row>
    <row r="290" spans="1:3" x14ac:dyDescent="0.3">
      <c r="A290" t="s">
        <v>4834</v>
      </c>
      <c r="B290" s="7" t="s">
        <v>1647</v>
      </c>
      <c r="C290" s="7" t="s">
        <v>1648</v>
      </c>
    </row>
    <row r="291" spans="1:3" x14ac:dyDescent="0.3">
      <c r="A291" t="s">
        <v>4835</v>
      </c>
      <c r="B291" s="7" t="s">
        <v>1016</v>
      </c>
      <c r="C291" s="7" t="s">
        <v>1653</v>
      </c>
    </row>
    <row r="292" spans="1:3" x14ac:dyDescent="0.3">
      <c r="A292" t="s">
        <v>4836</v>
      </c>
      <c r="B292" s="7" t="s">
        <v>1657</v>
      </c>
      <c r="C292" s="7" t="s">
        <v>424</v>
      </c>
    </row>
    <row r="293" spans="1:3" ht="27.6" x14ac:dyDescent="0.3">
      <c r="A293" t="s">
        <v>4837</v>
      </c>
      <c r="B293" s="7" t="s">
        <v>1661</v>
      </c>
      <c r="C293" s="7" t="s">
        <v>1662</v>
      </c>
    </row>
    <row r="294" spans="1:3" x14ac:dyDescent="0.3">
      <c r="A294" t="s">
        <v>4838</v>
      </c>
      <c r="B294" s="7" t="s">
        <v>458</v>
      </c>
      <c r="C294" s="7" t="s">
        <v>1667</v>
      </c>
    </row>
    <row r="295" spans="1:3" x14ac:dyDescent="0.3">
      <c r="A295" t="s">
        <v>4839</v>
      </c>
      <c r="B295" s="7" t="s">
        <v>1672</v>
      </c>
      <c r="C295" s="7" t="s">
        <v>1673</v>
      </c>
    </row>
    <row r="296" spans="1:3" x14ac:dyDescent="0.3">
      <c r="A296" t="s">
        <v>4840</v>
      </c>
      <c r="B296" s="7" t="s">
        <v>1356</v>
      </c>
      <c r="C296" s="7" t="s">
        <v>1677</v>
      </c>
    </row>
    <row r="297" spans="1:3" x14ac:dyDescent="0.3">
      <c r="A297" t="s">
        <v>4841</v>
      </c>
      <c r="B297" s="7" t="s">
        <v>1683</v>
      </c>
      <c r="C297" s="7" t="s">
        <v>1684</v>
      </c>
    </row>
    <row r="298" spans="1:3" x14ac:dyDescent="0.3">
      <c r="A298" t="s">
        <v>4842</v>
      </c>
      <c r="B298" s="7" t="s">
        <v>1688</v>
      </c>
      <c r="C298" s="7" t="s">
        <v>1689</v>
      </c>
    </row>
    <row r="299" spans="1:3" x14ac:dyDescent="0.3">
      <c r="A299" t="s">
        <v>4843</v>
      </c>
      <c r="B299" s="7" t="s">
        <v>1694</v>
      </c>
      <c r="C299" s="7" t="s">
        <v>1695</v>
      </c>
    </row>
    <row r="300" spans="1:3" x14ac:dyDescent="0.3">
      <c r="A300" t="s">
        <v>4844</v>
      </c>
      <c r="B300" s="7" t="s">
        <v>1699</v>
      </c>
      <c r="C300" s="7" t="s">
        <v>754</v>
      </c>
    </row>
    <row r="301" spans="1:3" x14ac:dyDescent="0.3">
      <c r="A301" t="s">
        <v>4845</v>
      </c>
      <c r="B301" s="7" t="s">
        <v>284</v>
      </c>
      <c r="C301" s="7" t="s">
        <v>1064</v>
      </c>
    </row>
    <row r="302" spans="1:3" x14ac:dyDescent="0.3">
      <c r="A302" t="s">
        <v>4846</v>
      </c>
      <c r="B302" s="7" t="s">
        <v>1705</v>
      </c>
      <c r="C302" s="7" t="s">
        <v>1706</v>
      </c>
    </row>
    <row r="303" spans="1:3" x14ac:dyDescent="0.3">
      <c r="A303" t="s">
        <v>4847</v>
      </c>
      <c r="B303" s="7" t="s">
        <v>1709</v>
      </c>
      <c r="C303" s="7" t="s">
        <v>1710</v>
      </c>
    </row>
    <row r="304" spans="1:3" x14ac:dyDescent="0.3">
      <c r="A304" t="s">
        <v>4848</v>
      </c>
      <c r="B304" s="7" t="s">
        <v>1715</v>
      </c>
      <c r="C304" s="7" t="s">
        <v>1716</v>
      </c>
    </row>
    <row r="305" spans="1:3" x14ac:dyDescent="0.3">
      <c r="A305" t="s">
        <v>4849</v>
      </c>
      <c r="B305" s="7" t="s">
        <v>235</v>
      </c>
      <c r="C305" s="7" t="s">
        <v>1721</v>
      </c>
    </row>
    <row r="306" spans="1:3" x14ac:dyDescent="0.3">
      <c r="A306" t="s">
        <v>4850</v>
      </c>
      <c r="B306" s="7" t="s">
        <v>1232</v>
      </c>
      <c r="C306" s="7" t="s">
        <v>1725</v>
      </c>
    </row>
    <row r="307" spans="1:3" x14ac:dyDescent="0.3">
      <c r="A307" t="s">
        <v>4851</v>
      </c>
      <c r="B307" s="7" t="s">
        <v>1728</v>
      </c>
      <c r="C307" s="7" t="s">
        <v>1729</v>
      </c>
    </row>
    <row r="308" spans="1:3" x14ac:dyDescent="0.3">
      <c r="A308" t="s">
        <v>4852</v>
      </c>
      <c r="B308" s="7" t="s">
        <v>1734</v>
      </c>
      <c r="C308" s="7" t="s">
        <v>1735</v>
      </c>
    </row>
    <row r="309" spans="1:3" x14ac:dyDescent="0.3">
      <c r="A309" t="s">
        <v>4853</v>
      </c>
      <c r="B309" s="7" t="s">
        <v>1406</v>
      </c>
      <c r="C309" s="7" t="s">
        <v>754</v>
      </c>
    </row>
    <row r="310" spans="1:3" x14ac:dyDescent="0.3">
      <c r="A310" t="s">
        <v>4854</v>
      </c>
      <c r="B310" s="7" t="s">
        <v>1742</v>
      </c>
      <c r="C310" s="7" t="s">
        <v>1330</v>
      </c>
    </row>
    <row r="311" spans="1:3" x14ac:dyDescent="0.3">
      <c r="A311" t="s">
        <v>4855</v>
      </c>
      <c r="B311" s="7" t="s">
        <v>1746</v>
      </c>
      <c r="C311" s="7" t="s">
        <v>1747</v>
      </c>
    </row>
    <row r="312" spans="1:3" x14ac:dyDescent="0.3">
      <c r="A312" t="s">
        <v>4856</v>
      </c>
      <c r="B312" s="7" t="s">
        <v>416</v>
      </c>
      <c r="C312" s="7" t="s">
        <v>1751</v>
      </c>
    </row>
    <row r="313" spans="1:3" ht="27.6" x14ac:dyDescent="0.3">
      <c r="A313" t="s">
        <v>4857</v>
      </c>
      <c r="B313" s="7" t="s">
        <v>1756</v>
      </c>
      <c r="C313" s="7" t="s">
        <v>1757</v>
      </c>
    </row>
    <row r="314" spans="1:3" x14ac:dyDescent="0.3">
      <c r="A314" t="s">
        <v>4858</v>
      </c>
      <c r="B314" s="7" t="s">
        <v>299</v>
      </c>
      <c r="C314" s="7" t="s">
        <v>1761</v>
      </c>
    </row>
    <row r="315" spans="1:3" x14ac:dyDescent="0.3">
      <c r="A315" t="s">
        <v>4859</v>
      </c>
      <c r="B315" s="7" t="s">
        <v>272</v>
      </c>
      <c r="C315" s="7" t="s">
        <v>1765</v>
      </c>
    </row>
    <row r="316" spans="1:3" x14ac:dyDescent="0.3">
      <c r="A316" t="s">
        <v>4860</v>
      </c>
      <c r="B316" s="7" t="s">
        <v>272</v>
      </c>
      <c r="C316" s="7" t="s">
        <v>1769</v>
      </c>
    </row>
    <row r="317" spans="1:3" x14ac:dyDescent="0.3">
      <c r="A317" t="s">
        <v>4861</v>
      </c>
      <c r="B317" s="7" t="s">
        <v>932</v>
      </c>
      <c r="C317" s="7" t="s">
        <v>1774</v>
      </c>
    </row>
    <row r="318" spans="1:3" x14ac:dyDescent="0.3">
      <c r="A318" t="s">
        <v>4862</v>
      </c>
      <c r="B318" s="7" t="s">
        <v>1778</v>
      </c>
      <c r="C318" s="7" t="s">
        <v>1779</v>
      </c>
    </row>
    <row r="319" spans="1:3" ht="41.4" x14ac:dyDescent="0.3">
      <c r="A319" t="s">
        <v>4863</v>
      </c>
      <c r="B319" s="7" t="s">
        <v>1783</v>
      </c>
      <c r="C319" s="7" t="s">
        <v>1784</v>
      </c>
    </row>
    <row r="320" spans="1:3" x14ac:dyDescent="0.3">
      <c r="A320" t="s">
        <v>4864</v>
      </c>
      <c r="B320" s="7" t="s">
        <v>1789</v>
      </c>
      <c r="C320" s="7" t="s">
        <v>285</v>
      </c>
    </row>
    <row r="321" spans="1:3" x14ac:dyDescent="0.3">
      <c r="A321" t="s">
        <v>4865</v>
      </c>
      <c r="B321" s="7" t="s">
        <v>1793</v>
      </c>
      <c r="C321" s="7" t="s">
        <v>1794</v>
      </c>
    </row>
    <row r="322" spans="1:3" ht="27.6" x14ac:dyDescent="0.3">
      <c r="A322" t="s">
        <v>4866</v>
      </c>
      <c r="B322" s="7" t="s">
        <v>1672</v>
      </c>
      <c r="C322" s="7" t="s">
        <v>1798</v>
      </c>
    </row>
    <row r="323" spans="1:3" x14ac:dyDescent="0.3">
      <c r="A323" t="s">
        <v>4867</v>
      </c>
      <c r="B323" s="7" t="s">
        <v>1804</v>
      </c>
      <c r="C323" s="7" t="s">
        <v>1805</v>
      </c>
    </row>
    <row r="324" spans="1:3" x14ac:dyDescent="0.3">
      <c r="A324" t="s">
        <v>4868</v>
      </c>
      <c r="B324" s="7" t="s">
        <v>1809</v>
      </c>
      <c r="C324" s="7" t="s">
        <v>1810</v>
      </c>
    </row>
    <row r="325" spans="1:3" x14ac:dyDescent="0.3">
      <c r="A325" t="s">
        <v>4869</v>
      </c>
      <c r="B325" s="7" t="s">
        <v>1814</v>
      </c>
      <c r="C325" s="7" t="s">
        <v>1815</v>
      </c>
    </row>
    <row r="326" spans="1:3" x14ac:dyDescent="0.3">
      <c r="A326" t="s">
        <v>4743</v>
      </c>
      <c r="B326" s="7" t="s">
        <v>1822</v>
      </c>
      <c r="C326" s="7" t="s">
        <v>1823</v>
      </c>
    </row>
    <row r="327" spans="1:3" x14ac:dyDescent="0.3">
      <c r="A327" t="s">
        <v>4744</v>
      </c>
      <c r="B327" s="7" t="s">
        <v>1827</v>
      </c>
      <c r="C327" s="7" t="s">
        <v>1828</v>
      </c>
    </row>
    <row r="328" spans="1:3" x14ac:dyDescent="0.3">
      <c r="A328" t="s">
        <v>4745</v>
      </c>
      <c r="B328" s="7" t="s">
        <v>1833</v>
      </c>
      <c r="C328" s="7" t="s">
        <v>1834</v>
      </c>
    </row>
    <row r="329" spans="1:3" x14ac:dyDescent="0.3">
      <c r="A329" t="s">
        <v>4746</v>
      </c>
      <c r="B329" s="7" t="s">
        <v>1838</v>
      </c>
      <c r="C329" s="7" t="s">
        <v>1839</v>
      </c>
    </row>
    <row r="330" spans="1:3" x14ac:dyDescent="0.3">
      <c r="A330" t="s">
        <v>4747</v>
      </c>
      <c r="B330" s="7" t="s">
        <v>1843</v>
      </c>
      <c r="C330" s="7" t="s">
        <v>1844</v>
      </c>
    </row>
    <row r="331" spans="1:3" x14ac:dyDescent="0.3">
      <c r="A331" t="s">
        <v>4748</v>
      </c>
      <c r="B331" s="7" t="s">
        <v>1849</v>
      </c>
      <c r="C331" s="7" t="s">
        <v>1850</v>
      </c>
    </row>
    <row r="332" spans="1:3" x14ac:dyDescent="0.3">
      <c r="A332" t="s">
        <v>4749</v>
      </c>
      <c r="B332" s="7" t="s">
        <v>1838</v>
      </c>
      <c r="C332" s="7" t="s">
        <v>1854</v>
      </c>
    </row>
    <row r="333" spans="1:3" ht="27.6" x14ac:dyDescent="0.3">
      <c r="A333" t="s">
        <v>4750</v>
      </c>
      <c r="B333" s="7" t="s">
        <v>1859</v>
      </c>
      <c r="C333" s="7" t="s">
        <v>1860</v>
      </c>
    </row>
    <row r="334" spans="1:3" ht="27.6" x14ac:dyDescent="0.3">
      <c r="A334" t="s">
        <v>4751</v>
      </c>
      <c r="B334" s="7" t="s">
        <v>1864</v>
      </c>
      <c r="C334" s="7" t="s">
        <v>1865</v>
      </c>
    </row>
    <row r="335" spans="1:3" x14ac:dyDescent="0.3">
      <c r="A335" t="s">
        <v>4752</v>
      </c>
      <c r="B335" s="7" t="s">
        <v>439</v>
      </c>
      <c r="C335" s="7" t="s">
        <v>1870</v>
      </c>
    </row>
    <row r="336" spans="1:3" x14ac:dyDescent="0.3">
      <c r="A336" t="s">
        <v>4753</v>
      </c>
      <c r="B336" s="7" t="s">
        <v>1874</v>
      </c>
      <c r="C336" s="7" t="s">
        <v>1875</v>
      </c>
    </row>
    <row r="337" spans="1:3" x14ac:dyDescent="0.3">
      <c r="A337" t="s">
        <v>4754</v>
      </c>
      <c r="B337" s="7" t="s">
        <v>1016</v>
      </c>
      <c r="C337" s="7" t="s">
        <v>1878</v>
      </c>
    </row>
    <row r="338" spans="1:3" x14ac:dyDescent="0.3">
      <c r="A338" t="s">
        <v>4755</v>
      </c>
      <c r="B338" s="7" t="s">
        <v>1884</v>
      </c>
      <c r="C338" s="7" t="s">
        <v>1885</v>
      </c>
    </row>
    <row r="339" spans="1:3" ht="27.6" x14ac:dyDescent="0.3">
      <c r="A339" t="s">
        <v>4870</v>
      </c>
      <c r="B339" s="7" t="s">
        <v>1891</v>
      </c>
      <c r="C339" s="7" t="s">
        <v>1892</v>
      </c>
    </row>
    <row r="340" spans="1:3" x14ac:dyDescent="0.3">
      <c r="A340" t="s">
        <v>4871</v>
      </c>
      <c r="B340" s="7" t="s">
        <v>1896</v>
      </c>
      <c r="C340" s="7" t="s">
        <v>1897</v>
      </c>
    </row>
    <row r="341" spans="1:3" x14ac:dyDescent="0.3">
      <c r="A341" t="s">
        <v>4872</v>
      </c>
      <c r="B341" s="7" t="s">
        <v>1901</v>
      </c>
      <c r="C341" s="7" t="s">
        <v>972</v>
      </c>
    </row>
    <row r="342" spans="1:3" x14ac:dyDescent="0.3">
      <c r="A342" t="s">
        <v>4873</v>
      </c>
      <c r="B342" s="7" t="s">
        <v>349</v>
      </c>
      <c r="C342" s="7" t="s">
        <v>826</v>
      </c>
    </row>
    <row r="343" spans="1:3" x14ac:dyDescent="0.3">
      <c r="A343" t="s">
        <v>4874</v>
      </c>
      <c r="B343" s="7" t="s">
        <v>1908</v>
      </c>
      <c r="C343" s="7" t="s">
        <v>1909</v>
      </c>
    </row>
    <row r="344" spans="1:3" x14ac:dyDescent="0.3">
      <c r="A344" t="s">
        <v>4875</v>
      </c>
      <c r="B344" s="7" t="s">
        <v>1913</v>
      </c>
      <c r="C344" s="7" t="s">
        <v>1834</v>
      </c>
    </row>
    <row r="345" spans="1:3" x14ac:dyDescent="0.3">
      <c r="A345" t="s">
        <v>4876</v>
      </c>
      <c r="B345" s="7" t="s">
        <v>458</v>
      </c>
      <c r="C345" s="7" t="s">
        <v>1457</v>
      </c>
    </row>
    <row r="346" spans="1:3" x14ac:dyDescent="0.3">
      <c r="A346" t="s">
        <v>4877</v>
      </c>
      <c r="B346" s="7" t="s">
        <v>697</v>
      </c>
      <c r="C346" s="7" t="s">
        <v>226</v>
      </c>
    </row>
    <row r="347" spans="1:3" x14ac:dyDescent="0.3">
      <c r="A347" t="s">
        <v>4878</v>
      </c>
      <c r="B347" s="7" t="s">
        <v>1924</v>
      </c>
      <c r="C347" s="7" t="s">
        <v>939</v>
      </c>
    </row>
    <row r="348" spans="1:3" x14ac:dyDescent="0.3">
      <c r="A348" t="s">
        <v>4879</v>
      </c>
      <c r="B348" s="7" t="s">
        <v>1928</v>
      </c>
      <c r="C348" s="7" t="s">
        <v>1929</v>
      </c>
    </row>
    <row r="349" spans="1:3" x14ac:dyDescent="0.3">
      <c r="A349" t="s">
        <v>4880</v>
      </c>
      <c r="B349" s="7" t="s">
        <v>1933</v>
      </c>
      <c r="C349" s="7" t="s">
        <v>1934</v>
      </c>
    </row>
    <row r="350" spans="1:3" x14ac:dyDescent="0.3">
      <c r="A350" t="s">
        <v>4881</v>
      </c>
      <c r="B350" s="7" t="s">
        <v>1933</v>
      </c>
      <c r="C350" s="7" t="s">
        <v>259</v>
      </c>
    </row>
    <row r="351" spans="1:3" x14ac:dyDescent="0.3">
      <c r="A351" t="s">
        <v>4882</v>
      </c>
      <c r="B351" s="7" t="s">
        <v>334</v>
      </c>
      <c r="C351" s="7" t="s">
        <v>1942</v>
      </c>
    </row>
    <row r="352" spans="1:3" x14ac:dyDescent="0.3">
      <c r="A352" t="s">
        <v>4883</v>
      </c>
      <c r="B352" s="7" t="s">
        <v>1946</v>
      </c>
      <c r="C352" s="7" t="s">
        <v>1457</v>
      </c>
    </row>
    <row r="353" spans="1:3" x14ac:dyDescent="0.3">
      <c r="A353" t="s">
        <v>4884</v>
      </c>
      <c r="B353" s="7" t="s">
        <v>1950</v>
      </c>
      <c r="C353" s="7" t="s">
        <v>1951</v>
      </c>
    </row>
    <row r="354" spans="1:3" x14ac:dyDescent="0.3">
      <c r="A354" t="s">
        <v>4885</v>
      </c>
      <c r="B354" s="7" t="s">
        <v>1573</v>
      </c>
      <c r="C354" s="7" t="s">
        <v>1834</v>
      </c>
    </row>
    <row r="355" spans="1:3" ht="27.6" x14ac:dyDescent="0.3">
      <c r="A355" t="s">
        <v>4886</v>
      </c>
      <c r="B355" s="7" t="s">
        <v>1960</v>
      </c>
      <c r="C355" s="7" t="s">
        <v>1961</v>
      </c>
    </row>
    <row r="356" spans="1:3" x14ac:dyDescent="0.3">
      <c r="A356" t="s">
        <v>4887</v>
      </c>
      <c r="B356" s="7" t="s">
        <v>687</v>
      </c>
      <c r="C356" s="7" t="s">
        <v>1965</v>
      </c>
    </row>
    <row r="357" spans="1:3" x14ac:dyDescent="0.3">
      <c r="A357" t="s">
        <v>4888</v>
      </c>
      <c r="B357" s="7" t="s">
        <v>1969</v>
      </c>
      <c r="C357" s="7" t="s">
        <v>772</v>
      </c>
    </row>
    <row r="358" spans="1:3" x14ac:dyDescent="0.3">
      <c r="A358" t="s">
        <v>4889</v>
      </c>
      <c r="B358" s="7" t="s">
        <v>587</v>
      </c>
      <c r="C358" s="7" t="s">
        <v>1973</v>
      </c>
    </row>
    <row r="359" spans="1:3" x14ac:dyDescent="0.3">
      <c r="A359" t="s">
        <v>4890</v>
      </c>
      <c r="B359" s="7" t="s">
        <v>658</v>
      </c>
      <c r="C359" s="7" t="s">
        <v>335</v>
      </c>
    </row>
    <row r="360" spans="1:3" x14ac:dyDescent="0.3">
      <c r="A360" t="s">
        <v>4891</v>
      </c>
      <c r="B360" s="7" t="s">
        <v>1981</v>
      </c>
      <c r="C360" s="7" t="s">
        <v>892</v>
      </c>
    </row>
    <row r="361" spans="1:3" x14ac:dyDescent="0.3">
      <c r="A361" t="s">
        <v>4562</v>
      </c>
      <c r="B361" s="7" t="s">
        <v>1987</v>
      </c>
      <c r="C361" s="7" t="s">
        <v>534</v>
      </c>
    </row>
    <row r="362" spans="1:3" x14ac:dyDescent="0.3">
      <c r="A362" t="s">
        <v>4563</v>
      </c>
      <c r="B362" s="7" t="s">
        <v>1991</v>
      </c>
      <c r="C362" s="7" t="s">
        <v>1992</v>
      </c>
    </row>
    <row r="363" spans="1:3" x14ac:dyDescent="0.3">
      <c r="A363" t="s">
        <v>4564</v>
      </c>
      <c r="B363" s="7" t="s">
        <v>379</v>
      </c>
      <c r="C363" s="7" t="s">
        <v>1997</v>
      </c>
    </row>
    <row r="364" spans="1:3" x14ac:dyDescent="0.3">
      <c r="A364" t="s">
        <v>4565</v>
      </c>
      <c r="B364" s="7" t="s">
        <v>2001</v>
      </c>
      <c r="C364" s="7" t="s">
        <v>546</v>
      </c>
    </row>
    <row r="365" spans="1:3" x14ac:dyDescent="0.3">
      <c r="A365" t="s">
        <v>4892</v>
      </c>
      <c r="B365" s="7" t="s">
        <v>2005</v>
      </c>
      <c r="C365" s="7" t="s">
        <v>1934</v>
      </c>
    </row>
    <row r="366" spans="1:3" x14ac:dyDescent="0.3">
      <c r="A366" t="s">
        <v>4893</v>
      </c>
      <c r="B366" s="7" t="s">
        <v>2009</v>
      </c>
      <c r="C366" s="7" t="s">
        <v>1384</v>
      </c>
    </row>
    <row r="367" spans="1:3" x14ac:dyDescent="0.3">
      <c r="A367" t="s">
        <v>4894</v>
      </c>
      <c r="B367" s="7" t="s">
        <v>2013</v>
      </c>
      <c r="C367" s="7" t="s">
        <v>2014</v>
      </c>
    </row>
    <row r="368" spans="1:3" x14ac:dyDescent="0.3">
      <c r="A368" t="s">
        <v>4895</v>
      </c>
      <c r="B368" s="7" t="s">
        <v>2018</v>
      </c>
      <c r="C368" s="7" t="s">
        <v>2019</v>
      </c>
    </row>
    <row r="369" spans="1:3" x14ac:dyDescent="0.3">
      <c r="A369" t="s">
        <v>4896</v>
      </c>
      <c r="B369" s="7" t="s">
        <v>2023</v>
      </c>
      <c r="C369" s="7" t="s">
        <v>2024</v>
      </c>
    </row>
    <row r="370" spans="1:3" x14ac:dyDescent="0.3">
      <c r="A370" t="s">
        <v>4897</v>
      </c>
      <c r="B370" s="7" t="s">
        <v>2023</v>
      </c>
      <c r="C370" s="7" t="s">
        <v>2028</v>
      </c>
    </row>
    <row r="371" spans="1:3" x14ac:dyDescent="0.3">
      <c r="A371" t="s">
        <v>4898</v>
      </c>
      <c r="B371" s="7" t="s">
        <v>2032</v>
      </c>
      <c r="C371" s="7" t="s">
        <v>373</v>
      </c>
    </row>
    <row r="372" spans="1:3" x14ac:dyDescent="0.3">
      <c r="A372" t="s">
        <v>4899</v>
      </c>
      <c r="B372" s="7" t="s">
        <v>2036</v>
      </c>
      <c r="C372" s="7" t="s">
        <v>2037</v>
      </c>
    </row>
    <row r="373" spans="1:3" x14ac:dyDescent="0.3">
      <c r="A373" t="s">
        <v>4900</v>
      </c>
      <c r="B373" s="7" t="s">
        <v>2042</v>
      </c>
      <c r="C373" s="7" t="s">
        <v>2043</v>
      </c>
    </row>
    <row r="374" spans="1:3" x14ac:dyDescent="0.3">
      <c r="A374" t="s">
        <v>4901</v>
      </c>
      <c r="B374" s="7" t="s">
        <v>567</v>
      </c>
      <c r="C374" s="7" t="s">
        <v>2050</v>
      </c>
    </row>
    <row r="375" spans="1:3" x14ac:dyDescent="0.3">
      <c r="A375" t="s">
        <v>4902</v>
      </c>
      <c r="B375" s="7" t="s">
        <v>2054</v>
      </c>
      <c r="C375" s="7" t="s">
        <v>312</v>
      </c>
    </row>
    <row r="376" spans="1:3" x14ac:dyDescent="0.3">
      <c r="A376" t="s">
        <v>4906</v>
      </c>
      <c r="B376" s="7" t="s">
        <v>2058</v>
      </c>
      <c r="C376" s="7" t="s">
        <v>2059</v>
      </c>
    </row>
    <row r="377" spans="1:3" x14ac:dyDescent="0.3">
      <c r="A377" t="s">
        <v>4907</v>
      </c>
      <c r="B377" s="7" t="s">
        <v>2063</v>
      </c>
      <c r="C377" s="7" t="s">
        <v>2064</v>
      </c>
    </row>
    <row r="378" spans="1:3" x14ac:dyDescent="0.3">
      <c r="A378" t="s">
        <v>4908</v>
      </c>
      <c r="B378" s="7" t="s">
        <v>620</v>
      </c>
      <c r="C378" s="7" t="s">
        <v>2068</v>
      </c>
    </row>
    <row r="379" spans="1:3" ht="27.6" x14ac:dyDescent="0.3">
      <c r="A379" t="s">
        <v>4909</v>
      </c>
      <c r="B379" s="7" t="s">
        <v>2072</v>
      </c>
      <c r="C379" s="7" t="s">
        <v>2073</v>
      </c>
    </row>
    <row r="380" spans="1:3" x14ac:dyDescent="0.3">
      <c r="A380" t="s">
        <v>4910</v>
      </c>
      <c r="B380" s="7" t="s">
        <v>284</v>
      </c>
      <c r="C380" s="7" t="s">
        <v>524</v>
      </c>
    </row>
    <row r="381" spans="1:3" x14ac:dyDescent="0.3">
      <c r="A381" t="s">
        <v>4911</v>
      </c>
      <c r="B381" s="7" t="s">
        <v>2080</v>
      </c>
      <c r="C381" s="7" t="s">
        <v>2081</v>
      </c>
    </row>
    <row r="382" spans="1:3" x14ac:dyDescent="0.3">
      <c r="A382" t="s">
        <v>4912</v>
      </c>
      <c r="B382" s="7" t="s">
        <v>2080</v>
      </c>
      <c r="C382" s="7" t="s">
        <v>2084</v>
      </c>
    </row>
    <row r="383" spans="1:3" x14ac:dyDescent="0.3">
      <c r="A383" t="s">
        <v>4913</v>
      </c>
      <c r="B383" s="7" t="s">
        <v>2088</v>
      </c>
      <c r="C383" s="7" t="s">
        <v>2089</v>
      </c>
    </row>
    <row r="384" spans="1:3" ht="27.6" x14ac:dyDescent="0.3">
      <c r="A384" t="s">
        <v>4914</v>
      </c>
      <c r="B384" s="7" t="s">
        <v>311</v>
      </c>
      <c r="C384" s="7" t="s">
        <v>2093</v>
      </c>
    </row>
    <row r="385" spans="1:3" x14ac:dyDescent="0.3">
      <c r="A385" t="s">
        <v>4915</v>
      </c>
      <c r="B385" s="7" t="s">
        <v>311</v>
      </c>
      <c r="C385" s="7" t="s">
        <v>2097</v>
      </c>
    </row>
    <row r="386" spans="1:3" x14ac:dyDescent="0.3">
      <c r="A386" t="s">
        <v>4916</v>
      </c>
      <c r="B386" s="7" t="s">
        <v>2101</v>
      </c>
      <c r="C386" s="7" t="s">
        <v>1973</v>
      </c>
    </row>
    <row r="387" spans="1:3" x14ac:dyDescent="0.3">
      <c r="A387" t="s">
        <v>4917</v>
      </c>
      <c r="B387" s="7" t="s">
        <v>2105</v>
      </c>
      <c r="C387" s="7" t="s">
        <v>2106</v>
      </c>
    </row>
    <row r="388" spans="1:3" x14ac:dyDescent="0.3">
      <c r="A388" t="s">
        <v>4918</v>
      </c>
      <c r="B388" s="7" t="s">
        <v>2112</v>
      </c>
      <c r="C388" s="7" t="s">
        <v>1850</v>
      </c>
    </row>
    <row r="389" spans="1:3" x14ac:dyDescent="0.3">
      <c r="A389" t="s">
        <v>4919</v>
      </c>
      <c r="B389" s="7" t="s">
        <v>2118</v>
      </c>
      <c r="C389" s="7" t="s">
        <v>2119</v>
      </c>
    </row>
    <row r="390" spans="1:3" x14ac:dyDescent="0.3">
      <c r="A390" t="s">
        <v>4920</v>
      </c>
      <c r="B390" s="7" t="s">
        <v>2123</v>
      </c>
      <c r="C390" s="7" t="s">
        <v>1751</v>
      </c>
    </row>
    <row r="391" spans="1:3" ht="27.6" x14ac:dyDescent="0.3">
      <c r="A391" t="s">
        <v>4921</v>
      </c>
      <c r="B391" s="7" t="s">
        <v>2127</v>
      </c>
      <c r="C391" s="7" t="s">
        <v>2128</v>
      </c>
    </row>
    <row r="392" spans="1:3" x14ac:dyDescent="0.3">
      <c r="A392" t="s">
        <v>4922</v>
      </c>
      <c r="B392" s="7" t="s">
        <v>567</v>
      </c>
      <c r="C392" s="7" t="s">
        <v>2132</v>
      </c>
    </row>
    <row r="393" spans="1:3" x14ac:dyDescent="0.3">
      <c r="A393" t="s">
        <v>4923</v>
      </c>
      <c r="B393" s="7" t="s">
        <v>439</v>
      </c>
      <c r="C393" s="7" t="s">
        <v>892</v>
      </c>
    </row>
    <row r="394" spans="1:3" x14ac:dyDescent="0.3">
      <c r="A394" t="s">
        <v>4924</v>
      </c>
      <c r="B394" s="7" t="s">
        <v>2142</v>
      </c>
      <c r="C394" s="7" t="s">
        <v>2143</v>
      </c>
    </row>
    <row r="395" spans="1:3" x14ac:dyDescent="0.3">
      <c r="A395" t="s">
        <v>4925</v>
      </c>
      <c r="B395" s="7" t="s">
        <v>2147</v>
      </c>
      <c r="C395" s="7" t="s">
        <v>2148</v>
      </c>
    </row>
    <row r="396" spans="1:3" ht="27.6" x14ac:dyDescent="0.3">
      <c r="A396" t="s">
        <v>4926</v>
      </c>
      <c r="B396" s="7" t="s">
        <v>932</v>
      </c>
      <c r="C396" s="7" t="s">
        <v>2153</v>
      </c>
    </row>
    <row r="397" spans="1:3" x14ac:dyDescent="0.3">
      <c r="A397" t="s">
        <v>4927</v>
      </c>
      <c r="B397" s="7" t="s">
        <v>687</v>
      </c>
      <c r="C397" s="7" t="s">
        <v>2157</v>
      </c>
    </row>
    <row r="398" spans="1:3" ht="27.6" x14ac:dyDescent="0.3">
      <c r="A398" t="s">
        <v>4928</v>
      </c>
      <c r="B398" s="7" t="s">
        <v>1924</v>
      </c>
      <c r="C398" s="7" t="s">
        <v>2162</v>
      </c>
    </row>
    <row r="399" spans="1:3" x14ac:dyDescent="0.3">
      <c r="A399" t="s">
        <v>4929</v>
      </c>
      <c r="B399" s="7" t="s">
        <v>458</v>
      </c>
      <c r="C399" s="7" t="s">
        <v>367</v>
      </c>
    </row>
    <row r="400" spans="1:3" ht="27.6" x14ac:dyDescent="0.3">
      <c r="A400" t="s">
        <v>4930</v>
      </c>
      <c r="B400" s="7" t="s">
        <v>458</v>
      </c>
      <c r="C400" s="7" t="s">
        <v>2170</v>
      </c>
    </row>
    <row r="401" spans="1:3" x14ac:dyDescent="0.3">
      <c r="A401" t="s">
        <v>4931</v>
      </c>
      <c r="B401" s="7" t="s">
        <v>1168</v>
      </c>
      <c r="C401" s="7" t="s">
        <v>1684</v>
      </c>
    </row>
    <row r="402" spans="1:3" x14ac:dyDescent="0.3">
      <c r="A402" t="s">
        <v>4932</v>
      </c>
      <c r="B402" s="7" t="s">
        <v>2179</v>
      </c>
      <c r="C402" s="7" t="s">
        <v>2180</v>
      </c>
    </row>
    <row r="403" spans="1:3" x14ac:dyDescent="0.3">
      <c r="A403" t="s">
        <v>4933</v>
      </c>
      <c r="B403" s="7" t="s">
        <v>2185</v>
      </c>
      <c r="C403" s="7" t="s">
        <v>2186</v>
      </c>
    </row>
    <row r="404" spans="1:3" x14ac:dyDescent="0.3">
      <c r="A404" t="s">
        <v>4934</v>
      </c>
      <c r="B404" s="7" t="s">
        <v>2191</v>
      </c>
      <c r="C404" s="7" t="s">
        <v>2192</v>
      </c>
    </row>
    <row r="405" spans="1:3" ht="27.6" x14ac:dyDescent="0.3">
      <c r="A405" t="s">
        <v>4935</v>
      </c>
      <c r="B405" s="7" t="s">
        <v>2197</v>
      </c>
      <c r="C405" s="7" t="s">
        <v>2198</v>
      </c>
    </row>
    <row r="406" spans="1:3" ht="27.6" x14ac:dyDescent="0.3">
      <c r="A406" t="s">
        <v>4936</v>
      </c>
      <c r="B406" s="7" t="s">
        <v>2202</v>
      </c>
      <c r="C406" s="7" t="s">
        <v>2203</v>
      </c>
    </row>
    <row r="407" spans="1:3" x14ac:dyDescent="0.3">
      <c r="A407" t="s">
        <v>4937</v>
      </c>
      <c r="B407" s="7" t="s">
        <v>2207</v>
      </c>
      <c r="C407" s="7" t="s">
        <v>2208</v>
      </c>
    </row>
    <row r="408" spans="1:3" x14ac:dyDescent="0.3">
      <c r="A408" t="s">
        <v>4938</v>
      </c>
      <c r="B408" s="7" t="s">
        <v>2212</v>
      </c>
      <c r="C408" s="7" t="s">
        <v>380</v>
      </c>
    </row>
    <row r="409" spans="1:3" x14ac:dyDescent="0.3">
      <c r="A409" t="s">
        <v>4939</v>
      </c>
      <c r="B409" s="7" t="s">
        <v>428</v>
      </c>
      <c r="C409" s="7" t="s">
        <v>2217</v>
      </c>
    </row>
    <row r="410" spans="1:3" x14ac:dyDescent="0.3">
      <c r="A410" t="s">
        <v>4940</v>
      </c>
      <c r="B410" s="7" t="s">
        <v>2221</v>
      </c>
      <c r="C410" s="7" t="s">
        <v>669</v>
      </c>
    </row>
    <row r="411" spans="1:3" x14ac:dyDescent="0.3">
      <c r="A411" t="s">
        <v>4941</v>
      </c>
      <c r="B411" s="7" t="s">
        <v>2225</v>
      </c>
      <c r="C411" s="7" t="s">
        <v>2226</v>
      </c>
    </row>
    <row r="412" spans="1:3" x14ac:dyDescent="0.3">
      <c r="A412" t="s">
        <v>4942</v>
      </c>
      <c r="B412" s="7" t="s">
        <v>932</v>
      </c>
      <c r="C412" s="7" t="s">
        <v>2231</v>
      </c>
    </row>
    <row r="413" spans="1:3" x14ac:dyDescent="0.3">
      <c r="A413" t="s">
        <v>4943</v>
      </c>
      <c r="B413" s="7" t="s">
        <v>2236</v>
      </c>
      <c r="C413" s="7" t="s">
        <v>2237</v>
      </c>
    </row>
    <row r="414" spans="1:3" x14ac:dyDescent="0.3">
      <c r="A414" t="s">
        <v>4944</v>
      </c>
      <c r="B414" s="7" t="s">
        <v>2241</v>
      </c>
      <c r="C414" s="7" t="s">
        <v>2242</v>
      </c>
    </row>
    <row r="415" spans="1:3" x14ac:dyDescent="0.3">
      <c r="A415" t="s">
        <v>4945</v>
      </c>
      <c r="B415" s="7" t="s">
        <v>2248</v>
      </c>
      <c r="C415" s="7" t="s">
        <v>2249</v>
      </c>
    </row>
    <row r="416" spans="1:3" x14ac:dyDescent="0.3">
      <c r="A416" t="s">
        <v>4946</v>
      </c>
      <c r="B416" s="7" t="s">
        <v>2253</v>
      </c>
      <c r="C416" s="7" t="s">
        <v>2254</v>
      </c>
    </row>
    <row r="417" spans="1:3" ht="27.6" x14ac:dyDescent="0.3">
      <c r="A417" t="s">
        <v>4947</v>
      </c>
      <c r="B417" s="7" t="s">
        <v>2257</v>
      </c>
      <c r="C417" s="7" t="s">
        <v>2258</v>
      </c>
    </row>
    <row r="418" spans="1:3" x14ac:dyDescent="0.3">
      <c r="A418" t="s">
        <v>4948</v>
      </c>
      <c r="B418" s="7" t="s">
        <v>311</v>
      </c>
      <c r="C418" s="7" t="s">
        <v>312</v>
      </c>
    </row>
    <row r="419" spans="1:3" x14ac:dyDescent="0.3">
      <c r="A419" t="s">
        <v>4949</v>
      </c>
      <c r="B419" s="7" t="s">
        <v>2265</v>
      </c>
      <c r="C419" s="7" t="s">
        <v>1269</v>
      </c>
    </row>
    <row r="420" spans="1:3" x14ac:dyDescent="0.3">
      <c r="A420" t="s">
        <v>4950</v>
      </c>
      <c r="B420" s="7" t="s">
        <v>677</v>
      </c>
      <c r="C420" s="7" t="s">
        <v>2270</v>
      </c>
    </row>
    <row r="421" spans="1:3" ht="27.6" x14ac:dyDescent="0.3">
      <c r="A421" t="s">
        <v>4951</v>
      </c>
      <c r="B421" s="7" t="s">
        <v>2276</v>
      </c>
      <c r="C421" s="7" t="s">
        <v>2277</v>
      </c>
    </row>
    <row r="422" spans="1:3" x14ac:dyDescent="0.3">
      <c r="A422" t="s">
        <v>4952</v>
      </c>
      <c r="B422" s="7" t="s">
        <v>334</v>
      </c>
      <c r="C422" s="7" t="s">
        <v>2281</v>
      </c>
    </row>
    <row r="423" spans="1:3" x14ac:dyDescent="0.3">
      <c r="A423" t="s">
        <v>4953</v>
      </c>
      <c r="B423" s="7" t="s">
        <v>2285</v>
      </c>
      <c r="C423" s="7" t="s">
        <v>2286</v>
      </c>
    </row>
    <row r="424" spans="1:3" x14ac:dyDescent="0.3">
      <c r="A424" t="s">
        <v>4954</v>
      </c>
      <c r="B424" s="7" t="s">
        <v>658</v>
      </c>
      <c r="C424" s="7" t="s">
        <v>2289</v>
      </c>
    </row>
    <row r="425" spans="1:3" x14ac:dyDescent="0.3">
      <c r="A425" t="s">
        <v>4955</v>
      </c>
      <c r="B425" s="7" t="s">
        <v>2293</v>
      </c>
      <c r="C425" s="7" t="s">
        <v>823</v>
      </c>
    </row>
    <row r="426" spans="1:3" x14ac:dyDescent="0.3">
      <c r="A426" t="s">
        <v>4956</v>
      </c>
      <c r="B426" s="7" t="s">
        <v>2299</v>
      </c>
      <c r="C426" s="7" t="s">
        <v>2300</v>
      </c>
    </row>
    <row r="427" spans="1:3" x14ac:dyDescent="0.3">
      <c r="A427" t="s">
        <v>4957</v>
      </c>
      <c r="B427" s="7" t="s">
        <v>687</v>
      </c>
      <c r="C427" s="7" t="s">
        <v>2304</v>
      </c>
    </row>
    <row r="428" spans="1:3" x14ac:dyDescent="0.3">
      <c r="A428" t="s">
        <v>4958</v>
      </c>
      <c r="B428" s="7" t="s">
        <v>1016</v>
      </c>
      <c r="C428" s="7" t="s">
        <v>2186</v>
      </c>
    </row>
    <row r="429" spans="1:3" x14ac:dyDescent="0.3">
      <c r="A429" t="s">
        <v>4959</v>
      </c>
      <c r="B429" s="7" t="s">
        <v>1016</v>
      </c>
      <c r="C429" s="7" t="s">
        <v>939</v>
      </c>
    </row>
    <row r="430" spans="1:3" x14ac:dyDescent="0.3">
      <c r="A430" t="s">
        <v>4960</v>
      </c>
      <c r="B430" s="7" t="s">
        <v>1016</v>
      </c>
      <c r="C430" s="7" t="s">
        <v>2316</v>
      </c>
    </row>
    <row r="431" spans="1:3" x14ac:dyDescent="0.3">
      <c r="A431" t="s">
        <v>4961</v>
      </c>
      <c r="B431" s="7" t="s">
        <v>458</v>
      </c>
      <c r="C431" s="7" t="s">
        <v>2320</v>
      </c>
    </row>
    <row r="432" spans="1:3" ht="27.6" x14ac:dyDescent="0.3">
      <c r="A432" t="s">
        <v>4962</v>
      </c>
      <c r="B432" s="7" t="s">
        <v>2324</v>
      </c>
      <c r="C432" s="7" t="s">
        <v>2325</v>
      </c>
    </row>
    <row r="433" spans="1:3" ht="27.6" x14ac:dyDescent="0.3">
      <c r="A433" t="s">
        <v>4963</v>
      </c>
      <c r="B433" s="7" t="s">
        <v>2330</v>
      </c>
      <c r="C433" s="7" t="s">
        <v>2331</v>
      </c>
    </row>
    <row r="434" spans="1:3" x14ac:dyDescent="0.3">
      <c r="A434" t="s">
        <v>4964</v>
      </c>
      <c r="B434" s="7" t="s">
        <v>2335</v>
      </c>
      <c r="C434" s="7" t="s">
        <v>1401</v>
      </c>
    </row>
    <row r="435" spans="1:3" x14ac:dyDescent="0.3">
      <c r="A435" t="s">
        <v>4965</v>
      </c>
      <c r="B435" s="7" t="s">
        <v>2339</v>
      </c>
      <c r="C435" s="7" t="s">
        <v>2340</v>
      </c>
    </row>
    <row r="436" spans="1:3" x14ac:dyDescent="0.3">
      <c r="A436" t="s">
        <v>4966</v>
      </c>
      <c r="B436" s="7" t="s">
        <v>2345</v>
      </c>
      <c r="C436" s="7" t="s">
        <v>1725</v>
      </c>
    </row>
    <row r="437" spans="1:3" ht="27.6" x14ac:dyDescent="0.3">
      <c r="A437" t="s">
        <v>4967</v>
      </c>
      <c r="B437" s="7" t="s">
        <v>1532</v>
      </c>
      <c r="C437" s="7" t="s">
        <v>2349</v>
      </c>
    </row>
    <row r="438" spans="1:3" x14ac:dyDescent="0.3">
      <c r="A438" t="s">
        <v>4968</v>
      </c>
      <c r="B438" s="7" t="s">
        <v>2352</v>
      </c>
      <c r="C438" s="7" t="s">
        <v>2353</v>
      </c>
    </row>
    <row r="439" spans="1:3" x14ac:dyDescent="0.3">
      <c r="A439" t="s">
        <v>4969</v>
      </c>
      <c r="B439" s="7" t="s">
        <v>2357</v>
      </c>
      <c r="C439" s="7" t="s">
        <v>2358</v>
      </c>
    </row>
    <row r="440" spans="1:3" x14ac:dyDescent="0.3">
      <c r="A440" t="s">
        <v>4970</v>
      </c>
      <c r="B440" s="7" t="s">
        <v>305</v>
      </c>
      <c r="C440" s="7" t="s">
        <v>1595</v>
      </c>
    </row>
    <row r="441" spans="1:3" x14ac:dyDescent="0.3">
      <c r="A441" t="s">
        <v>4971</v>
      </c>
      <c r="B441" s="7" t="s">
        <v>2364</v>
      </c>
      <c r="C441" s="7" t="s">
        <v>546</v>
      </c>
    </row>
    <row r="442" spans="1:3" x14ac:dyDescent="0.3">
      <c r="A442" t="s">
        <v>4972</v>
      </c>
      <c r="B442" s="7" t="s">
        <v>2368</v>
      </c>
      <c r="C442" s="7" t="s">
        <v>2369</v>
      </c>
    </row>
    <row r="443" spans="1:3" x14ac:dyDescent="0.3">
      <c r="A443" t="s">
        <v>4973</v>
      </c>
      <c r="B443" s="7" t="s">
        <v>2373</v>
      </c>
      <c r="C443" s="7" t="s">
        <v>2374</v>
      </c>
    </row>
    <row r="444" spans="1:3" x14ac:dyDescent="0.3">
      <c r="A444" t="s">
        <v>4974</v>
      </c>
      <c r="B444" s="7" t="s">
        <v>272</v>
      </c>
      <c r="C444" s="7" t="s">
        <v>1357</v>
      </c>
    </row>
    <row r="445" spans="1:3" x14ac:dyDescent="0.3">
      <c r="A445" t="s">
        <v>4975</v>
      </c>
      <c r="B445" s="7" t="s">
        <v>2380</v>
      </c>
      <c r="C445" s="7" t="s">
        <v>1315</v>
      </c>
    </row>
    <row r="446" spans="1:3" x14ac:dyDescent="0.3">
      <c r="A446" t="s">
        <v>4976</v>
      </c>
      <c r="B446" s="7" t="s">
        <v>2384</v>
      </c>
      <c r="C446" s="7" t="s">
        <v>2385</v>
      </c>
    </row>
    <row r="447" spans="1:3" x14ac:dyDescent="0.3">
      <c r="A447" t="s">
        <v>4977</v>
      </c>
      <c r="B447" s="7" t="s">
        <v>2389</v>
      </c>
      <c r="C447" s="7" t="s">
        <v>2390</v>
      </c>
    </row>
    <row r="448" spans="1:3" x14ac:dyDescent="0.3">
      <c r="A448" t="s">
        <v>4978</v>
      </c>
      <c r="B448" s="7" t="s">
        <v>1562</v>
      </c>
      <c r="C448" s="7" t="s">
        <v>241</v>
      </c>
    </row>
    <row r="449" spans="1:3" x14ac:dyDescent="0.3">
      <c r="A449" t="s">
        <v>4980</v>
      </c>
      <c r="B449" s="7" t="s">
        <v>2398</v>
      </c>
      <c r="C449" s="7" t="s">
        <v>2399</v>
      </c>
    </row>
    <row r="450" spans="1:3" x14ac:dyDescent="0.3">
      <c r="A450" t="s">
        <v>4979</v>
      </c>
      <c r="B450" s="7" t="s">
        <v>2403</v>
      </c>
      <c r="C450" s="7" t="s">
        <v>2404</v>
      </c>
    </row>
    <row r="451" spans="1:3" x14ac:dyDescent="0.3">
      <c r="A451" t="s">
        <v>4981</v>
      </c>
      <c r="B451" s="7" t="s">
        <v>2409</v>
      </c>
      <c r="C451" s="7" t="s">
        <v>759</v>
      </c>
    </row>
    <row r="452" spans="1:3" x14ac:dyDescent="0.3">
      <c r="A452" t="s">
        <v>4982</v>
      </c>
      <c r="B452" s="7" t="s">
        <v>2413</v>
      </c>
      <c r="C452" s="7" t="s">
        <v>2414</v>
      </c>
    </row>
    <row r="453" spans="1:3" x14ac:dyDescent="0.3">
      <c r="A453" t="s">
        <v>4983</v>
      </c>
      <c r="B453" s="7" t="s">
        <v>1016</v>
      </c>
      <c r="C453" s="7" t="s">
        <v>1620</v>
      </c>
    </row>
    <row r="454" spans="1:3" x14ac:dyDescent="0.3">
      <c r="A454" t="s">
        <v>4984</v>
      </c>
      <c r="B454" s="7" t="s">
        <v>444</v>
      </c>
      <c r="C454" s="7" t="s">
        <v>2421</v>
      </c>
    </row>
    <row r="455" spans="1:3" x14ac:dyDescent="0.3">
      <c r="A455" t="s">
        <v>4985</v>
      </c>
      <c r="B455" s="7" t="s">
        <v>2424</v>
      </c>
      <c r="C455" s="7" t="s">
        <v>994</v>
      </c>
    </row>
    <row r="456" spans="1:3" x14ac:dyDescent="0.3">
      <c r="A456" t="s">
        <v>4986</v>
      </c>
      <c r="B456" s="7" t="s">
        <v>630</v>
      </c>
      <c r="C456" s="7" t="s">
        <v>2428</v>
      </c>
    </row>
    <row r="457" spans="1:3" x14ac:dyDescent="0.3">
      <c r="A457" t="s">
        <v>4987</v>
      </c>
      <c r="B457" s="7" t="s">
        <v>789</v>
      </c>
      <c r="C457" s="7" t="s">
        <v>226</v>
      </c>
    </row>
    <row r="458" spans="1:3" x14ac:dyDescent="0.3">
      <c r="A458" t="s">
        <v>4988</v>
      </c>
      <c r="B458" s="7" t="s">
        <v>2435</v>
      </c>
      <c r="C458" s="7" t="s">
        <v>2436</v>
      </c>
    </row>
    <row r="459" spans="1:3" x14ac:dyDescent="0.3">
      <c r="A459" t="s">
        <v>4989</v>
      </c>
      <c r="B459" s="7" t="s">
        <v>2435</v>
      </c>
      <c r="C459" s="7" t="s">
        <v>2441</v>
      </c>
    </row>
    <row r="460" spans="1:3" x14ac:dyDescent="0.3">
      <c r="A460" t="s">
        <v>4990</v>
      </c>
      <c r="B460" s="7" t="s">
        <v>720</v>
      </c>
      <c r="C460" s="7" t="s">
        <v>2446</v>
      </c>
    </row>
    <row r="461" spans="1:3" x14ac:dyDescent="0.3">
      <c r="A461" t="s">
        <v>4991</v>
      </c>
      <c r="B461" s="7" t="s">
        <v>2450</v>
      </c>
      <c r="C461" s="7" t="s">
        <v>259</v>
      </c>
    </row>
    <row r="462" spans="1:3" x14ac:dyDescent="0.3">
      <c r="A462" t="s">
        <v>4992</v>
      </c>
      <c r="B462" s="7" t="s">
        <v>1121</v>
      </c>
      <c r="C462" s="7" t="s">
        <v>2454</v>
      </c>
    </row>
    <row r="463" spans="1:3" x14ac:dyDescent="0.3">
      <c r="A463" t="s">
        <v>4993</v>
      </c>
      <c r="B463" s="7" t="s">
        <v>2459</v>
      </c>
      <c r="C463" s="7" t="s">
        <v>1037</v>
      </c>
    </row>
    <row r="464" spans="1:3" ht="27.6" x14ac:dyDescent="0.3">
      <c r="A464" t="s">
        <v>4994</v>
      </c>
      <c r="B464" s="7" t="s">
        <v>697</v>
      </c>
      <c r="C464" s="7" t="s">
        <v>2465</v>
      </c>
    </row>
    <row r="465" spans="1:3" x14ac:dyDescent="0.3">
      <c r="A465" t="s">
        <v>4995</v>
      </c>
      <c r="B465" s="7" t="s">
        <v>697</v>
      </c>
      <c r="C465" s="7" t="s">
        <v>2469</v>
      </c>
    </row>
    <row r="466" spans="1:3" x14ac:dyDescent="0.3">
      <c r="A466" t="s">
        <v>4996</v>
      </c>
      <c r="B466" s="7" t="s">
        <v>416</v>
      </c>
      <c r="C466" s="7" t="s">
        <v>2474</v>
      </c>
    </row>
    <row r="467" spans="1:3" x14ac:dyDescent="0.3">
      <c r="A467" t="s">
        <v>4997</v>
      </c>
      <c r="B467" s="7" t="s">
        <v>658</v>
      </c>
      <c r="C467" s="7" t="s">
        <v>1653</v>
      </c>
    </row>
    <row r="468" spans="1:3" x14ac:dyDescent="0.3">
      <c r="A468" t="s">
        <v>4998</v>
      </c>
      <c r="B468" s="7" t="s">
        <v>2484</v>
      </c>
      <c r="C468" s="7" t="s">
        <v>2485</v>
      </c>
    </row>
    <row r="469" spans="1:3" x14ac:dyDescent="0.3">
      <c r="A469" t="s">
        <v>4999</v>
      </c>
      <c r="B469" s="7" t="s">
        <v>1063</v>
      </c>
      <c r="C469" s="7" t="s">
        <v>2490</v>
      </c>
    </row>
    <row r="470" spans="1:3" x14ac:dyDescent="0.3">
      <c r="A470" t="s">
        <v>5000</v>
      </c>
      <c r="B470" s="7" t="s">
        <v>299</v>
      </c>
      <c r="C470" s="7" t="s">
        <v>1684</v>
      </c>
    </row>
    <row r="471" spans="1:3" x14ac:dyDescent="0.3">
      <c r="A471" t="s">
        <v>5001</v>
      </c>
      <c r="B471" s="7" t="s">
        <v>334</v>
      </c>
      <c r="C471" s="7" t="s">
        <v>2498</v>
      </c>
    </row>
    <row r="472" spans="1:3" x14ac:dyDescent="0.3">
      <c r="A472" t="s">
        <v>5002</v>
      </c>
      <c r="B472" s="7" t="s">
        <v>2504</v>
      </c>
      <c r="C472" s="7" t="s">
        <v>2505</v>
      </c>
    </row>
    <row r="473" spans="1:3" x14ac:dyDescent="0.3">
      <c r="A473" t="s">
        <v>5003</v>
      </c>
      <c r="B473" s="7"/>
      <c r="C473" s="7"/>
    </row>
    <row r="474" spans="1:3" x14ac:dyDescent="0.3">
      <c r="A474" t="s">
        <v>5004</v>
      </c>
      <c r="B474" s="7" t="s">
        <v>2510</v>
      </c>
      <c r="C474" s="7" t="s">
        <v>2511</v>
      </c>
    </row>
    <row r="475" spans="1:3" x14ac:dyDescent="0.3">
      <c r="A475" t="s">
        <v>5005</v>
      </c>
      <c r="B475" s="7" t="s">
        <v>439</v>
      </c>
      <c r="C475" s="7" t="s">
        <v>2516</v>
      </c>
    </row>
    <row r="476" spans="1:3" x14ac:dyDescent="0.3">
      <c r="A476" t="s">
        <v>5006</v>
      </c>
      <c r="B476" s="7" t="s">
        <v>2521</v>
      </c>
      <c r="C476" s="7" t="s">
        <v>289</v>
      </c>
    </row>
    <row r="477" spans="1:3" x14ac:dyDescent="0.3">
      <c r="A477" t="s">
        <v>5007</v>
      </c>
      <c r="B477" s="7" t="s">
        <v>406</v>
      </c>
      <c r="C477" s="7" t="s">
        <v>2525</v>
      </c>
    </row>
    <row r="478" spans="1:3" x14ac:dyDescent="0.3">
      <c r="A478" t="s">
        <v>5008</v>
      </c>
      <c r="B478" s="7" t="s">
        <v>2529</v>
      </c>
      <c r="C478" s="7" t="s">
        <v>1433</v>
      </c>
    </row>
    <row r="479" spans="1:3" x14ac:dyDescent="0.3">
      <c r="A479" t="s">
        <v>5009</v>
      </c>
      <c r="B479" s="7" t="s">
        <v>620</v>
      </c>
      <c r="C479" s="7" t="s">
        <v>2533</v>
      </c>
    </row>
    <row r="480" spans="1:3" x14ac:dyDescent="0.3">
      <c r="A480" t="s">
        <v>5010</v>
      </c>
      <c r="B480" s="7" t="s">
        <v>2538</v>
      </c>
      <c r="C480" s="7" t="s">
        <v>1297</v>
      </c>
    </row>
    <row r="481" spans="1:3" x14ac:dyDescent="0.3">
      <c r="A481" t="s">
        <v>5011</v>
      </c>
      <c r="B481" s="7" t="s">
        <v>2542</v>
      </c>
      <c r="C481" s="7" t="s">
        <v>2543</v>
      </c>
    </row>
    <row r="482" spans="1:3" ht="27.6" x14ac:dyDescent="0.3">
      <c r="A482" t="s">
        <v>5012</v>
      </c>
      <c r="B482" s="7" t="s">
        <v>2547</v>
      </c>
      <c r="C482" s="7" t="s">
        <v>2548</v>
      </c>
    </row>
    <row r="483" spans="1:3" x14ac:dyDescent="0.3">
      <c r="A483" t="s">
        <v>5013</v>
      </c>
      <c r="B483" s="7" t="s">
        <v>668</v>
      </c>
      <c r="C483" s="7" t="s">
        <v>2552</v>
      </c>
    </row>
    <row r="484" spans="1:3" x14ac:dyDescent="0.3">
      <c r="A484" t="s">
        <v>5014</v>
      </c>
      <c r="B484" s="7" t="s">
        <v>2558</v>
      </c>
      <c r="C484" s="7" t="s">
        <v>2559</v>
      </c>
    </row>
    <row r="485" spans="1:3" x14ac:dyDescent="0.3">
      <c r="A485" t="s">
        <v>5015</v>
      </c>
      <c r="B485" s="7" t="s">
        <v>2564</v>
      </c>
      <c r="C485" s="7" t="s">
        <v>2565</v>
      </c>
    </row>
    <row r="486" spans="1:3" x14ac:dyDescent="0.3">
      <c r="A486" t="s">
        <v>5016</v>
      </c>
      <c r="B486" s="7" t="s">
        <v>1143</v>
      </c>
      <c r="C486" s="7" t="s">
        <v>2568</v>
      </c>
    </row>
    <row r="487" spans="1:3" ht="27.6" x14ac:dyDescent="0.3">
      <c r="A487" t="s">
        <v>5017</v>
      </c>
      <c r="B487" s="7" t="s">
        <v>2572</v>
      </c>
      <c r="C487" s="7" t="s">
        <v>2573</v>
      </c>
    </row>
    <row r="488" spans="1:3" x14ac:dyDescent="0.3">
      <c r="A488" t="s">
        <v>5018</v>
      </c>
      <c r="B488" s="7" t="s">
        <v>458</v>
      </c>
      <c r="C488" s="7" t="s">
        <v>2578</v>
      </c>
    </row>
    <row r="489" spans="1:3" x14ac:dyDescent="0.3">
      <c r="A489" t="s">
        <v>5019</v>
      </c>
      <c r="B489" s="7" t="s">
        <v>458</v>
      </c>
      <c r="C489" s="7" t="s">
        <v>2582</v>
      </c>
    </row>
    <row r="490" spans="1:3" ht="27.6" x14ac:dyDescent="0.3">
      <c r="A490" t="s">
        <v>5020</v>
      </c>
      <c r="B490" s="7" t="s">
        <v>2586</v>
      </c>
      <c r="C490" s="7" t="s">
        <v>2587</v>
      </c>
    </row>
    <row r="491" spans="1:3" x14ac:dyDescent="0.3">
      <c r="A491" t="s">
        <v>5021</v>
      </c>
      <c r="B491" s="7" t="s">
        <v>2591</v>
      </c>
      <c r="C491" s="7" t="s">
        <v>412</v>
      </c>
    </row>
    <row r="492" spans="1:3" x14ac:dyDescent="0.3">
      <c r="A492" t="s">
        <v>5022</v>
      </c>
      <c r="B492" s="7" t="s">
        <v>206</v>
      </c>
      <c r="C492" s="7" t="s">
        <v>2596</v>
      </c>
    </row>
    <row r="493" spans="1:3" x14ac:dyDescent="0.3">
      <c r="A493" t="s">
        <v>5023</v>
      </c>
      <c r="B493" s="7" t="s">
        <v>2602</v>
      </c>
      <c r="C493" s="7" t="s">
        <v>2603</v>
      </c>
    </row>
    <row r="494" spans="1:3" x14ac:dyDescent="0.3">
      <c r="A494" t="s">
        <v>5024</v>
      </c>
      <c r="B494" s="7" t="s">
        <v>658</v>
      </c>
      <c r="C494" s="7" t="s">
        <v>846</v>
      </c>
    </row>
    <row r="495" spans="1:3" x14ac:dyDescent="0.3">
      <c r="A495" t="s">
        <v>5025</v>
      </c>
      <c r="B495" s="7" t="s">
        <v>1728</v>
      </c>
      <c r="C495" s="7" t="s">
        <v>2613</v>
      </c>
    </row>
    <row r="496" spans="1:3" x14ac:dyDescent="0.3">
      <c r="A496" t="s">
        <v>5026</v>
      </c>
      <c r="B496" s="7" t="s">
        <v>2619</v>
      </c>
      <c r="C496" s="7" t="s">
        <v>2620</v>
      </c>
    </row>
    <row r="497" spans="1:3" x14ac:dyDescent="0.3">
      <c r="A497" t="s">
        <v>5027</v>
      </c>
      <c r="B497" s="7" t="s">
        <v>932</v>
      </c>
      <c r="C497" s="7" t="s">
        <v>2624</v>
      </c>
    </row>
    <row r="498" spans="1:3" x14ac:dyDescent="0.3">
      <c r="A498" t="s">
        <v>5028</v>
      </c>
      <c r="B498" s="7" t="s">
        <v>2629</v>
      </c>
      <c r="C498" s="7" t="s">
        <v>2630</v>
      </c>
    </row>
    <row r="499" spans="1:3" x14ac:dyDescent="0.3">
      <c r="A499" t="s">
        <v>5029</v>
      </c>
      <c r="B499" s="7" t="s">
        <v>428</v>
      </c>
      <c r="C499" s="7" t="s">
        <v>1364</v>
      </c>
    </row>
    <row r="500" spans="1:3" x14ac:dyDescent="0.3">
      <c r="A500" t="s">
        <v>5030</v>
      </c>
      <c r="B500" s="7" t="s">
        <v>630</v>
      </c>
      <c r="C500" s="7" t="s">
        <v>2638</v>
      </c>
    </row>
    <row r="501" spans="1:3" ht="27.6" x14ac:dyDescent="0.3">
      <c r="A501" t="s">
        <v>5031</v>
      </c>
      <c r="B501" s="7" t="s">
        <v>264</v>
      </c>
      <c r="C501" s="7" t="s">
        <v>2642</v>
      </c>
    </row>
    <row r="502" spans="1:3" x14ac:dyDescent="0.3">
      <c r="A502" t="s">
        <v>5032</v>
      </c>
      <c r="B502" s="7" t="s">
        <v>264</v>
      </c>
      <c r="C502" s="7" t="s">
        <v>2648</v>
      </c>
    </row>
    <row r="503" spans="1:3" x14ac:dyDescent="0.3">
      <c r="A503" t="s">
        <v>5033</v>
      </c>
      <c r="B503" s="7" t="s">
        <v>2652</v>
      </c>
      <c r="C503" s="7" t="s">
        <v>939</v>
      </c>
    </row>
    <row r="504" spans="1:3" x14ac:dyDescent="0.3">
      <c r="A504" t="s">
        <v>5034</v>
      </c>
      <c r="B504" s="7" t="s">
        <v>2656</v>
      </c>
      <c r="C504" s="7" t="s">
        <v>2657</v>
      </c>
    </row>
    <row r="505" spans="1:3" x14ac:dyDescent="0.3">
      <c r="A505" t="s">
        <v>5035</v>
      </c>
      <c r="B505" s="7" t="s">
        <v>2661</v>
      </c>
      <c r="C505" s="7" t="s">
        <v>2662</v>
      </c>
    </row>
    <row r="506" spans="1:3" x14ac:dyDescent="0.3">
      <c r="A506" t="s">
        <v>5036</v>
      </c>
      <c r="B506" s="7" t="s">
        <v>272</v>
      </c>
      <c r="C506" s="7" t="s">
        <v>2666</v>
      </c>
    </row>
    <row r="507" spans="1:3" x14ac:dyDescent="0.3">
      <c r="A507" t="s">
        <v>5037</v>
      </c>
      <c r="B507" s="7" t="s">
        <v>2670</v>
      </c>
      <c r="C507" s="7" t="s">
        <v>2671</v>
      </c>
    </row>
    <row r="508" spans="1:3" ht="27.6" x14ac:dyDescent="0.3">
      <c r="A508" t="s">
        <v>5038</v>
      </c>
      <c r="B508" s="7" t="s">
        <v>850</v>
      </c>
      <c r="C508" s="7" t="s">
        <v>2674</v>
      </c>
    </row>
    <row r="509" spans="1:3" x14ac:dyDescent="0.3">
      <c r="A509" t="s">
        <v>5039</v>
      </c>
      <c r="B509" s="7" t="s">
        <v>2678</v>
      </c>
      <c r="C509" s="7" t="s">
        <v>2679</v>
      </c>
    </row>
    <row r="510" spans="1:3" x14ac:dyDescent="0.3">
      <c r="A510" t="s">
        <v>5040</v>
      </c>
      <c r="B510" s="7" t="s">
        <v>2683</v>
      </c>
      <c r="C510" s="7" t="s">
        <v>2684</v>
      </c>
    </row>
    <row r="511" spans="1:3" ht="27.6" x14ac:dyDescent="0.3">
      <c r="A511" t="s">
        <v>5041</v>
      </c>
      <c r="B511" s="7" t="s">
        <v>2687</v>
      </c>
      <c r="C511" s="7" t="s">
        <v>2688</v>
      </c>
    </row>
    <row r="512" spans="1:3" x14ac:dyDescent="0.3">
      <c r="A512" t="s">
        <v>5042</v>
      </c>
      <c r="B512" s="7" t="s">
        <v>2692</v>
      </c>
      <c r="C512" s="7" t="s">
        <v>2693</v>
      </c>
    </row>
    <row r="513" spans="1:3" x14ac:dyDescent="0.3">
      <c r="A513" t="s">
        <v>5043</v>
      </c>
      <c r="B513" s="7" t="s">
        <v>2697</v>
      </c>
      <c r="C513" s="7" t="s">
        <v>2698</v>
      </c>
    </row>
    <row r="514" spans="1:3" x14ac:dyDescent="0.3">
      <c r="A514" t="s">
        <v>5044</v>
      </c>
      <c r="B514" s="7" t="s">
        <v>2701</v>
      </c>
      <c r="C514" s="7" t="s">
        <v>2702</v>
      </c>
    </row>
    <row r="515" spans="1:3" ht="27.6" x14ac:dyDescent="0.3">
      <c r="A515" t="s">
        <v>5045</v>
      </c>
      <c r="B515" s="7" t="s">
        <v>2709</v>
      </c>
      <c r="C515" s="7" t="s">
        <v>2710</v>
      </c>
    </row>
    <row r="516" spans="1:3" ht="27.6" x14ac:dyDescent="0.3">
      <c r="A516" t="s">
        <v>5046</v>
      </c>
      <c r="B516" s="7" t="s">
        <v>965</v>
      </c>
      <c r="C516" s="7" t="s">
        <v>2714</v>
      </c>
    </row>
    <row r="517" spans="1:3" x14ac:dyDescent="0.3">
      <c r="A517" t="s">
        <v>5047</v>
      </c>
      <c r="B517" s="7" t="s">
        <v>2718</v>
      </c>
      <c r="C517" s="7" t="s">
        <v>2719</v>
      </c>
    </row>
    <row r="518" spans="1:3" x14ac:dyDescent="0.3">
      <c r="A518" t="s">
        <v>5048</v>
      </c>
      <c r="B518" s="7" t="s">
        <v>439</v>
      </c>
      <c r="C518" s="7" t="s">
        <v>2723</v>
      </c>
    </row>
    <row r="519" spans="1:3" x14ac:dyDescent="0.3">
      <c r="A519" t="s">
        <v>5049</v>
      </c>
      <c r="B519" s="7" t="s">
        <v>2727</v>
      </c>
      <c r="C519" s="7" t="s">
        <v>2728</v>
      </c>
    </row>
    <row r="520" spans="1:3" x14ac:dyDescent="0.3">
      <c r="A520" t="s">
        <v>5050</v>
      </c>
      <c r="B520" s="7" t="s">
        <v>1661</v>
      </c>
      <c r="C520" s="7" t="s">
        <v>2733</v>
      </c>
    </row>
    <row r="521" spans="1:3" x14ac:dyDescent="0.3">
      <c r="A521" t="s">
        <v>5051</v>
      </c>
      <c r="B521" s="7" t="s">
        <v>2063</v>
      </c>
      <c r="C521" s="7" t="s">
        <v>2737</v>
      </c>
    </row>
    <row r="522" spans="1:3" x14ac:dyDescent="0.3">
      <c r="A522" t="s">
        <v>5052</v>
      </c>
      <c r="B522" s="7" t="s">
        <v>587</v>
      </c>
      <c r="C522" s="7" t="s">
        <v>1484</v>
      </c>
    </row>
    <row r="523" spans="1:3" ht="27.6" x14ac:dyDescent="0.3">
      <c r="A523" t="s">
        <v>5053</v>
      </c>
      <c r="B523" s="7" t="s">
        <v>2744</v>
      </c>
      <c r="C523" s="7" t="s">
        <v>2745</v>
      </c>
    </row>
    <row r="524" spans="1:3" x14ac:dyDescent="0.3">
      <c r="A524" t="s">
        <v>5054</v>
      </c>
      <c r="B524" s="7" t="s">
        <v>1924</v>
      </c>
      <c r="C524" s="7" t="s">
        <v>659</v>
      </c>
    </row>
    <row r="525" spans="1:3" x14ac:dyDescent="0.3">
      <c r="A525" t="s">
        <v>5055</v>
      </c>
      <c r="B525" s="7" t="s">
        <v>1924</v>
      </c>
      <c r="C525" s="7" t="s">
        <v>1384</v>
      </c>
    </row>
    <row r="526" spans="1:3" x14ac:dyDescent="0.3">
      <c r="A526" t="s">
        <v>5056</v>
      </c>
      <c r="B526" s="7" t="s">
        <v>692</v>
      </c>
      <c r="C526" s="7" t="s">
        <v>1997</v>
      </c>
    </row>
    <row r="527" spans="1:3" x14ac:dyDescent="0.3">
      <c r="A527" t="s">
        <v>5057</v>
      </c>
      <c r="B527" s="7" t="s">
        <v>2760</v>
      </c>
      <c r="C527" s="7" t="s">
        <v>2761</v>
      </c>
    </row>
    <row r="528" spans="1:3" x14ac:dyDescent="0.3">
      <c r="A528" t="s">
        <v>5058</v>
      </c>
      <c r="B528" s="7" t="s">
        <v>2765</v>
      </c>
      <c r="C528" s="7" t="s">
        <v>524</v>
      </c>
    </row>
    <row r="529" spans="1:3" x14ac:dyDescent="0.3">
      <c r="A529" t="s">
        <v>5059</v>
      </c>
      <c r="B529" s="7" t="s">
        <v>2769</v>
      </c>
      <c r="C529" s="7" t="s">
        <v>2770</v>
      </c>
    </row>
  </sheetData>
  <autoFilter ref="A1:E529" xr:uid="{69A62157-A71E-472D-A4E6-8718D674E23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29"/>
  <sheetViews>
    <sheetView zoomScaleNormal="100" workbookViewId="0">
      <pane ySplit="1" topLeftCell="A3" activePane="bottomLeft" state="frozen"/>
      <selection pane="bottomLeft" activeCell="N5" sqref="N5"/>
    </sheetView>
  </sheetViews>
  <sheetFormatPr baseColWidth="10" defaultColWidth="8.6640625" defaultRowHeight="15" customHeight="1" x14ac:dyDescent="0.3"/>
  <cols>
    <col min="1" max="1" width="10" customWidth="1"/>
    <col min="2" max="2" width="12" customWidth="1"/>
    <col min="3" max="3" width="14" customWidth="1"/>
    <col min="4" max="4" width="18" customWidth="1"/>
    <col min="5" max="5" width="28" customWidth="1"/>
    <col min="6" max="6" width="18" customWidth="1"/>
    <col min="7" max="7" width="16" customWidth="1"/>
    <col min="8" max="9" width="18" customWidth="1"/>
    <col min="10" max="11" width="12" customWidth="1"/>
    <col min="12" max="12" width="14" customWidth="1"/>
    <col min="13" max="13" width="16" customWidth="1"/>
    <col min="14" max="14" width="21.109375" customWidth="1"/>
    <col min="15" max="15" width="16" customWidth="1"/>
    <col min="16" max="16" width="22" customWidth="1"/>
    <col min="17" max="17" width="16" customWidth="1"/>
    <col min="18" max="18" width="12" customWidth="1"/>
    <col min="19" max="19" width="28" customWidth="1"/>
  </cols>
  <sheetData>
    <row r="1" spans="1:19" ht="27.75" customHeight="1" x14ac:dyDescent="0.3">
      <c r="A1" s="3" t="s">
        <v>183</v>
      </c>
      <c r="B1" s="3" t="s">
        <v>184</v>
      </c>
      <c r="C1" s="3" t="s">
        <v>185</v>
      </c>
      <c r="D1" s="3" t="s">
        <v>186</v>
      </c>
      <c r="E1" s="3" t="s">
        <v>187</v>
      </c>
      <c r="F1" s="3" t="s">
        <v>188</v>
      </c>
      <c r="G1" s="3" t="s">
        <v>189</v>
      </c>
      <c r="H1" s="3" t="s">
        <v>190</v>
      </c>
      <c r="I1" s="3" t="s">
        <v>191</v>
      </c>
      <c r="J1" s="3" t="s">
        <v>4375</v>
      </c>
      <c r="K1" s="3" t="s">
        <v>4376</v>
      </c>
      <c r="L1" s="3" t="s">
        <v>4377</v>
      </c>
      <c r="M1" s="3" t="s">
        <v>4378</v>
      </c>
      <c r="N1" s="3" t="s">
        <v>4379</v>
      </c>
      <c r="O1" s="3" t="s">
        <v>4503</v>
      </c>
      <c r="P1" s="3" t="s">
        <v>4380</v>
      </c>
      <c r="Q1" s="3" t="s">
        <v>4381</v>
      </c>
      <c r="R1" s="3" t="s">
        <v>4382</v>
      </c>
      <c r="S1" s="3" t="s">
        <v>4383</v>
      </c>
    </row>
    <row r="2" spans="1:19" ht="21.75" customHeight="1" x14ac:dyDescent="0.3">
      <c r="A2" s="6" t="s">
        <v>202</v>
      </c>
      <c r="B2" s="6" t="s">
        <v>203</v>
      </c>
      <c r="C2" s="6" t="s">
        <v>204</v>
      </c>
      <c r="D2" s="6" t="s">
        <v>78</v>
      </c>
      <c r="E2" s="6" t="s">
        <v>205</v>
      </c>
      <c r="F2" s="13" t="s">
        <v>206</v>
      </c>
      <c r="G2" s="13" t="s">
        <v>207</v>
      </c>
      <c r="H2" s="13" t="s">
        <v>208</v>
      </c>
      <c r="I2" s="13"/>
      <c r="J2" s="7"/>
      <c r="K2" s="7"/>
      <c r="L2" s="7" t="s">
        <v>93</v>
      </c>
      <c r="M2" s="7" t="s">
        <v>93</v>
      </c>
      <c r="N2" s="10"/>
      <c r="O2" s="9" t="str">
        <f t="shared" ref="O2:O65" si="0">IF(L2="oui","incomplet",IF(OR(J2="non",K2="non"),"a_regulariser",IF(AND(J2="oui",K2="oui"),"ok","")))</f>
        <v/>
      </c>
      <c r="P2" s="11"/>
      <c r="Q2" s="12"/>
      <c r="R2" s="11"/>
      <c r="S2" s="7"/>
    </row>
    <row r="3" spans="1:19" ht="21.75" customHeight="1" x14ac:dyDescent="0.3">
      <c r="A3" s="6" t="s">
        <v>202</v>
      </c>
      <c r="B3" s="6" t="s">
        <v>203</v>
      </c>
      <c r="C3" s="6" t="s">
        <v>210</v>
      </c>
      <c r="D3" s="6" t="s">
        <v>78</v>
      </c>
      <c r="E3" s="6" t="s">
        <v>211</v>
      </c>
      <c r="F3" s="13" t="s">
        <v>212</v>
      </c>
      <c r="G3" s="13" t="s">
        <v>213</v>
      </c>
      <c r="H3" s="13" t="s">
        <v>214</v>
      </c>
      <c r="I3" s="13" t="s">
        <v>215</v>
      </c>
      <c r="J3" s="7"/>
      <c r="K3" s="7"/>
      <c r="L3" s="7" t="s">
        <v>93</v>
      </c>
      <c r="M3" s="7" t="s">
        <v>93</v>
      </c>
      <c r="N3" s="10"/>
      <c r="O3" s="9" t="str">
        <f t="shared" si="0"/>
        <v/>
      </c>
      <c r="P3" s="11"/>
      <c r="Q3" s="12"/>
      <c r="R3" s="11"/>
      <c r="S3" s="7"/>
    </row>
    <row r="4" spans="1:19" ht="21.75" customHeight="1" x14ac:dyDescent="0.3">
      <c r="A4" s="6" t="s">
        <v>202</v>
      </c>
      <c r="B4" s="6" t="s">
        <v>203</v>
      </c>
      <c r="C4" s="6" t="s">
        <v>216</v>
      </c>
      <c r="D4" s="6" t="s">
        <v>78</v>
      </c>
      <c r="E4" s="6" t="s">
        <v>217</v>
      </c>
      <c r="F4" s="13" t="s">
        <v>218</v>
      </c>
      <c r="G4" s="13" t="s">
        <v>219</v>
      </c>
      <c r="H4" s="13" t="s">
        <v>220</v>
      </c>
      <c r="I4" s="13" t="s">
        <v>221</v>
      </c>
      <c r="J4" s="7"/>
      <c r="K4" s="7"/>
      <c r="L4" s="7" t="s">
        <v>93</v>
      </c>
      <c r="M4" s="7" t="s">
        <v>93</v>
      </c>
      <c r="N4" s="10"/>
      <c r="O4" s="9" t="str">
        <f t="shared" si="0"/>
        <v/>
      </c>
      <c r="P4" s="11"/>
      <c r="Q4" s="12"/>
      <c r="R4" s="11"/>
      <c r="S4" s="7"/>
    </row>
    <row r="5" spans="1:19" ht="21.75" customHeight="1" x14ac:dyDescent="0.3">
      <c r="A5" s="6" t="s">
        <v>202</v>
      </c>
      <c r="B5" s="6" t="s">
        <v>203</v>
      </c>
      <c r="C5" s="6" t="s">
        <v>223</v>
      </c>
      <c r="D5" s="6" t="s">
        <v>78</v>
      </c>
      <c r="E5" s="6" t="s">
        <v>224</v>
      </c>
      <c r="F5" s="13" t="s">
        <v>225</v>
      </c>
      <c r="G5" s="13" t="s">
        <v>226</v>
      </c>
      <c r="H5" s="13" t="s">
        <v>227</v>
      </c>
      <c r="I5" s="13"/>
      <c r="J5" s="7"/>
      <c r="K5" s="7"/>
      <c r="L5" s="7" t="s">
        <v>93</v>
      </c>
      <c r="M5" s="7" t="s">
        <v>93</v>
      </c>
      <c r="N5" s="10"/>
      <c r="O5" s="9" t="str">
        <f t="shared" si="0"/>
        <v/>
      </c>
      <c r="P5" s="11"/>
      <c r="Q5" s="12"/>
      <c r="R5" s="11"/>
      <c r="S5" s="7"/>
    </row>
    <row r="6" spans="1:19" ht="21.75" customHeight="1" x14ac:dyDescent="0.3">
      <c r="A6" s="6" t="s">
        <v>202</v>
      </c>
      <c r="B6" s="6" t="s">
        <v>203</v>
      </c>
      <c r="C6" s="6" t="s">
        <v>228</v>
      </c>
      <c r="D6" s="6" t="s">
        <v>78</v>
      </c>
      <c r="E6" s="6" t="s">
        <v>229</v>
      </c>
      <c r="F6" s="13" t="s">
        <v>230</v>
      </c>
      <c r="G6" s="13" t="s">
        <v>231</v>
      </c>
      <c r="H6" s="13" t="s">
        <v>232</v>
      </c>
      <c r="I6" s="13"/>
      <c r="J6" s="7"/>
      <c r="K6" s="7"/>
      <c r="L6" s="7" t="s">
        <v>93</v>
      </c>
      <c r="M6" s="7" t="s">
        <v>93</v>
      </c>
      <c r="N6" s="10"/>
      <c r="O6" s="9" t="str">
        <f t="shared" si="0"/>
        <v/>
      </c>
      <c r="P6" s="11"/>
      <c r="Q6" s="12"/>
      <c r="R6" s="11"/>
      <c r="S6" s="7"/>
    </row>
    <row r="7" spans="1:19" ht="21.75" customHeight="1" x14ac:dyDescent="0.3">
      <c r="A7" s="6" t="s">
        <v>202</v>
      </c>
      <c r="B7" s="6" t="s">
        <v>203</v>
      </c>
      <c r="C7" s="6" t="s">
        <v>233</v>
      </c>
      <c r="D7" s="6" t="s">
        <v>78</v>
      </c>
      <c r="E7" s="6" t="s">
        <v>234</v>
      </c>
      <c r="F7" s="13" t="s">
        <v>235</v>
      </c>
      <c r="G7" s="13" t="s">
        <v>236</v>
      </c>
      <c r="H7" s="13" t="s">
        <v>237</v>
      </c>
      <c r="I7" s="13"/>
      <c r="J7" s="7"/>
      <c r="K7" s="7"/>
      <c r="L7" s="7" t="s">
        <v>93</v>
      </c>
      <c r="M7" s="7" t="s">
        <v>93</v>
      </c>
      <c r="N7" s="10"/>
      <c r="O7" s="9" t="str">
        <f t="shared" si="0"/>
        <v/>
      </c>
      <c r="P7" s="11"/>
      <c r="Q7" s="12"/>
      <c r="R7" s="11"/>
      <c r="S7" s="7"/>
    </row>
    <row r="8" spans="1:19" ht="21.75" customHeight="1" x14ac:dyDescent="0.3">
      <c r="A8" s="6" t="s">
        <v>202</v>
      </c>
      <c r="B8" s="6" t="s">
        <v>203</v>
      </c>
      <c r="C8" s="6" t="s">
        <v>238</v>
      </c>
      <c r="D8" s="6" t="s">
        <v>78</v>
      </c>
      <c r="E8" s="6" t="s">
        <v>239</v>
      </c>
      <c r="F8" s="13" t="s">
        <v>240</v>
      </c>
      <c r="G8" s="13" t="s">
        <v>241</v>
      </c>
      <c r="H8" s="13" t="s">
        <v>242</v>
      </c>
      <c r="I8" s="13"/>
      <c r="J8" s="7"/>
      <c r="K8" s="7"/>
      <c r="L8" s="7" t="s">
        <v>93</v>
      </c>
      <c r="M8" s="7" t="s">
        <v>93</v>
      </c>
      <c r="N8" s="10"/>
      <c r="O8" s="9" t="str">
        <f t="shared" si="0"/>
        <v/>
      </c>
      <c r="P8" s="11"/>
      <c r="Q8" s="12"/>
      <c r="R8" s="11"/>
      <c r="S8" s="7"/>
    </row>
    <row r="9" spans="1:19" ht="21.75" customHeight="1" x14ac:dyDescent="0.3">
      <c r="A9" s="6" t="s">
        <v>202</v>
      </c>
      <c r="B9" s="6" t="s">
        <v>203</v>
      </c>
      <c r="C9" s="6" t="s">
        <v>243</v>
      </c>
      <c r="D9" s="6" t="s">
        <v>78</v>
      </c>
      <c r="E9" s="6" t="s">
        <v>244</v>
      </c>
      <c r="F9" s="13" t="s">
        <v>245</v>
      </c>
      <c r="G9" s="13" t="s">
        <v>246</v>
      </c>
      <c r="H9" s="13" t="s">
        <v>247</v>
      </c>
      <c r="I9" s="13"/>
      <c r="J9" s="7"/>
      <c r="K9" s="7"/>
      <c r="L9" s="7" t="s">
        <v>93</v>
      </c>
      <c r="M9" s="7" t="s">
        <v>93</v>
      </c>
      <c r="N9" s="10"/>
      <c r="O9" s="9" t="str">
        <f t="shared" si="0"/>
        <v/>
      </c>
      <c r="P9" s="11"/>
      <c r="Q9" s="12"/>
      <c r="R9" s="11"/>
      <c r="S9" s="7"/>
    </row>
    <row r="10" spans="1:19" ht="21.75" customHeight="1" x14ac:dyDescent="0.3">
      <c r="A10" s="6" t="s">
        <v>202</v>
      </c>
      <c r="B10" s="6" t="s">
        <v>203</v>
      </c>
      <c r="C10" s="6" t="s">
        <v>249</v>
      </c>
      <c r="D10" s="6" t="s">
        <v>78</v>
      </c>
      <c r="E10" s="6" t="s">
        <v>250</v>
      </c>
      <c r="F10" s="13" t="s">
        <v>251</v>
      </c>
      <c r="G10" s="13" t="s">
        <v>252</v>
      </c>
      <c r="H10" s="13" t="s">
        <v>253</v>
      </c>
      <c r="I10" s="13" t="s">
        <v>254</v>
      </c>
      <c r="J10" s="7"/>
      <c r="K10" s="7"/>
      <c r="L10" s="7" t="s">
        <v>93</v>
      </c>
      <c r="M10" s="7" t="s">
        <v>93</v>
      </c>
      <c r="N10" s="10"/>
      <c r="O10" s="9" t="str">
        <f t="shared" si="0"/>
        <v/>
      </c>
      <c r="P10" s="11"/>
      <c r="Q10" s="12"/>
      <c r="R10" s="11"/>
      <c r="S10" s="7"/>
    </row>
    <row r="11" spans="1:19" ht="21.75" customHeight="1" x14ac:dyDescent="0.3">
      <c r="A11" s="6" t="s">
        <v>202</v>
      </c>
      <c r="B11" s="6" t="s">
        <v>203</v>
      </c>
      <c r="C11" s="6" t="s">
        <v>256</v>
      </c>
      <c r="D11" s="6" t="s">
        <v>78</v>
      </c>
      <c r="E11" s="6" t="s">
        <v>257</v>
      </c>
      <c r="F11" s="13" t="s">
        <v>258</v>
      </c>
      <c r="G11" s="13" t="s">
        <v>259</v>
      </c>
      <c r="H11" s="13" t="s">
        <v>260</v>
      </c>
      <c r="I11" s="13"/>
      <c r="J11" s="7"/>
      <c r="K11" s="7"/>
      <c r="L11" s="7" t="s">
        <v>93</v>
      </c>
      <c r="M11" s="7" t="s">
        <v>93</v>
      </c>
      <c r="N11" s="10"/>
      <c r="O11" s="9" t="str">
        <f t="shared" si="0"/>
        <v/>
      </c>
      <c r="P11" s="11"/>
      <c r="Q11" s="12"/>
      <c r="R11" s="11"/>
      <c r="S11" s="7"/>
    </row>
    <row r="12" spans="1:19" ht="21.75" customHeight="1" x14ac:dyDescent="0.3">
      <c r="A12" s="6" t="s">
        <v>202</v>
      </c>
      <c r="B12" s="6" t="s">
        <v>203</v>
      </c>
      <c r="C12" s="6" t="s">
        <v>261</v>
      </c>
      <c r="D12" s="6" t="s">
        <v>78</v>
      </c>
      <c r="E12" s="6" t="s">
        <v>263</v>
      </c>
      <c r="F12" s="13" t="s">
        <v>264</v>
      </c>
      <c r="G12" s="13" t="s">
        <v>265</v>
      </c>
      <c r="H12" s="13" t="s">
        <v>266</v>
      </c>
      <c r="I12" s="13" t="s">
        <v>267</v>
      </c>
      <c r="J12" s="7"/>
      <c r="K12" s="7"/>
      <c r="L12" s="7" t="s">
        <v>93</v>
      </c>
      <c r="M12" s="7" t="s">
        <v>93</v>
      </c>
      <c r="N12" s="10"/>
      <c r="O12" s="9" t="str">
        <f t="shared" si="0"/>
        <v/>
      </c>
      <c r="P12" s="11"/>
      <c r="Q12" s="12"/>
      <c r="R12" s="11"/>
      <c r="S12" s="7"/>
    </row>
    <row r="13" spans="1:19" ht="21.75" customHeight="1" x14ac:dyDescent="0.3">
      <c r="A13" s="6" t="s">
        <v>202</v>
      </c>
      <c r="B13" s="6" t="s">
        <v>203</v>
      </c>
      <c r="C13" s="6" t="s">
        <v>269</v>
      </c>
      <c r="D13" s="6" t="s">
        <v>78</v>
      </c>
      <c r="E13" s="6" t="s">
        <v>271</v>
      </c>
      <c r="F13" s="13" t="s">
        <v>272</v>
      </c>
      <c r="G13" s="13" t="s">
        <v>273</v>
      </c>
      <c r="H13" s="13" t="s">
        <v>274</v>
      </c>
      <c r="I13" s="13" t="s">
        <v>275</v>
      </c>
      <c r="J13" s="7"/>
      <c r="K13" s="7"/>
      <c r="L13" s="7" t="s">
        <v>93</v>
      </c>
      <c r="M13" s="7" t="s">
        <v>93</v>
      </c>
      <c r="N13" s="10"/>
      <c r="O13" s="9" t="str">
        <f t="shared" si="0"/>
        <v/>
      </c>
      <c r="P13" s="11"/>
      <c r="Q13" s="12"/>
      <c r="R13" s="11"/>
      <c r="S13" s="7"/>
    </row>
    <row r="14" spans="1:19" ht="21.75" customHeight="1" x14ac:dyDescent="0.3">
      <c r="A14" s="6" t="s">
        <v>202</v>
      </c>
      <c r="B14" s="6" t="s">
        <v>203</v>
      </c>
      <c r="C14" s="6" t="s">
        <v>277</v>
      </c>
      <c r="D14" s="6" t="s">
        <v>78</v>
      </c>
      <c r="E14" s="6" t="s">
        <v>278</v>
      </c>
      <c r="F14" s="13" t="s">
        <v>279</v>
      </c>
      <c r="G14" s="13" t="s">
        <v>280</v>
      </c>
      <c r="H14" s="13" t="s">
        <v>281</v>
      </c>
      <c r="I14" s="13"/>
      <c r="J14" s="7"/>
      <c r="K14" s="7"/>
      <c r="L14" s="7" t="s">
        <v>93</v>
      </c>
      <c r="M14" s="7" t="s">
        <v>93</v>
      </c>
      <c r="N14" s="10"/>
      <c r="O14" s="9" t="str">
        <f t="shared" si="0"/>
        <v/>
      </c>
      <c r="P14" s="11"/>
      <c r="Q14" s="12"/>
      <c r="R14" s="11"/>
      <c r="S14" s="7"/>
    </row>
    <row r="15" spans="1:19" ht="21.75" customHeight="1" x14ac:dyDescent="0.3">
      <c r="A15" s="6" t="s">
        <v>202</v>
      </c>
      <c r="B15" s="6" t="s">
        <v>203</v>
      </c>
      <c r="C15" s="6" t="s">
        <v>282</v>
      </c>
      <c r="D15" s="6" t="s">
        <v>78</v>
      </c>
      <c r="E15" s="6" t="s">
        <v>283</v>
      </c>
      <c r="F15" s="13" t="s">
        <v>284</v>
      </c>
      <c r="G15" s="13" t="s">
        <v>285</v>
      </c>
      <c r="H15" s="13" t="s">
        <v>286</v>
      </c>
      <c r="I15" s="13"/>
      <c r="J15" s="7"/>
      <c r="K15" s="7"/>
      <c r="L15" s="7" t="s">
        <v>93</v>
      </c>
      <c r="M15" s="7" t="s">
        <v>93</v>
      </c>
      <c r="N15" s="10"/>
      <c r="O15" s="9" t="str">
        <f t="shared" si="0"/>
        <v/>
      </c>
      <c r="P15" s="11"/>
      <c r="Q15" s="12"/>
      <c r="R15" s="11"/>
      <c r="S15" s="7"/>
    </row>
    <row r="16" spans="1:19" ht="21.75" customHeight="1" x14ac:dyDescent="0.3">
      <c r="A16" s="6" t="s">
        <v>202</v>
      </c>
      <c r="B16" s="6" t="s">
        <v>203</v>
      </c>
      <c r="C16" s="6" t="s">
        <v>287</v>
      </c>
      <c r="D16" s="6" t="s">
        <v>78</v>
      </c>
      <c r="E16" s="6" t="s">
        <v>288</v>
      </c>
      <c r="F16" s="13" t="s">
        <v>284</v>
      </c>
      <c r="G16" s="13" t="s">
        <v>289</v>
      </c>
      <c r="H16" s="13" t="s">
        <v>290</v>
      </c>
      <c r="I16" s="13"/>
      <c r="J16" s="7"/>
      <c r="K16" s="7"/>
      <c r="L16" s="7" t="s">
        <v>93</v>
      </c>
      <c r="M16" s="7" t="s">
        <v>93</v>
      </c>
      <c r="N16" s="10"/>
      <c r="O16" s="9" t="str">
        <f t="shared" si="0"/>
        <v/>
      </c>
      <c r="P16" s="11"/>
      <c r="Q16" s="12"/>
      <c r="R16" s="11"/>
      <c r="S16" s="7"/>
    </row>
    <row r="17" spans="1:19" ht="21.75" customHeight="1" x14ac:dyDescent="0.3">
      <c r="A17" s="6" t="s">
        <v>202</v>
      </c>
      <c r="B17" s="6" t="s">
        <v>203</v>
      </c>
      <c r="C17" s="6" t="s">
        <v>291</v>
      </c>
      <c r="D17" s="6" t="s">
        <v>78</v>
      </c>
      <c r="E17" s="6" t="s">
        <v>293</v>
      </c>
      <c r="F17" s="13" t="s">
        <v>294</v>
      </c>
      <c r="G17" s="13" t="s">
        <v>295</v>
      </c>
      <c r="H17" s="13" t="s">
        <v>296</v>
      </c>
      <c r="I17" s="13"/>
      <c r="J17" s="7"/>
      <c r="K17" s="7"/>
      <c r="L17" s="7" t="s">
        <v>93</v>
      </c>
      <c r="M17" s="7" t="s">
        <v>93</v>
      </c>
      <c r="N17" s="10"/>
      <c r="O17" s="9" t="str">
        <f t="shared" si="0"/>
        <v/>
      </c>
      <c r="P17" s="11"/>
      <c r="Q17" s="12"/>
      <c r="R17" s="11"/>
      <c r="S17" s="7"/>
    </row>
    <row r="18" spans="1:19" ht="21.75" customHeight="1" x14ac:dyDescent="0.3">
      <c r="A18" s="6" t="s">
        <v>202</v>
      </c>
      <c r="B18" s="6" t="s">
        <v>203</v>
      </c>
      <c r="C18" s="6" t="s">
        <v>297</v>
      </c>
      <c r="D18" s="6" t="s">
        <v>78</v>
      </c>
      <c r="E18" s="6" t="s">
        <v>298</v>
      </c>
      <c r="F18" s="13" t="s">
        <v>299</v>
      </c>
      <c r="G18" s="13" t="s">
        <v>300</v>
      </c>
      <c r="H18" s="13" t="s">
        <v>301</v>
      </c>
      <c r="I18" s="13" t="s">
        <v>302</v>
      </c>
      <c r="J18" s="7"/>
      <c r="K18" s="7"/>
      <c r="L18" s="7" t="s">
        <v>93</v>
      </c>
      <c r="M18" s="7" t="s">
        <v>93</v>
      </c>
      <c r="N18" s="10"/>
      <c r="O18" s="9" t="str">
        <f t="shared" si="0"/>
        <v/>
      </c>
      <c r="P18" s="11"/>
      <c r="Q18" s="12"/>
      <c r="R18" s="11"/>
      <c r="S18" s="7"/>
    </row>
    <row r="19" spans="1:19" ht="21.75" customHeight="1" x14ac:dyDescent="0.3">
      <c r="A19" s="6" t="s">
        <v>202</v>
      </c>
      <c r="B19" s="6" t="s">
        <v>203</v>
      </c>
      <c r="C19" s="6" t="s">
        <v>303</v>
      </c>
      <c r="D19" s="6" t="s">
        <v>78</v>
      </c>
      <c r="E19" s="6" t="s">
        <v>304</v>
      </c>
      <c r="F19" s="13" t="s">
        <v>305</v>
      </c>
      <c r="G19" s="13" t="s">
        <v>306</v>
      </c>
      <c r="H19" s="13" t="s">
        <v>307</v>
      </c>
      <c r="I19" s="13" t="s">
        <v>308</v>
      </c>
      <c r="J19" s="7"/>
      <c r="K19" s="7"/>
      <c r="L19" s="7" t="s">
        <v>93</v>
      </c>
      <c r="M19" s="7" t="s">
        <v>93</v>
      </c>
      <c r="N19" s="10"/>
      <c r="O19" s="9" t="str">
        <f t="shared" si="0"/>
        <v/>
      </c>
      <c r="P19" s="11"/>
      <c r="Q19" s="12"/>
      <c r="R19" s="11"/>
      <c r="S19" s="7"/>
    </row>
    <row r="20" spans="1:19" ht="21.75" customHeight="1" x14ac:dyDescent="0.3">
      <c r="A20" s="6" t="s">
        <v>202</v>
      </c>
      <c r="B20" s="6" t="s">
        <v>203</v>
      </c>
      <c r="C20" s="6" t="s">
        <v>309</v>
      </c>
      <c r="D20" s="6" t="s">
        <v>78</v>
      </c>
      <c r="E20" s="6" t="s">
        <v>310</v>
      </c>
      <c r="F20" s="13" t="s">
        <v>311</v>
      </c>
      <c r="G20" s="13" t="s">
        <v>312</v>
      </c>
      <c r="H20" s="13" t="s">
        <v>313</v>
      </c>
      <c r="I20" s="13" t="s">
        <v>314</v>
      </c>
      <c r="J20" s="7"/>
      <c r="K20" s="7"/>
      <c r="L20" s="7" t="s">
        <v>93</v>
      </c>
      <c r="M20" s="7" t="s">
        <v>93</v>
      </c>
      <c r="N20" s="10"/>
      <c r="O20" s="9" t="str">
        <f t="shared" si="0"/>
        <v/>
      </c>
      <c r="P20" s="11"/>
      <c r="Q20" s="12"/>
      <c r="R20" s="11"/>
      <c r="S20" s="7"/>
    </row>
    <row r="21" spans="1:19" ht="14.4" x14ac:dyDescent="0.3">
      <c r="A21" s="6" t="s">
        <v>202</v>
      </c>
      <c r="B21" s="6" t="s">
        <v>203</v>
      </c>
      <c r="C21" s="6" t="s">
        <v>315</v>
      </c>
      <c r="D21" s="6" t="s">
        <v>78</v>
      </c>
      <c r="E21" s="6" t="s">
        <v>317</v>
      </c>
      <c r="F21" s="13" t="s">
        <v>318</v>
      </c>
      <c r="G21" s="13" t="s">
        <v>319</v>
      </c>
      <c r="H21" s="13" t="s">
        <v>320</v>
      </c>
      <c r="I21" s="13"/>
      <c r="J21" s="7"/>
      <c r="K21" s="7"/>
      <c r="L21" s="7" t="s">
        <v>93</v>
      </c>
      <c r="M21" s="7" t="s">
        <v>93</v>
      </c>
      <c r="N21" s="10"/>
      <c r="O21" s="9" t="str">
        <f t="shared" si="0"/>
        <v/>
      </c>
      <c r="P21" s="11"/>
      <c r="Q21" s="12"/>
      <c r="R21" s="11"/>
      <c r="S21" s="7"/>
    </row>
    <row r="22" spans="1:19" ht="14.4" x14ac:dyDescent="0.3">
      <c r="A22" s="6" t="s">
        <v>202</v>
      </c>
      <c r="B22" s="6" t="s">
        <v>203</v>
      </c>
      <c r="C22" s="6" t="s">
        <v>321</v>
      </c>
      <c r="D22" s="6" t="s">
        <v>78</v>
      </c>
      <c r="E22" s="6" t="s">
        <v>322</v>
      </c>
      <c r="F22" s="13" t="s">
        <v>323</v>
      </c>
      <c r="G22" s="13" t="s">
        <v>324</v>
      </c>
      <c r="H22" s="13" t="s">
        <v>325</v>
      </c>
      <c r="I22" s="13" t="s">
        <v>326</v>
      </c>
      <c r="J22" s="7"/>
      <c r="K22" s="7"/>
      <c r="L22" s="7" t="s">
        <v>93</v>
      </c>
      <c r="M22" s="7" t="s">
        <v>93</v>
      </c>
      <c r="N22" s="10"/>
      <c r="O22" s="9" t="str">
        <f t="shared" si="0"/>
        <v/>
      </c>
      <c r="P22" s="11"/>
      <c r="Q22" s="12"/>
      <c r="R22" s="11"/>
      <c r="S22" s="7"/>
    </row>
    <row r="23" spans="1:19" ht="14.4" x14ac:dyDescent="0.3">
      <c r="A23" s="6" t="s">
        <v>202</v>
      </c>
      <c r="B23" s="6" t="s">
        <v>203</v>
      </c>
      <c r="C23" s="6" t="s">
        <v>328</v>
      </c>
      <c r="D23" s="6" t="s">
        <v>78</v>
      </c>
      <c r="E23" s="6" t="s">
        <v>329</v>
      </c>
      <c r="F23" s="13" t="s">
        <v>294</v>
      </c>
      <c r="G23" s="13" t="s">
        <v>330</v>
      </c>
      <c r="H23" s="13" t="s">
        <v>331</v>
      </c>
      <c r="I23" s="13"/>
      <c r="J23" s="7"/>
      <c r="K23" s="7"/>
      <c r="L23" s="7" t="s">
        <v>93</v>
      </c>
      <c r="M23" s="7" t="s">
        <v>93</v>
      </c>
      <c r="N23" s="10"/>
      <c r="O23" s="9" t="str">
        <f t="shared" si="0"/>
        <v/>
      </c>
      <c r="P23" s="11"/>
      <c r="Q23" s="12"/>
      <c r="R23" s="11"/>
      <c r="S23" s="7"/>
    </row>
    <row r="24" spans="1:19" ht="14.4" x14ac:dyDescent="0.3">
      <c r="A24" s="6" t="s">
        <v>202</v>
      </c>
      <c r="B24" s="6" t="s">
        <v>203</v>
      </c>
      <c r="C24" s="6" t="s">
        <v>332</v>
      </c>
      <c r="D24" s="6" t="s">
        <v>78</v>
      </c>
      <c r="E24" s="6" t="s">
        <v>333</v>
      </c>
      <c r="F24" s="13" t="s">
        <v>334</v>
      </c>
      <c r="G24" s="13" t="s">
        <v>335</v>
      </c>
      <c r="H24" s="13" t="s">
        <v>336</v>
      </c>
      <c r="I24" s="13"/>
      <c r="J24" s="7"/>
      <c r="K24" s="7"/>
      <c r="L24" s="7" t="s">
        <v>93</v>
      </c>
      <c r="M24" s="7" t="s">
        <v>93</v>
      </c>
      <c r="N24" s="10"/>
      <c r="O24" s="9" t="str">
        <f t="shared" si="0"/>
        <v/>
      </c>
      <c r="P24" s="11"/>
      <c r="Q24" s="12"/>
      <c r="R24" s="11"/>
      <c r="S24" s="7"/>
    </row>
    <row r="25" spans="1:19" ht="14.4" x14ac:dyDescent="0.3">
      <c r="A25" s="6" t="s">
        <v>202</v>
      </c>
      <c r="B25" s="6" t="s">
        <v>203</v>
      </c>
      <c r="C25" s="6" t="s">
        <v>338</v>
      </c>
      <c r="D25" s="6" t="s">
        <v>78</v>
      </c>
      <c r="E25" s="6" t="s">
        <v>339</v>
      </c>
      <c r="F25" s="13" t="s">
        <v>334</v>
      </c>
      <c r="G25" s="13" t="s">
        <v>340</v>
      </c>
      <c r="H25" s="13" t="s">
        <v>341</v>
      </c>
      <c r="I25" s="13"/>
      <c r="J25" s="7"/>
      <c r="K25" s="7"/>
      <c r="L25" s="7" t="s">
        <v>93</v>
      </c>
      <c r="M25" s="7" t="s">
        <v>93</v>
      </c>
      <c r="N25" s="10"/>
      <c r="O25" s="9" t="str">
        <f t="shared" si="0"/>
        <v/>
      </c>
      <c r="P25" s="11"/>
      <c r="Q25" s="12"/>
      <c r="R25" s="11"/>
      <c r="S25" s="7"/>
    </row>
    <row r="26" spans="1:19" ht="14.4" x14ac:dyDescent="0.3">
      <c r="A26" s="6" t="s">
        <v>202</v>
      </c>
      <c r="B26" s="6" t="s">
        <v>203</v>
      </c>
      <c r="C26" s="6" t="s">
        <v>342</v>
      </c>
      <c r="D26" s="6" t="s">
        <v>78</v>
      </c>
      <c r="E26" s="6" t="s">
        <v>343</v>
      </c>
      <c r="F26" s="13" t="s">
        <v>344</v>
      </c>
      <c r="G26" s="13" t="s">
        <v>345</v>
      </c>
      <c r="H26" s="13" t="s">
        <v>346</v>
      </c>
      <c r="I26" s="13"/>
      <c r="J26" s="7"/>
      <c r="K26" s="7"/>
      <c r="L26" s="7" t="s">
        <v>93</v>
      </c>
      <c r="M26" s="7" t="s">
        <v>93</v>
      </c>
      <c r="N26" s="10"/>
      <c r="O26" s="9" t="str">
        <f t="shared" si="0"/>
        <v/>
      </c>
      <c r="P26" s="11"/>
      <c r="Q26" s="12"/>
      <c r="R26" s="11"/>
      <c r="S26" s="7"/>
    </row>
    <row r="27" spans="1:19" ht="14.4" x14ac:dyDescent="0.3">
      <c r="A27" s="6" t="s">
        <v>202</v>
      </c>
      <c r="B27" s="6" t="s">
        <v>203</v>
      </c>
      <c r="C27" s="6" t="s">
        <v>347</v>
      </c>
      <c r="D27" s="6" t="s">
        <v>78</v>
      </c>
      <c r="E27" s="6" t="s">
        <v>348</v>
      </c>
      <c r="F27" s="13" t="s">
        <v>349</v>
      </c>
      <c r="G27" s="13" t="s">
        <v>350</v>
      </c>
      <c r="H27" s="13" t="s">
        <v>351</v>
      </c>
      <c r="I27" s="13" t="s">
        <v>352</v>
      </c>
      <c r="J27" s="7"/>
      <c r="K27" s="7"/>
      <c r="L27" s="7" t="s">
        <v>93</v>
      </c>
      <c r="M27" s="7" t="s">
        <v>93</v>
      </c>
      <c r="N27" s="10"/>
      <c r="O27" s="9" t="str">
        <f t="shared" si="0"/>
        <v/>
      </c>
      <c r="P27" s="11"/>
      <c r="Q27" s="12"/>
      <c r="R27" s="11"/>
      <c r="S27" s="7"/>
    </row>
    <row r="28" spans="1:19" ht="14.4" x14ac:dyDescent="0.3">
      <c r="A28" s="6" t="s">
        <v>202</v>
      </c>
      <c r="B28" s="6" t="s">
        <v>203</v>
      </c>
      <c r="C28" s="6" t="s">
        <v>354</v>
      </c>
      <c r="D28" s="6" t="s">
        <v>78</v>
      </c>
      <c r="E28" s="6" t="s">
        <v>355</v>
      </c>
      <c r="F28" s="13" t="s">
        <v>356</v>
      </c>
      <c r="G28" s="13" t="s">
        <v>357</v>
      </c>
      <c r="H28" s="13" t="s">
        <v>358</v>
      </c>
      <c r="I28" s="13" t="s">
        <v>359</v>
      </c>
      <c r="J28" s="7"/>
      <c r="K28" s="7"/>
      <c r="L28" s="7" t="s">
        <v>93</v>
      </c>
      <c r="M28" s="7" t="s">
        <v>93</v>
      </c>
      <c r="N28" s="10"/>
      <c r="O28" s="9" t="str">
        <f t="shared" si="0"/>
        <v/>
      </c>
      <c r="P28" s="11"/>
      <c r="Q28" s="12"/>
      <c r="R28" s="11"/>
      <c r="S28" s="7"/>
    </row>
    <row r="29" spans="1:19" ht="14.4" x14ac:dyDescent="0.3">
      <c r="A29" s="6" t="s">
        <v>202</v>
      </c>
      <c r="B29" s="6" t="s">
        <v>203</v>
      </c>
      <c r="C29" s="6" t="s">
        <v>361</v>
      </c>
      <c r="D29" s="6" t="s">
        <v>78</v>
      </c>
      <c r="E29" s="6" t="s">
        <v>362</v>
      </c>
      <c r="F29" s="13" t="s">
        <v>284</v>
      </c>
      <c r="G29" s="13" t="s">
        <v>363</v>
      </c>
      <c r="H29" s="13" t="s">
        <v>364</v>
      </c>
      <c r="I29" s="13"/>
      <c r="J29" s="7"/>
      <c r="K29" s="7"/>
      <c r="L29" s="7" t="s">
        <v>93</v>
      </c>
      <c r="M29" s="7" t="s">
        <v>93</v>
      </c>
      <c r="N29" s="10"/>
      <c r="O29" s="9" t="str">
        <f t="shared" si="0"/>
        <v/>
      </c>
      <c r="P29" s="11"/>
      <c r="Q29" s="12"/>
      <c r="R29" s="11"/>
      <c r="S29" s="7"/>
    </row>
    <row r="30" spans="1:19" ht="14.4" x14ac:dyDescent="0.3">
      <c r="A30" s="6" t="s">
        <v>202</v>
      </c>
      <c r="B30" s="6" t="s">
        <v>203</v>
      </c>
      <c r="C30" s="6" t="s">
        <v>365</v>
      </c>
      <c r="D30" s="6" t="s">
        <v>78</v>
      </c>
      <c r="E30" s="6" t="s">
        <v>366</v>
      </c>
      <c r="F30" s="13" t="s">
        <v>284</v>
      </c>
      <c r="G30" s="13" t="s">
        <v>367</v>
      </c>
      <c r="H30" s="13" t="s">
        <v>368</v>
      </c>
      <c r="I30" s="13" t="s">
        <v>369</v>
      </c>
      <c r="J30" s="7"/>
      <c r="K30" s="7"/>
      <c r="L30" s="7" t="s">
        <v>93</v>
      </c>
      <c r="M30" s="7" t="s">
        <v>93</v>
      </c>
      <c r="N30" s="10"/>
      <c r="O30" s="9" t="str">
        <f t="shared" si="0"/>
        <v/>
      </c>
      <c r="P30" s="11"/>
      <c r="Q30" s="12"/>
      <c r="R30" s="11"/>
      <c r="S30" s="7"/>
    </row>
    <row r="31" spans="1:19" ht="14.4" x14ac:dyDescent="0.3">
      <c r="A31" s="6" t="s">
        <v>202</v>
      </c>
      <c r="B31" s="6" t="s">
        <v>203</v>
      </c>
      <c r="C31" s="6" t="s">
        <v>370</v>
      </c>
      <c r="D31" s="6" t="s">
        <v>78</v>
      </c>
      <c r="E31" s="6" t="s">
        <v>371</v>
      </c>
      <c r="F31" s="13" t="s">
        <v>372</v>
      </c>
      <c r="G31" s="13" t="s">
        <v>373</v>
      </c>
      <c r="H31" s="13" t="s">
        <v>374</v>
      </c>
      <c r="I31" s="13"/>
      <c r="J31" s="7"/>
      <c r="K31" s="7"/>
      <c r="L31" s="7" t="s">
        <v>93</v>
      </c>
      <c r="M31" s="7" t="s">
        <v>93</v>
      </c>
      <c r="N31" s="10"/>
      <c r="O31" s="9" t="str">
        <f t="shared" si="0"/>
        <v/>
      </c>
      <c r="P31" s="11"/>
      <c r="Q31" s="12"/>
      <c r="R31" s="11"/>
      <c r="S31" s="7"/>
    </row>
    <row r="32" spans="1:19" ht="14.4" x14ac:dyDescent="0.3">
      <c r="A32" s="6" t="s">
        <v>202</v>
      </c>
      <c r="B32" s="6" t="s">
        <v>375</v>
      </c>
      <c r="C32" s="6" t="s">
        <v>376</v>
      </c>
      <c r="D32" s="6" t="s">
        <v>377</v>
      </c>
      <c r="E32" s="6" t="s">
        <v>378</v>
      </c>
      <c r="F32" s="13" t="s">
        <v>379</v>
      </c>
      <c r="G32" s="13" t="s">
        <v>380</v>
      </c>
      <c r="H32" s="13" t="s">
        <v>381</v>
      </c>
      <c r="I32" s="13" t="s">
        <v>382</v>
      </c>
      <c r="J32" s="7"/>
      <c r="K32" s="7"/>
      <c r="L32" s="7" t="s">
        <v>93</v>
      </c>
      <c r="M32" s="7" t="s">
        <v>93</v>
      </c>
      <c r="N32" s="10"/>
      <c r="O32" s="9" t="str">
        <f t="shared" si="0"/>
        <v/>
      </c>
      <c r="P32" s="11"/>
      <c r="Q32" s="12"/>
      <c r="R32" s="11"/>
      <c r="S32" s="7"/>
    </row>
    <row r="33" spans="1:19" ht="14.4" x14ac:dyDescent="0.3">
      <c r="A33" s="6" t="s">
        <v>202</v>
      </c>
      <c r="B33" s="6" t="s">
        <v>375</v>
      </c>
      <c r="C33" s="6" t="s">
        <v>384</v>
      </c>
      <c r="D33" s="6" t="s">
        <v>377</v>
      </c>
      <c r="E33" s="6" t="s">
        <v>385</v>
      </c>
      <c r="F33" s="13" t="s">
        <v>386</v>
      </c>
      <c r="G33" s="13" t="s">
        <v>387</v>
      </c>
      <c r="H33" s="13" t="s">
        <v>388</v>
      </c>
      <c r="I33" s="13"/>
      <c r="J33" s="7"/>
      <c r="K33" s="7"/>
      <c r="L33" s="7" t="s">
        <v>93</v>
      </c>
      <c r="M33" s="7" t="s">
        <v>93</v>
      </c>
      <c r="N33" s="10"/>
      <c r="O33" s="9" t="str">
        <f t="shared" si="0"/>
        <v/>
      </c>
      <c r="P33" s="11"/>
      <c r="Q33" s="12"/>
      <c r="R33" s="11"/>
      <c r="S33" s="7"/>
    </row>
    <row r="34" spans="1:19" ht="14.4" x14ac:dyDescent="0.3">
      <c r="A34" s="6" t="s">
        <v>202</v>
      </c>
      <c r="B34" s="6" t="s">
        <v>375</v>
      </c>
      <c r="C34" s="6" t="s">
        <v>390</v>
      </c>
      <c r="D34" s="6" t="s">
        <v>377</v>
      </c>
      <c r="E34" s="6" t="s">
        <v>391</v>
      </c>
      <c r="F34" s="13" t="s">
        <v>392</v>
      </c>
      <c r="G34" s="13" t="s">
        <v>393</v>
      </c>
      <c r="H34" s="13" t="s">
        <v>394</v>
      </c>
      <c r="I34" s="13"/>
      <c r="J34" s="7"/>
      <c r="K34" s="7"/>
      <c r="L34" s="7" t="s">
        <v>93</v>
      </c>
      <c r="M34" s="7" t="s">
        <v>93</v>
      </c>
      <c r="N34" s="10"/>
      <c r="O34" s="9" t="str">
        <f t="shared" si="0"/>
        <v/>
      </c>
      <c r="P34" s="11"/>
      <c r="Q34" s="12"/>
      <c r="R34" s="11"/>
      <c r="S34" s="7"/>
    </row>
    <row r="35" spans="1:19" ht="14.4" x14ac:dyDescent="0.3">
      <c r="A35" s="6" t="s">
        <v>292</v>
      </c>
      <c r="B35" s="6" t="s">
        <v>395</v>
      </c>
      <c r="C35" s="6" t="s">
        <v>396</v>
      </c>
      <c r="D35" s="6" t="s">
        <v>397</v>
      </c>
      <c r="E35" s="6" t="s">
        <v>398</v>
      </c>
      <c r="F35" s="13" t="s">
        <v>399</v>
      </c>
      <c r="G35" s="13" t="s">
        <v>400</v>
      </c>
      <c r="H35" s="13" t="s">
        <v>401</v>
      </c>
      <c r="I35" s="13" t="s">
        <v>402</v>
      </c>
      <c r="J35" s="7"/>
      <c r="K35" s="7"/>
      <c r="L35" s="7" t="s">
        <v>93</v>
      </c>
      <c r="M35" s="7" t="s">
        <v>93</v>
      </c>
      <c r="N35" s="10"/>
      <c r="O35" s="9" t="str">
        <f t="shared" si="0"/>
        <v/>
      </c>
      <c r="P35" s="11"/>
      <c r="Q35" s="12"/>
      <c r="R35" s="11"/>
      <c r="S35" s="7"/>
    </row>
    <row r="36" spans="1:19" ht="14.4" x14ac:dyDescent="0.3">
      <c r="A36" s="6" t="s">
        <v>292</v>
      </c>
      <c r="B36" s="6" t="s">
        <v>395</v>
      </c>
      <c r="C36" s="6" t="s">
        <v>404</v>
      </c>
      <c r="D36" s="6" t="s">
        <v>397</v>
      </c>
      <c r="E36" s="6" t="s">
        <v>405</v>
      </c>
      <c r="F36" s="13" t="s">
        <v>406</v>
      </c>
      <c r="G36" s="13" t="s">
        <v>407</v>
      </c>
      <c r="H36" s="13" t="s">
        <v>408</v>
      </c>
      <c r="I36" s="13"/>
      <c r="J36" s="7"/>
      <c r="K36" s="7"/>
      <c r="L36" s="7" t="s">
        <v>93</v>
      </c>
      <c r="M36" s="7" t="s">
        <v>93</v>
      </c>
      <c r="N36" s="10"/>
      <c r="O36" s="9" t="str">
        <f t="shared" si="0"/>
        <v/>
      </c>
      <c r="P36" s="11"/>
      <c r="Q36" s="12"/>
      <c r="R36" s="11"/>
      <c r="S36" s="7"/>
    </row>
    <row r="37" spans="1:19" ht="14.4" x14ac:dyDescent="0.3">
      <c r="A37" s="6" t="s">
        <v>292</v>
      </c>
      <c r="B37" s="6" t="s">
        <v>395</v>
      </c>
      <c r="C37" s="6" t="s">
        <v>409</v>
      </c>
      <c r="D37" s="6" t="s">
        <v>397</v>
      </c>
      <c r="E37" s="6" t="s">
        <v>410</v>
      </c>
      <c r="F37" s="13" t="s">
        <v>411</v>
      </c>
      <c r="G37" s="13" t="s">
        <v>412</v>
      </c>
      <c r="H37" s="13" t="s">
        <v>413</v>
      </c>
      <c r="I37" s="13"/>
      <c r="J37" s="7"/>
      <c r="K37" s="7"/>
      <c r="L37" s="7" t="s">
        <v>93</v>
      </c>
      <c r="M37" s="7" t="s">
        <v>93</v>
      </c>
      <c r="N37" s="10"/>
      <c r="O37" s="9" t="str">
        <f t="shared" si="0"/>
        <v/>
      </c>
      <c r="P37" s="11"/>
      <c r="Q37" s="12"/>
      <c r="R37" s="11"/>
      <c r="S37" s="7"/>
    </row>
    <row r="38" spans="1:19" ht="14.4" x14ac:dyDescent="0.3">
      <c r="A38" s="6" t="s">
        <v>292</v>
      </c>
      <c r="B38" s="6" t="s">
        <v>395</v>
      </c>
      <c r="C38" s="6" t="s">
        <v>414</v>
      </c>
      <c r="D38" s="6" t="s">
        <v>397</v>
      </c>
      <c r="E38" s="6" t="s">
        <v>415</v>
      </c>
      <c r="F38" s="13" t="s">
        <v>416</v>
      </c>
      <c r="G38" s="13" t="s">
        <v>417</v>
      </c>
      <c r="H38" s="13" t="s">
        <v>418</v>
      </c>
      <c r="I38" s="13"/>
      <c r="J38" s="7"/>
      <c r="K38" s="7"/>
      <c r="L38" s="7" t="s">
        <v>93</v>
      </c>
      <c r="M38" s="7" t="s">
        <v>93</v>
      </c>
      <c r="N38" s="10"/>
      <c r="O38" s="9" t="str">
        <f t="shared" si="0"/>
        <v/>
      </c>
      <c r="P38" s="11"/>
      <c r="Q38" s="12"/>
      <c r="R38" s="11"/>
      <c r="S38" s="7"/>
    </row>
    <row r="39" spans="1:19" ht="14.4" x14ac:dyDescent="0.3">
      <c r="A39" s="6" t="s">
        <v>262</v>
      </c>
      <c r="B39" s="6" t="s">
        <v>419</v>
      </c>
      <c r="C39" s="6" t="s">
        <v>420</v>
      </c>
      <c r="D39" s="6" t="s">
        <v>421</v>
      </c>
      <c r="E39" s="6" t="s">
        <v>422</v>
      </c>
      <c r="F39" s="13" t="s">
        <v>423</v>
      </c>
      <c r="G39" s="13" t="s">
        <v>424</v>
      </c>
      <c r="H39" s="13" t="s">
        <v>425</v>
      </c>
      <c r="I39" s="13"/>
      <c r="J39" s="7"/>
      <c r="K39" s="7"/>
      <c r="L39" s="7" t="s">
        <v>93</v>
      </c>
      <c r="M39" s="7" t="s">
        <v>93</v>
      </c>
      <c r="N39" s="10"/>
      <c r="O39" s="9" t="str">
        <f t="shared" si="0"/>
        <v/>
      </c>
      <c r="P39" s="11"/>
      <c r="Q39" s="12"/>
      <c r="R39" s="11"/>
      <c r="S39" s="7"/>
    </row>
    <row r="40" spans="1:19" ht="14.4" x14ac:dyDescent="0.3">
      <c r="A40" s="6" t="s">
        <v>262</v>
      </c>
      <c r="B40" s="6" t="s">
        <v>419</v>
      </c>
      <c r="C40" s="6" t="s">
        <v>426</v>
      </c>
      <c r="D40" s="6" t="s">
        <v>421</v>
      </c>
      <c r="E40" s="6" t="s">
        <v>427</v>
      </c>
      <c r="F40" s="13" t="s">
        <v>428</v>
      </c>
      <c r="G40" s="13"/>
      <c r="H40" s="13" t="s">
        <v>429</v>
      </c>
      <c r="I40" s="13"/>
      <c r="J40" s="7"/>
      <c r="K40" s="7"/>
      <c r="L40" s="7" t="s">
        <v>93</v>
      </c>
      <c r="M40" s="7" t="s">
        <v>93</v>
      </c>
      <c r="N40" s="10"/>
      <c r="O40" s="9" t="str">
        <f t="shared" si="0"/>
        <v/>
      </c>
      <c r="P40" s="11"/>
      <c r="Q40" s="12"/>
      <c r="R40" s="11"/>
      <c r="S40" s="7"/>
    </row>
    <row r="41" spans="1:19" ht="14.4" x14ac:dyDescent="0.3">
      <c r="A41" s="6" t="s">
        <v>262</v>
      </c>
      <c r="B41" s="6" t="s">
        <v>419</v>
      </c>
      <c r="C41" s="6" t="s">
        <v>430</v>
      </c>
      <c r="D41" s="6" t="s">
        <v>421</v>
      </c>
      <c r="E41" s="6" t="s">
        <v>431</v>
      </c>
      <c r="F41" s="13" t="s">
        <v>432</v>
      </c>
      <c r="G41" s="13" t="s">
        <v>433</v>
      </c>
      <c r="H41" s="13" t="s">
        <v>434</v>
      </c>
      <c r="I41" s="13" t="s">
        <v>435</v>
      </c>
      <c r="J41" s="7"/>
      <c r="K41" s="7"/>
      <c r="L41" s="7" t="s">
        <v>93</v>
      </c>
      <c r="M41" s="7" t="s">
        <v>93</v>
      </c>
      <c r="N41" s="10"/>
      <c r="O41" s="9" t="str">
        <f t="shared" si="0"/>
        <v/>
      </c>
      <c r="P41" s="11"/>
      <c r="Q41" s="12"/>
      <c r="R41" s="11"/>
      <c r="S41" s="7"/>
    </row>
    <row r="42" spans="1:19" ht="14.4" x14ac:dyDescent="0.3">
      <c r="A42" s="6" t="s">
        <v>262</v>
      </c>
      <c r="B42" s="6" t="s">
        <v>419</v>
      </c>
      <c r="C42" s="6" t="s">
        <v>437</v>
      </c>
      <c r="D42" s="6" t="s">
        <v>421</v>
      </c>
      <c r="E42" s="6" t="s">
        <v>438</v>
      </c>
      <c r="F42" s="13" t="s">
        <v>439</v>
      </c>
      <c r="G42" s="13" t="s">
        <v>440</v>
      </c>
      <c r="H42" s="13" t="s">
        <v>441</v>
      </c>
      <c r="I42" s="13"/>
      <c r="J42" s="7"/>
      <c r="K42" s="7"/>
      <c r="L42" s="7" t="s">
        <v>93</v>
      </c>
      <c r="M42" s="7" t="s">
        <v>93</v>
      </c>
      <c r="N42" s="10"/>
      <c r="O42" s="9" t="str">
        <f t="shared" si="0"/>
        <v/>
      </c>
      <c r="P42" s="11"/>
      <c r="Q42" s="12"/>
      <c r="R42" s="11"/>
      <c r="S42" s="7"/>
    </row>
    <row r="43" spans="1:19" ht="14.4" x14ac:dyDescent="0.3">
      <c r="A43" s="6" t="s">
        <v>262</v>
      </c>
      <c r="B43" s="6" t="s">
        <v>419</v>
      </c>
      <c r="C43" s="6" t="s">
        <v>442</v>
      </c>
      <c r="D43" s="6" t="s">
        <v>421</v>
      </c>
      <c r="E43" s="6" t="s">
        <v>443</v>
      </c>
      <c r="F43" s="13" t="s">
        <v>444</v>
      </c>
      <c r="G43" s="13" t="s">
        <v>445</v>
      </c>
      <c r="H43" s="13" t="s">
        <v>446</v>
      </c>
      <c r="I43" s="13"/>
      <c r="J43" s="7"/>
      <c r="K43" s="7"/>
      <c r="L43" s="7" t="s">
        <v>93</v>
      </c>
      <c r="M43" s="7" t="s">
        <v>93</v>
      </c>
      <c r="N43" s="10"/>
      <c r="O43" s="9" t="str">
        <f t="shared" si="0"/>
        <v/>
      </c>
      <c r="P43" s="11"/>
      <c r="Q43" s="12"/>
      <c r="R43" s="11"/>
      <c r="S43" s="7"/>
    </row>
    <row r="44" spans="1:19" ht="14.4" x14ac:dyDescent="0.3">
      <c r="A44" s="6" t="s">
        <v>262</v>
      </c>
      <c r="B44" s="6" t="s">
        <v>419</v>
      </c>
      <c r="C44" s="6" t="s">
        <v>447</v>
      </c>
      <c r="D44" s="6" t="s">
        <v>421</v>
      </c>
      <c r="E44" s="6" t="s">
        <v>448</v>
      </c>
      <c r="F44" s="13" t="s">
        <v>449</v>
      </c>
      <c r="G44" s="13" t="s">
        <v>450</v>
      </c>
      <c r="H44" s="13"/>
      <c r="I44" s="13"/>
      <c r="J44" s="7"/>
      <c r="K44" s="7"/>
      <c r="L44" s="7" t="s">
        <v>93</v>
      </c>
      <c r="M44" s="7" t="s">
        <v>93</v>
      </c>
      <c r="N44" s="10"/>
      <c r="O44" s="9" t="str">
        <f t="shared" si="0"/>
        <v/>
      </c>
      <c r="P44" s="11"/>
      <c r="Q44" s="12"/>
      <c r="R44" s="11"/>
      <c r="S44" s="7"/>
    </row>
    <row r="45" spans="1:19" ht="14.4" x14ac:dyDescent="0.3">
      <c r="A45" s="6" t="s">
        <v>262</v>
      </c>
      <c r="B45" s="6" t="s">
        <v>419</v>
      </c>
      <c r="C45" s="6" t="s">
        <v>451</v>
      </c>
      <c r="D45" s="6" t="s">
        <v>421</v>
      </c>
      <c r="E45" s="6" t="s">
        <v>452</v>
      </c>
      <c r="F45" s="13" t="s">
        <v>453</v>
      </c>
      <c r="G45" s="13" t="s">
        <v>454</v>
      </c>
      <c r="H45" s="13" t="s">
        <v>455</v>
      </c>
      <c r="I45" s="13"/>
      <c r="J45" s="7"/>
      <c r="K45" s="7"/>
      <c r="L45" s="7" t="s">
        <v>93</v>
      </c>
      <c r="M45" s="7" t="s">
        <v>93</v>
      </c>
      <c r="N45" s="10"/>
      <c r="O45" s="9" t="str">
        <f t="shared" si="0"/>
        <v/>
      </c>
      <c r="P45" s="11"/>
      <c r="Q45" s="12"/>
      <c r="R45" s="11"/>
      <c r="S45" s="7"/>
    </row>
    <row r="46" spans="1:19" ht="14.4" x14ac:dyDescent="0.3">
      <c r="A46" s="6" t="s">
        <v>262</v>
      </c>
      <c r="B46" s="6" t="s">
        <v>419</v>
      </c>
      <c r="C46" s="6" t="s">
        <v>456</v>
      </c>
      <c r="D46" s="6" t="s">
        <v>421</v>
      </c>
      <c r="E46" s="6" t="s">
        <v>457</v>
      </c>
      <c r="F46" s="13" t="s">
        <v>458</v>
      </c>
      <c r="G46" s="13" t="s">
        <v>459</v>
      </c>
      <c r="H46" s="13" t="s">
        <v>460</v>
      </c>
      <c r="I46" s="13" t="s">
        <v>461</v>
      </c>
      <c r="J46" s="7"/>
      <c r="K46" s="7"/>
      <c r="L46" s="7" t="s">
        <v>93</v>
      </c>
      <c r="M46" s="7" t="s">
        <v>93</v>
      </c>
      <c r="N46" s="10"/>
      <c r="O46" s="9" t="str">
        <f t="shared" si="0"/>
        <v/>
      </c>
      <c r="P46" s="11"/>
      <c r="Q46" s="12"/>
      <c r="R46" s="11"/>
      <c r="S46" s="7"/>
    </row>
    <row r="47" spans="1:19" ht="14.4" x14ac:dyDescent="0.3">
      <c r="A47" s="6" t="s">
        <v>262</v>
      </c>
      <c r="B47" s="6" t="s">
        <v>419</v>
      </c>
      <c r="C47" s="6" t="s">
        <v>463</v>
      </c>
      <c r="D47" s="6" t="s">
        <v>421</v>
      </c>
      <c r="E47" s="6" t="s">
        <v>464</v>
      </c>
      <c r="F47" s="13" t="s">
        <v>465</v>
      </c>
      <c r="G47" s="13" t="s">
        <v>466</v>
      </c>
      <c r="H47" s="13" t="s">
        <v>467</v>
      </c>
      <c r="I47" s="13" t="s">
        <v>468</v>
      </c>
      <c r="J47" s="7"/>
      <c r="K47" s="7"/>
      <c r="L47" s="7" t="s">
        <v>93</v>
      </c>
      <c r="M47" s="7" t="s">
        <v>93</v>
      </c>
      <c r="N47" s="10"/>
      <c r="O47" s="9" t="str">
        <f t="shared" si="0"/>
        <v/>
      </c>
      <c r="P47" s="11"/>
      <c r="Q47" s="12"/>
      <c r="R47" s="11"/>
      <c r="S47" s="7"/>
    </row>
    <row r="48" spans="1:19" ht="14.4" x14ac:dyDescent="0.3">
      <c r="A48" s="6" t="s">
        <v>262</v>
      </c>
      <c r="B48" s="6" t="s">
        <v>419</v>
      </c>
      <c r="C48" s="6" t="s">
        <v>470</v>
      </c>
      <c r="D48" s="6" t="s">
        <v>421</v>
      </c>
      <c r="E48" s="6" t="s">
        <v>471</v>
      </c>
      <c r="F48" s="13" t="s">
        <v>472</v>
      </c>
      <c r="G48" s="13" t="s">
        <v>473</v>
      </c>
      <c r="H48" s="13" t="s">
        <v>474</v>
      </c>
      <c r="I48" s="13"/>
      <c r="J48" s="7"/>
      <c r="K48" s="7"/>
      <c r="L48" s="7" t="s">
        <v>93</v>
      </c>
      <c r="M48" s="7" t="s">
        <v>93</v>
      </c>
      <c r="N48" s="10"/>
      <c r="O48" s="9" t="str">
        <f t="shared" si="0"/>
        <v/>
      </c>
      <c r="P48" s="11"/>
      <c r="Q48" s="12"/>
      <c r="R48" s="11"/>
      <c r="S48" s="7"/>
    </row>
    <row r="49" spans="1:19" ht="14.4" x14ac:dyDescent="0.3">
      <c r="A49" s="6" t="s">
        <v>262</v>
      </c>
      <c r="B49" s="6" t="s">
        <v>419</v>
      </c>
      <c r="C49" s="6" t="s">
        <v>475</v>
      </c>
      <c r="D49" s="6" t="s">
        <v>421</v>
      </c>
      <c r="E49" s="6" t="s">
        <v>476</v>
      </c>
      <c r="F49" s="13" t="s">
        <v>477</v>
      </c>
      <c r="G49" s="13" t="s">
        <v>380</v>
      </c>
      <c r="H49" s="13" t="s">
        <v>478</v>
      </c>
      <c r="I49" s="13"/>
      <c r="J49" s="7"/>
      <c r="K49" s="7"/>
      <c r="L49" s="7" t="s">
        <v>93</v>
      </c>
      <c r="M49" s="7" t="s">
        <v>93</v>
      </c>
      <c r="N49" s="10"/>
      <c r="O49" s="9" t="str">
        <f t="shared" si="0"/>
        <v/>
      </c>
      <c r="P49" s="11"/>
      <c r="Q49" s="12"/>
      <c r="R49" s="11"/>
      <c r="S49" s="7"/>
    </row>
    <row r="50" spans="1:19" ht="14.4" x14ac:dyDescent="0.3">
      <c r="A50" s="6" t="s">
        <v>262</v>
      </c>
      <c r="B50" s="6" t="s">
        <v>419</v>
      </c>
      <c r="C50" s="6" t="s">
        <v>479</v>
      </c>
      <c r="D50" s="6" t="s">
        <v>421</v>
      </c>
      <c r="E50" s="6" t="s">
        <v>480</v>
      </c>
      <c r="F50" s="13" t="s">
        <v>481</v>
      </c>
      <c r="G50" s="13" t="s">
        <v>482</v>
      </c>
      <c r="H50" s="13" t="s">
        <v>483</v>
      </c>
      <c r="I50" s="13" t="s">
        <v>484</v>
      </c>
      <c r="J50" s="7"/>
      <c r="K50" s="7"/>
      <c r="L50" s="7" t="s">
        <v>93</v>
      </c>
      <c r="M50" s="7" t="s">
        <v>93</v>
      </c>
      <c r="N50" s="10"/>
      <c r="O50" s="9" t="str">
        <f t="shared" si="0"/>
        <v/>
      </c>
      <c r="P50" s="11"/>
      <c r="Q50" s="12"/>
      <c r="R50" s="11"/>
      <c r="S50" s="7"/>
    </row>
    <row r="51" spans="1:19" ht="14.4" x14ac:dyDescent="0.3">
      <c r="A51" s="6" t="s">
        <v>262</v>
      </c>
      <c r="B51" s="6" t="s">
        <v>419</v>
      </c>
      <c r="C51" s="6" t="s">
        <v>486</v>
      </c>
      <c r="D51" s="6" t="s">
        <v>421</v>
      </c>
      <c r="E51" s="6" t="s">
        <v>487</v>
      </c>
      <c r="F51" s="13" t="s">
        <v>488</v>
      </c>
      <c r="G51" s="13" t="s">
        <v>489</v>
      </c>
      <c r="H51" s="13" t="s">
        <v>490</v>
      </c>
      <c r="I51" s="13"/>
      <c r="J51" s="7"/>
      <c r="K51" s="7"/>
      <c r="L51" s="7" t="s">
        <v>93</v>
      </c>
      <c r="M51" s="7" t="s">
        <v>93</v>
      </c>
      <c r="N51" s="10"/>
      <c r="O51" s="9" t="str">
        <f t="shared" si="0"/>
        <v/>
      </c>
      <c r="P51" s="11"/>
      <c r="Q51" s="12"/>
      <c r="R51" s="11"/>
      <c r="S51" s="7"/>
    </row>
    <row r="52" spans="1:19" ht="14.4" x14ac:dyDescent="0.3">
      <c r="A52" s="6" t="s">
        <v>262</v>
      </c>
      <c r="B52" s="6" t="s">
        <v>419</v>
      </c>
      <c r="C52" s="6" t="s">
        <v>491</v>
      </c>
      <c r="D52" s="6" t="s">
        <v>421</v>
      </c>
      <c r="E52" s="6" t="s">
        <v>492</v>
      </c>
      <c r="F52" s="13" t="s">
        <v>294</v>
      </c>
      <c r="G52" s="13" t="s">
        <v>493</v>
      </c>
      <c r="H52" s="13"/>
      <c r="I52" s="13"/>
      <c r="J52" s="7"/>
      <c r="K52" s="7"/>
      <c r="L52" s="7" t="s">
        <v>93</v>
      </c>
      <c r="M52" s="7" t="s">
        <v>93</v>
      </c>
      <c r="N52" s="10"/>
      <c r="O52" s="9" t="str">
        <f t="shared" si="0"/>
        <v/>
      </c>
      <c r="P52" s="11"/>
      <c r="Q52" s="12"/>
      <c r="R52" s="11"/>
      <c r="S52" s="7"/>
    </row>
    <row r="53" spans="1:19" ht="14.4" x14ac:dyDescent="0.3">
      <c r="A53" s="6" t="s">
        <v>262</v>
      </c>
      <c r="B53" s="6" t="s">
        <v>419</v>
      </c>
      <c r="C53" s="6" t="s">
        <v>494</v>
      </c>
      <c r="D53" s="6" t="s">
        <v>421</v>
      </c>
      <c r="E53" s="6" t="s">
        <v>495</v>
      </c>
      <c r="F53" s="13" t="s">
        <v>496</v>
      </c>
      <c r="G53" s="13" t="s">
        <v>497</v>
      </c>
      <c r="H53" s="13" t="s">
        <v>498</v>
      </c>
      <c r="I53" s="13"/>
      <c r="J53" s="7"/>
      <c r="K53" s="7"/>
      <c r="L53" s="7" t="s">
        <v>93</v>
      </c>
      <c r="M53" s="7" t="s">
        <v>93</v>
      </c>
      <c r="N53" s="10"/>
      <c r="O53" s="9" t="str">
        <f t="shared" si="0"/>
        <v/>
      </c>
      <c r="P53" s="11"/>
      <c r="Q53" s="12"/>
      <c r="R53" s="11"/>
      <c r="S53" s="7"/>
    </row>
    <row r="54" spans="1:19" ht="14.4" x14ac:dyDescent="0.3">
      <c r="A54" s="6" t="s">
        <v>262</v>
      </c>
      <c r="B54" s="6" t="s">
        <v>419</v>
      </c>
      <c r="C54" s="6" t="s">
        <v>499</v>
      </c>
      <c r="D54" s="6" t="s">
        <v>421</v>
      </c>
      <c r="E54" s="6" t="s">
        <v>500</v>
      </c>
      <c r="F54" s="13" t="s">
        <v>501</v>
      </c>
      <c r="G54" s="13"/>
      <c r="H54" s="13"/>
      <c r="I54" s="13"/>
      <c r="J54" s="7"/>
      <c r="K54" s="7"/>
      <c r="L54" s="7" t="s">
        <v>93</v>
      </c>
      <c r="M54" s="7" t="s">
        <v>93</v>
      </c>
      <c r="N54" s="10"/>
      <c r="O54" s="9" t="str">
        <f t="shared" si="0"/>
        <v/>
      </c>
      <c r="P54" s="11"/>
      <c r="Q54" s="12"/>
      <c r="R54" s="11"/>
      <c r="S54" s="7"/>
    </row>
    <row r="55" spans="1:19" ht="14.4" x14ac:dyDescent="0.3">
      <c r="A55" s="6" t="s">
        <v>262</v>
      </c>
      <c r="B55" s="6" t="s">
        <v>419</v>
      </c>
      <c r="C55" s="6" t="s">
        <v>503</v>
      </c>
      <c r="D55" s="6" t="s">
        <v>421</v>
      </c>
      <c r="E55" s="6" t="s">
        <v>504</v>
      </c>
      <c r="F55" s="13" t="s">
        <v>505</v>
      </c>
      <c r="G55" s="13" t="s">
        <v>506</v>
      </c>
      <c r="H55" s="13" t="s">
        <v>507</v>
      </c>
      <c r="I55" s="13"/>
      <c r="J55" s="7"/>
      <c r="K55" s="7"/>
      <c r="L55" s="7" t="s">
        <v>93</v>
      </c>
      <c r="M55" s="7" t="s">
        <v>93</v>
      </c>
      <c r="N55" s="10"/>
      <c r="O55" s="9" t="str">
        <f t="shared" si="0"/>
        <v/>
      </c>
      <c r="P55" s="11"/>
      <c r="Q55" s="12"/>
      <c r="R55" s="11"/>
      <c r="S55" s="7"/>
    </row>
    <row r="56" spans="1:19" ht="14.4" x14ac:dyDescent="0.3">
      <c r="A56" s="6" t="s">
        <v>262</v>
      </c>
      <c r="B56" s="6" t="s">
        <v>419</v>
      </c>
      <c r="C56" s="6" t="s">
        <v>508</v>
      </c>
      <c r="D56" s="6" t="s">
        <v>421</v>
      </c>
      <c r="E56" s="6" t="s">
        <v>509</v>
      </c>
      <c r="F56" s="13" t="s">
        <v>305</v>
      </c>
      <c r="G56" s="13" t="s">
        <v>510</v>
      </c>
      <c r="H56" s="13" t="s">
        <v>511</v>
      </c>
      <c r="I56" s="13"/>
      <c r="J56" s="7"/>
      <c r="K56" s="7"/>
      <c r="L56" s="7" t="s">
        <v>93</v>
      </c>
      <c r="M56" s="7" t="s">
        <v>93</v>
      </c>
      <c r="N56" s="10"/>
      <c r="O56" s="9" t="str">
        <f t="shared" si="0"/>
        <v/>
      </c>
      <c r="P56" s="11"/>
      <c r="Q56" s="12"/>
      <c r="R56" s="11"/>
      <c r="S56" s="7"/>
    </row>
    <row r="57" spans="1:19" ht="14.4" x14ac:dyDescent="0.3">
      <c r="A57" s="6" t="s">
        <v>262</v>
      </c>
      <c r="B57" s="6" t="s">
        <v>419</v>
      </c>
      <c r="C57" s="6" t="s">
        <v>512</v>
      </c>
      <c r="D57" s="6" t="s">
        <v>421</v>
      </c>
      <c r="E57" s="6" t="s">
        <v>513</v>
      </c>
      <c r="F57" s="13" t="s">
        <v>305</v>
      </c>
      <c r="G57" s="13" t="s">
        <v>514</v>
      </c>
      <c r="H57" s="13" t="s">
        <v>515</v>
      </c>
      <c r="I57" s="13"/>
      <c r="J57" s="7"/>
      <c r="K57" s="7"/>
      <c r="L57" s="7" t="s">
        <v>93</v>
      </c>
      <c r="M57" s="7" t="s">
        <v>93</v>
      </c>
      <c r="N57" s="10"/>
      <c r="O57" s="9" t="str">
        <f t="shared" si="0"/>
        <v/>
      </c>
      <c r="P57" s="11"/>
      <c r="Q57" s="12"/>
      <c r="R57" s="11"/>
      <c r="S57" s="7"/>
    </row>
    <row r="58" spans="1:19" ht="14.4" x14ac:dyDescent="0.3">
      <c r="A58" s="6" t="s">
        <v>262</v>
      </c>
      <c r="B58" s="6" t="s">
        <v>419</v>
      </c>
      <c r="C58" s="6" t="s">
        <v>516</v>
      </c>
      <c r="D58" s="6" t="s">
        <v>421</v>
      </c>
      <c r="E58" s="6" t="s">
        <v>517</v>
      </c>
      <c r="F58" s="13" t="s">
        <v>518</v>
      </c>
      <c r="G58" s="13" t="s">
        <v>519</v>
      </c>
      <c r="H58" s="13" t="s">
        <v>520</v>
      </c>
      <c r="I58" s="13"/>
      <c r="J58" s="7"/>
      <c r="K58" s="7"/>
      <c r="L58" s="7" t="s">
        <v>93</v>
      </c>
      <c r="M58" s="7" t="s">
        <v>93</v>
      </c>
      <c r="N58" s="10"/>
      <c r="O58" s="9" t="str">
        <f t="shared" si="0"/>
        <v/>
      </c>
      <c r="P58" s="11"/>
      <c r="Q58" s="12"/>
      <c r="R58" s="11"/>
      <c r="S58" s="7"/>
    </row>
    <row r="59" spans="1:19" ht="14.4" x14ac:dyDescent="0.3">
      <c r="A59" s="6" t="s">
        <v>262</v>
      </c>
      <c r="B59" s="6" t="s">
        <v>419</v>
      </c>
      <c r="C59" s="6" t="s">
        <v>521</v>
      </c>
      <c r="D59" s="6" t="s">
        <v>421</v>
      </c>
      <c r="E59" s="6" t="s">
        <v>522</v>
      </c>
      <c r="F59" s="13" t="s">
        <v>523</v>
      </c>
      <c r="G59" s="13" t="s">
        <v>524</v>
      </c>
      <c r="H59" s="13"/>
      <c r="I59" s="13"/>
      <c r="J59" s="7"/>
      <c r="K59" s="7"/>
      <c r="L59" s="7" t="s">
        <v>93</v>
      </c>
      <c r="M59" s="7" t="s">
        <v>93</v>
      </c>
      <c r="N59" s="10"/>
      <c r="O59" s="9" t="str">
        <f t="shared" si="0"/>
        <v/>
      </c>
      <c r="P59" s="11"/>
      <c r="Q59" s="12"/>
      <c r="R59" s="11"/>
      <c r="S59" s="7"/>
    </row>
    <row r="60" spans="1:19" ht="14.4" x14ac:dyDescent="0.3">
      <c r="A60" s="6" t="s">
        <v>262</v>
      </c>
      <c r="B60" s="6" t="s">
        <v>419</v>
      </c>
      <c r="C60" s="6" t="s">
        <v>525</v>
      </c>
      <c r="D60" s="6" t="s">
        <v>421</v>
      </c>
      <c r="E60" s="6" t="s">
        <v>526</v>
      </c>
      <c r="F60" s="13" t="s">
        <v>527</v>
      </c>
      <c r="G60" s="13" t="s">
        <v>528</v>
      </c>
      <c r="H60" s="13" t="s">
        <v>529</v>
      </c>
      <c r="I60" s="13" t="s">
        <v>530</v>
      </c>
      <c r="J60" s="7"/>
      <c r="K60" s="7"/>
      <c r="L60" s="7" t="s">
        <v>93</v>
      </c>
      <c r="M60" s="7" t="s">
        <v>93</v>
      </c>
      <c r="N60" s="10"/>
      <c r="O60" s="9" t="str">
        <f t="shared" si="0"/>
        <v/>
      </c>
      <c r="P60" s="11"/>
      <c r="Q60" s="12"/>
      <c r="R60" s="11"/>
      <c r="S60" s="7"/>
    </row>
    <row r="61" spans="1:19" ht="14.4" x14ac:dyDescent="0.3">
      <c r="A61" s="6" t="s">
        <v>262</v>
      </c>
      <c r="B61" s="6" t="s">
        <v>419</v>
      </c>
      <c r="C61" s="6" t="s">
        <v>531</v>
      </c>
      <c r="D61" s="6" t="s">
        <v>421</v>
      </c>
      <c r="E61" s="6" t="s">
        <v>532</v>
      </c>
      <c r="F61" s="13" t="s">
        <v>533</v>
      </c>
      <c r="G61" s="13" t="s">
        <v>534</v>
      </c>
      <c r="H61" s="13" t="s">
        <v>535</v>
      </c>
      <c r="I61" s="13" t="s">
        <v>536</v>
      </c>
      <c r="J61" s="7"/>
      <c r="K61" s="7"/>
      <c r="L61" s="7" t="s">
        <v>93</v>
      </c>
      <c r="M61" s="7" t="s">
        <v>93</v>
      </c>
      <c r="N61" s="10"/>
      <c r="O61" s="9" t="str">
        <f t="shared" si="0"/>
        <v/>
      </c>
      <c r="P61" s="11"/>
      <c r="Q61" s="12"/>
      <c r="R61" s="11"/>
      <c r="S61" s="7"/>
    </row>
    <row r="62" spans="1:19" ht="14.4" x14ac:dyDescent="0.3">
      <c r="A62" s="6" t="s">
        <v>262</v>
      </c>
      <c r="B62" s="6" t="s">
        <v>419</v>
      </c>
      <c r="C62" s="6" t="s">
        <v>538</v>
      </c>
      <c r="D62" s="6" t="s">
        <v>421</v>
      </c>
      <c r="E62" s="6" t="s">
        <v>539</v>
      </c>
      <c r="F62" s="13" t="s">
        <v>540</v>
      </c>
      <c r="G62" s="13" t="s">
        <v>541</v>
      </c>
      <c r="H62" s="13" t="s">
        <v>542</v>
      </c>
      <c r="I62" s="13"/>
      <c r="J62" s="7"/>
      <c r="K62" s="7"/>
      <c r="L62" s="7" t="s">
        <v>93</v>
      </c>
      <c r="M62" s="7" t="s">
        <v>93</v>
      </c>
      <c r="N62" s="10"/>
      <c r="O62" s="9" t="str">
        <f t="shared" si="0"/>
        <v/>
      </c>
      <c r="P62" s="11"/>
      <c r="Q62" s="12"/>
      <c r="R62" s="11"/>
      <c r="S62" s="7"/>
    </row>
    <row r="63" spans="1:19" ht="14.4" x14ac:dyDescent="0.3">
      <c r="A63" s="6" t="s">
        <v>262</v>
      </c>
      <c r="B63" s="6" t="s">
        <v>419</v>
      </c>
      <c r="C63" s="6" t="s">
        <v>543</v>
      </c>
      <c r="D63" s="6" t="s">
        <v>421</v>
      </c>
      <c r="E63" s="6" t="s">
        <v>544</v>
      </c>
      <c r="F63" s="13" t="s">
        <v>545</v>
      </c>
      <c r="G63" s="13" t="s">
        <v>546</v>
      </c>
      <c r="H63" s="13" t="s">
        <v>547</v>
      </c>
      <c r="I63" s="13"/>
      <c r="J63" s="7"/>
      <c r="K63" s="7"/>
      <c r="L63" s="7" t="s">
        <v>93</v>
      </c>
      <c r="M63" s="7" t="s">
        <v>93</v>
      </c>
      <c r="N63" s="10"/>
      <c r="O63" s="9" t="str">
        <f t="shared" si="0"/>
        <v/>
      </c>
      <c r="P63" s="11"/>
      <c r="Q63" s="12"/>
      <c r="R63" s="11"/>
      <c r="S63" s="7"/>
    </row>
    <row r="64" spans="1:19" ht="14.4" x14ac:dyDescent="0.3">
      <c r="A64" s="6" t="s">
        <v>270</v>
      </c>
      <c r="B64" s="6" t="s">
        <v>548</v>
      </c>
      <c r="C64" s="6" t="s">
        <v>549</v>
      </c>
      <c r="D64" s="6" t="s">
        <v>550</v>
      </c>
      <c r="E64" s="6" t="s">
        <v>551</v>
      </c>
      <c r="F64" s="13" t="s">
        <v>552</v>
      </c>
      <c r="G64" s="13" t="s">
        <v>553</v>
      </c>
      <c r="H64" s="13" t="s">
        <v>554</v>
      </c>
      <c r="I64" s="13"/>
      <c r="J64" s="7"/>
      <c r="K64" s="7"/>
      <c r="L64" s="7" t="s">
        <v>93</v>
      </c>
      <c r="M64" s="7" t="s">
        <v>93</v>
      </c>
      <c r="N64" s="10"/>
      <c r="O64" s="9" t="str">
        <f t="shared" si="0"/>
        <v/>
      </c>
      <c r="P64" s="11"/>
      <c r="Q64" s="12"/>
      <c r="R64" s="11"/>
      <c r="S64" s="7"/>
    </row>
    <row r="65" spans="1:19" ht="14.4" x14ac:dyDescent="0.3">
      <c r="A65" s="6" t="s">
        <v>270</v>
      </c>
      <c r="B65" s="6" t="s">
        <v>548</v>
      </c>
      <c r="C65" s="6" t="s">
        <v>555</v>
      </c>
      <c r="D65" s="6" t="s">
        <v>550</v>
      </c>
      <c r="E65" s="6" t="s">
        <v>556</v>
      </c>
      <c r="F65" s="13" t="s">
        <v>557</v>
      </c>
      <c r="G65" s="13" t="s">
        <v>558</v>
      </c>
      <c r="H65" s="13" t="s">
        <v>559</v>
      </c>
      <c r="I65" s="13"/>
      <c r="J65" s="7"/>
      <c r="K65" s="7"/>
      <c r="L65" s="7" t="s">
        <v>93</v>
      </c>
      <c r="M65" s="7" t="s">
        <v>93</v>
      </c>
      <c r="N65" s="10"/>
      <c r="O65" s="9" t="str">
        <f t="shared" si="0"/>
        <v/>
      </c>
      <c r="P65" s="11"/>
      <c r="Q65" s="12"/>
      <c r="R65" s="11"/>
      <c r="S65" s="7"/>
    </row>
    <row r="66" spans="1:19" ht="14.4" x14ac:dyDescent="0.3">
      <c r="A66" s="6" t="s">
        <v>270</v>
      </c>
      <c r="B66" s="6" t="s">
        <v>548</v>
      </c>
      <c r="C66" s="6" t="s">
        <v>560</v>
      </c>
      <c r="D66" s="6" t="s">
        <v>550</v>
      </c>
      <c r="E66" s="6" t="s">
        <v>561</v>
      </c>
      <c r="F66" s="13" t="s">
        <v>311</v>
      </c>
      <c r="G66" s="13" t="s">
        <v>562</v>
      </c>
      <c r="H66" s="13" t="s">
        <v>563</v>
      </c>
      <c r="I66" s="13"/>
      <c r="J66" s="7"/>
      <c r="K66" s="7"/>
      <c r="L66" s="7" t="s">
        <v>93</v>
      </c>
      <c r="M66" s="7" t="s">
        <v>93</v>
      </c>
      <c r="N66" s="10"/>
      <c r="O66" s="9" t="str">
        <f t="shared" ref="O66:O129" si="1">IF(L66="oui","incomplet",IF(OR(J66="non",K66="non"),"a_regulariser",IF(AND(J66="oui",K66="oui"),"ok","")))</f>
        <v/>
      </c>
      <c r="P66" s="11"/>
      <c r="Q66" s="12"/>
      <c r="R66" s="11"/>
      <c r="S66" s="7"/>
    </row>
    <row r="67" spans="1:19" ht="14.4" x14ac:dyDescent="0.3">
      <c r="A67" s="6" t="s">
        <v>270</v>
      </c>
      <c r="B67" s="6" t="s">
        <v>548</v>
      </c>
      <c r="C67" s="6" t="s">
        <v>565</v>
      </c>
      <c r="D67" s="6" t="s">
        <v>550</v>
      </c>
      <c r="E67" s="6" t="s">
        <v>566</v>
      </c>
      <c r="F67" s="13" t="s">
        <v>567</v>
      </c>
      <c r="G67" s="13" t="s">
        <v>568</v>
      </c>
      <c r="H67" s="13" t="s">
        <v>569</v>
      </c>
      <c r="I67" s="13"/>
      <c r="J67" s="7"/>
      <c r="K67" s="7"/>
      <c r="L67" s="7" t="s">
        <v>93</v>
      </c>
      <c r="M67" s="7" t="s">
        <v>93</v>
      </c>
      <c r="N67" s="10"/>
      <c r="O67" s="9" t="str">
        <f t="shared" si="1"/>
        <v/>
      </c>
      <c r="P67" s="11"/>
      <c r="Q67" s="12"/>
      <c r="R67" s="11"/>
      <c r="S67" s="7"/>
    </row>
    <row r="68" spans="1:19" ht="14.4" x14ac:dyDescent="0.3">
      <c r="A68" s="6" t="s">
        <v>270</v>
      </c>
      <c r="B68" s="6" t="s">
        <v>548</v>
      </c>
      <c r="C68" s="6" t="s">
        <v>570</v>
      </c>
      <c r="D68" s="6" t="s">
        <v>550</v>
      </c>
      <c r="E68" s="6" t="s">
        <v>571</v>
      </c>
      <c r="F68" s="13" t="s">
        <v>567</v>
      </c>
      <c r="G68" s="13" t="s">
        <v>572</v>
      </c>
      <c r="H68" s="13" t="s">
        <v>573</v>
      </c>
      <c r="I68" s="13"/>
      <c r="J68" s="7"/>
      <c r="K68" s="7"/>
      <c r="L68" s="7" t="s">
        <v>93</v>
      </c>
      <c r="M68" s="7" t="s">
        <v>93</v>
      </c>
      <c r="N68" s="10"/>
      <c r="O68" s="9" t="str">
        <f t="shared" si="1"/>
        <v/>
      </c>
      <c r="P68" s="11"/>
      <c r="Q68" s="12"/>
      <c r="R68" s="11"/>
      <c r="S68" s="7"/>
    </row>
    <row r="69" spans="1:19" ht="14.4" x14ac:dyDescent="0.3">
      <c r="A69" s="6" t="s">
        <v>270</v>
      </c>
      <c r="B69" s="6" t="s">
        <v>548</v>
      </c>
      <c r="C69" s="6" t="s">
        <v>574</v>
      </c>
      <c r="D69" s="6" t="s">
        <v>550</v>
      </c>
      <c r="E69" s="6" t="s">
        <v>575</v>
      </c>
      <c r="F69" s="13" t="s">
        <v>576</v>
      </c>
      <c r="G69" s="13" t="s">
        <v>577</v>
      </c>
      <c r="H69" s="13" t="s">
        <v>578</v>
      </c>
      <c r="I69" s="13"/>
      <c r="J69" s="7"/>
      <c r="K69" s="7"/>
      <c r="L69" s="7" t="s">
        <v>93</v>
      </c>
      <c r="M69" s="7" t="s">
        <v>93</v>
      </c>
      <c r="N69" s="10"/>
      <c r="O69" s="9" t="str">
        <f t="shared" si="1"/>
        <v/>
      </c>
      <c r="P69" s="11"/>
      <c r="Q69" s="12"/>
      <c r="R69" s="11"/>
      <c r="S69" s="7"/>
    </row>
    <row r="70" spans="1:19" ht="14.4" x14ac:dyDescent="0.3">
      <c r="A70" s="6" t="s">
        <v>270</v>
      </c>
      <c r="B70" s="6" t="s">
        <v>548</v>
      </c>
      <c r="C70" s="6" t="s">
        <v>579</v>
      </c>
      <c r="D70" s="6" t="s">
        <v>550</v>
      </c>
      <c r="E70" s="6" t="s">
        <v>580</v>
      </c>
      <c r="F70" s="13" t="s">
        <v>581</v>
      </c>
      <c r="G70" s="13" t="s">
        <v>582</v>
      </c>
      <c r="H70" s="13" t="s">
        <v>583</v>
      </c>
      <c r="I70" s="13" t="s">
        <v>584</v>
      </c>
      <c r="J70" s="7"/>
      <c r="K70" s="7"/>
      <c r="L70" s="7" t="s">
        <v>93</v>
      </c>
      <c r="M70" s="7" t="s">
        <v>93</v>
      </c>
      <c r="N70" s="10"/>
      <c r="O70" s="9" t="str">
        <f t="shared" si="1"/>
        <v/>
      </c>
      <c r="P70" s="11"/>
      <c r="Q70" s="12"/>
      <c r="R70" s="11"/>
      <c r="S70" s="7"/>
    </row>
    <row r="71" spans="1:19" ht="14.4" x14ac:dyDescent="0.3">
      <c r="A71" s="6" t="s">
        <v>270</v>
      </c>
      <c r="B71" s="6" t="s">
        <v>548</v>
      </c>
      <c r="C71" s="6" t="s">
        <v>585</v>
      </c>
      <c r="D71" s="6" t="s">
        <v>550</v>
      </c>
      <c r="E71" s="6" t="s">
        <v>586</v>
      </c>
      <c r="F71" s="13" t="s">
        <v>587</v>
      </c>
      <c r="G71" s="13" t="s">
        <v>485</v>
      </c>
      <c r="H71" s="13" t="s">
        <v>588</v>
      </c>
      <c r="I71" s="13"/>
      <c r="J71" s="7"/>
      <c r="K71" s="7"/>
      <c r="L71" s="7" t="s">
        <v>93</v>
      </c>
      <c r="M71" s="7" t="s">
        <v>93</v>
      </c>
      <c r="N71" s="10"/>
      <c r="O71" s="9" t="str">
        <f t="shared" si="1"/>
        <v/>
      </c>
      <c r="P71" s="11"/>
      <c r="Q71" s="12"/>
      <c r="R71" s="11"/>
      <c r="S71" s="7"/>
    </row>
    <row r="72" spans="1:19" ht="14.4" x14ac:dyDescent="0.3">
      <c r="A72" s="6" t="s">
        <v>270</v>
      </c>
      <c r="B72" s="6" t="s">
        <v>548</v>
      </c>
      <c r="C72" s="6" t="s">
        <v>589</v>
      </c>
      <c r="D72" s="6" t="s">
        <v>550</v>
      </c>
      <c r="E72" s="6" t="s">
        <v>590</v>
      </c>
      <c r="F72" s="13" t="s">
        <v>458</v>
      </c>
      <c r="G72" s="13" t="s">
        <v>591</v>
      </c>
      <c r="H72" s="13" t="s">
        <v>592</v>
      </c>
      <c r="I72" s="13" t="s">
        <v>593</v>
      </c>
      <c r="J72" s="7"/>
      <c r="K72" s="7"/>
      <c r="L72" s="7" t="s">
        <v>93</v>
      </c>
      <c r="M72" s="7" t="s">
        <v>93</v>
      </c>
      <c r="N72" s="10"/>
      <c r="O72" s="9" t="str">
        <f t="shared" si="1"/>
        <v/>
      </c>
      <c r="P72" s="11"/>
      <c r="Q72" s="12"/>
      <c r="R72" s="11"/>
      <c r="S72" s="7"/>
    </row>
    <row r="73" spans="1:19" ht="14.4" x14ac:dyDescent="0.3">
      <c r="A73" s="6" t="s">
        <v>270</v>
      </c>
      <c r="B73" s="6" t="s">
        <v>548</v>
      </c>
      <c r="C73" s="6" t="s">
        <v>594</v>
      </c>
      <c r="D73" s="6" t="s">
        <v>550</v>
      </c>
      <c r="E73" s="6" t="s">
        <v>595</v>
      </c>
      <c r="F73" s="13" t="s">
        <v>587</v>
      </c>
      <c r="G73" s="13" t="s">
        <v>596</v>
      </c>
      <c r="H73" s="13" t="s">
        <v>597</v>
      </c>
      <c r="I73" s="13"/>
      <c r="J73" s="7"/>
      <c r="K73" s="7"/>
      <c r="L73" s="7" t="s">
        <v>93</v>
      </c>
      <c r="M73" s="7" t="s">
        <v>93</v>
      </c>
      <c r="N73" s="10"/>
      <c r="O73" s="9" t="str">
        <f t="shared" si="1"/>
        <v/>
      </c>
      <c r="P73" s="11"/>
      <c r="Q73" s="12"/>
      <c r="R73" s="11"/>
      <c r="S73" s="7"/>
    </row>
    <row r="74" spans="1:19" ht="14.4" x14ac:dyDescent="0.3">
      <c r="A74" s="6" t="s">
        <v>270</v>
      </c>
      <c r="B74" s="6" t="s">
        <v>548</v>
      </c>
      <c r="C74" s="6" t="s">
        <v>598</v>
      </c>
      <c r="D74" s="6" t="s">
        <v>550</v>
      </c>
      <c r="E74" s="6" t="s">
        <v>599</v>
      </c>
      <c r="F74" s="13" t="s">
        <v>600</v>
      </c>
      <c r="G74" s="13" t="s">
        <v>601</v>
      </c>
      <c r="H74" s="13" t="s">
        <v>602</v>
      </c>
      <c r="I74" s="13"/>
      <c r="J74" s="7"/>
      <c r="K74" s="7"/>
      <c r="L74" s="7" t="s">
        <v>93</v>
      </c>
      <c r="M74" s="7" t="s">
        <v>93</v>
      </c>
      <c r="N74" s="10"/>
      <c r="O74" s="9" t="str">
        <f t="shared" si="1"/>
        <v/>
      </c>
      <c r="P74" s="11"/>
      <c r="Q74" s="12"/>
      <c r="R74" s="11"/>
      <c r="S74" s="7"/>
    </row>
    <row r="75" spans="1:19" ht="14.4" x14ac:dyDescent="0.3">
      <c r="A75" s="6" t="s">
        <v>270</v>
      </c>
      <c r="B75" s="6" t="s">
        <v>548</v>
      </c>
      <c r="C75" s="6" t="s">
        <v>603</v>
      </c>
      <c r="D75" s="6" t="s">
        <v>550</v>
      </c>
      <c r="E75" s="6" t="s">
        <v>604</v>
      </c>
      <c r="F75" s="13" t="s">
        <v>605</v>
      </c>
      <c r="G75" s="13" t="s">
        <v>606</v>
      </c>
      <c r="H75" s="13" t="s">
        <v>607</v>
      </c>
      <c r="I75" s="13" t="s">
        <v>608</v>
      </c>
      <c r="J75" s="7"/>
      <c r="K75" s="7"/>
      <c r="L75" s="7" t="s">
        <v>93</v>
      </c>
      <c r="M75" s="7" t="s">
        <v>93</v>
      </c>
      <c r="N75" s="10"/>
      <c r="O75" s="9" t="str">
        <f t="shared" si="1"/>
        <v/>
      </c>
      <c r="P75" s="11"/>
      <c r="Q75" s="12"/>
      <c r="R75" s="11"/>
      <c r="S75" s="7"/>
    </row>
    <row r="76" spans="1:19" ht="14.4" x14ac:dyDescent="0.3">
      <c r="A76" s="6" t="s">
        <v>270</v>
      </c>
      <c r="B76" s="6" t="s">
        <v>548</v>
      </c>
      <c r="C76" s="6" t="s">
        <v>609</v>
      </c>
      <c r="D76" s="6" t="s">
        <v>550</v>
      </c>
      <c r="E76" s="6" t="s">
        <v>610</v>
      </c>
      <c r="F76" s="13" t="s">
        <v>605</v>
      </c>
      <c r="G76" s="13" t="s">
        <v>611</v>
      </c>
      <c r="H76" s="13" t="s">
        <v>612</v>
      </c>
      <c r="I76" s="13"/>
      <c r="J76" s="7"/>
      <c r="K76" s="7"/>
      <c r="L76" s="7" t="s">
        <v>93</v>
      </c>
      <c r="M76" s="7" t="s">
        <v>93</v>
      </c>
      <c r="N76" s="10"/>
      <c r="O76" s="9" t="str">
        <f t="shared" si="1"/>
        <v/>
      </c>
      <c r="P76" s="11"/>
      <c r="Q76" s="12"/>
      <c r="R76" s="11"/>
      <c r="S76" s="7"/>
    </row>
    <row r="77" spans="1:19" ht="14.4" x14ac:dyDescent="0.3">
      <c r="A77" s="6" t="s">
        <v>270</v>
      </c>
      <c r="B77" s="6" t="s">
        <v>548</v>
      </c>
      <c r="C77" s="6" t="s">
        <v>613</v>
      </c>
      <c r="D77" s="6" t="s">
        <v>550</v>
      </c>
      <c r="E77" s="6" t="s">
        <v>614</v>
      </c>
      <c r="F77" s="13" t="s">
        <v>615</v>
      </c>
      <c r="G77" s="13" t="s">
        <v>616</v>
      </c>
      <c r="H77" s="13" t="s">
        <v>617</v>
      </c>
      <c r="I77" s="13"/>
      <c r="J77" s="7"/>
      <c r="K77" s="7"/>
      <c r="L77" s="7" t="s">
        <v>93</v>
      </c>
      <c r="M77" s="7" t="s">
        <v>93</v>
      </c>
      <c r="N77" s="10"/>
      <c r="O77" s="9" t="str">
        <f t="shared" si="1"/>
        <v/>
      </c>
      <c r="P77" s="11"/>
      <c r="Q77" s="12"/>
      <c r="R77" s="11"/>
      <c r="S77" s="7"/>
    </row>
    <row r="78" spans="1:19" ht="14.4" x14ac:dyDescent="0.3">
      <c r="A78" s="6" t="s">
        <v>270</v>
      </c>
      <c r="B78" s="6" t="s">
        <v>548</v>
      </c>
      <c r="C78" s="6" t="s">
        <v>618</v>
      </c>
      <c r="D78" s="6" t="s">
        <v>550</v>
      </c>
      <c r="E78" s="6" t="s">
        <v>619</v>
      </c>
      <c r="F78" s="13" t="s">
        <v>620</v>
      </c>
      <c r="G78" s="13" t="s">
        <v>621</v>
      </c>
      <c r="H78" s="13" t="s">
        <v>622</v>
      </c>
      <c r="I78" s="13"/>
      <c r="J78" s="7"/>
      <c r="K78" s="7"/>
      <c r="L78" s="7" t="s">
        <v>93</v>
      </c>
      <c r="M78" s="7" t="s">
        <v>93</v>
      </c>
      <c r="N78" s="10"/>
      <c r="O78" s="9" t="str">
        <f t="shared" si="1"/>
        <v/>
      </c>
      <c r="P78" s="11"/>
      <c r="Q78" s="12"/>
      <c r="R78" s="11"/>
      <c r="S78" s="7"/>
    </row>
    <row r="79" spans="1:19" ht="14.4" x14ac:dyDescent="0.3">
      <c r="A79" s="6" t="s">
        <v>270</v>
      </c>
      <c r="B79" s="6" t="s">
        <v>548</v>
      </c>
      <c r="C79" s="6" t="s">
        <v>623</v>
      </c>
      <c r="D79" s="6" t="s">
        <v>550</v>
      </c>
      <c r="E79" s="6" t="s">
        <v>624</v>
      </c>
      <c r="F79" s="13" t="s">
        <v>625</v>
      </c>
      <c r="G79" s="13" t="s">
        <v>626</v>
      </c>
      <c r="H79" s="13" t="s">
        <v>627</v>
      </c>
      <c r="I79" s="13"/>
      <c r="J79" s="7"/>
      <c r="K79" s="7"/>
      <c r="L79" s="7" t="s">
        <v>93</v>
      </c>
      <c r="M79" s="7" t="s">
        <v>93</v>
      </c>
      <c r="N79" s="10"/>
      <c r="O79" s="9" t="str">
        <f t="shared" si="1"/>
        <v/>
      </c>
      <c r="P79" s="11"/>
      <c r="Q79" s="12"/>
      <c r="R79" s="11"/>
      <c r="S79" s="7"/>
    </row>
    <row r="80" spans="1:19" ht="14.4" x14ac:dyDescent="0.3">
      <c r="A80" s="6" t="s">
        <v>270</v>
      </c>
      <c r="B80" s="6" t="s">
        <v>548</v>
      </c>
      <c r="C80" s="6" t="s">
        <v>628</v>
      </c>
      <c r="D80" s="6" t="s">
        <v>550</v>
      </c>
      <c r="E80" s="6" t="s">
        <v>629</v>
      </c>
      <c r="F80" s="13" t="s">
        <v>630</v>
      </c>
      <c r="G80" s="13" t="s">
        <v>631</v>
      </c>
      <c r="H80" s="13" t="s">
        <v>632</v>
      </c>
      <c r="I80" s="13"/>
      <c r="J80" s="7"/>
      <c r="K80" s="7"/>
      <c r="L80" s="7" t="s">
        <v>93</v>
      </c>
      <c r="M80" s="7" t="s">
        <v>93</v>
      </c>
      <c r="N80" s="10"/>
      <c r="O80" s="9" t="str">
        <f t="shared" si="1"/>
        <v/>
      </c>
      <c r="P80" s="11"/>
      <c r="Q80" s="12"/>
      <c r="R80" s="11"/>
      <c r="S80" s="7"/>
    </row>
    <row r="81" spans="1:19" ht="14.4" x14ac:dyDescent="0.3">
      <c r="A81" s="6" t="s">
        <v>270</v>
      </c>
      <c r="B81" s="6" t="s">
        <v>548</v>
      </c>
      <c r="C81" s="6" t="s">
        <v>633</v>
      </c>
      <c r="D81" s="6" t="s">
        <v>550</v>
      </c>
      <c r="E81" s="6" t="s">
        <v>634</v>
      </c>
      <c r="F81" s="13" t="s">
        <v>635</v>
      </c>
      <c r="G81" s="13" t="s">
        <v>636</v>
      </c>
      <c r="H81" s="13" t="s">
        <v>637</v>
      </c>
      <c r="I81" s="13" t="s">
        <v>638</v>
      </c>
      <c r="J81" s="7"/>
      <c r="K81" s="7"/>
      <c r="L81" s="7" t="s">
        <v>93</v>
      </c>
      <c r="M81" s="7" t="s">
        <v>93</v>
      </c>
      <c r="N81" s="10"/>
      <c r="O81" s="9" t="str">
        <f t="shared" si="1"/>
        <v/>
      </c>
      <c r="P81" s="11"/>
      <c r="Q81" s="12"/>
      <c r="R81" s="11"/>
      <c r="S81" s="7"/>
    </row>
    <row r="82" spans="1:19" ht="14.4" x14ac:dyDescent="0.3">
      <c r="A82" s="6" t="s">
        <v>270</v>
      </c>
      <c r="B82" s="6" t="s">
        <v>548</v>
      </c>
      <c r="C82" s="6" t="s">
        <v>640</v>
      </c>
      <c r="D82" s="6" t="s">
        <v>550</v>
      </c>
      <c r="E82" s="6" t="s">
        <v>641</v>
      </c>
      <c r="F82" s="13" t="s">
        <v>311</v>
      </c>
      <c r="G82" s="13" t="s">
        <v>642</v>
      </c>
      <c r="H82" s="13" t="s">
        <v>643</v>
      </c>
      <c r="I82" s="13"/>
      <c r="J82" s="7"/>
      <c r="K82" s="7"/>
      <c r="L82" s="7" t="s">
        <v>93</v>
      </c>
      <c r="M82" s="7" t="s">
        <v>93</v>
      </c>
      <c r="N82" s="10"/>
      <c r="O82" s="9" t="str">
        <f t="shared" si="1"/>
        <v/>
      </c>
      <c r="P82" s="11"/>
      <c r="Q82" s="12"/>
      <c r="R82" s="11"/>
      <c r="S82" s="7"/>
    </row>
    <row r="83" spans="1:19" ht="14.4" x14ac:dyDescent="0.3">
      <c r="A83" s="6" t="s">
        <v>270</v>
      </c>
      <c r="B83" s="6" t="s">
        <v>548</v>
      </c>
      <c r="C83" s="6" t="s">
        <v>644</v>
      </c>
      <c r="D83" s="6" t="s">
        <v>550</v>
      </c>
      <c r="E83" s="6" t="s">
        <v>645</v>
      </c>
      <c r="F83" s="13" t="s">
        <v>646</v>
      </c>
      <c r="G83" s="13" t="s">
        <v>647</v>
      </c>
      <c r="H83" s="13" t="s">
        <v>648</v>
      </c>
      <c r="I83" s="13" t="s">
        <v>649</v>
      </c>
      <c r="J83" s="7"/>
      <c r="K83" s="7"/>
      <c r="L83" s="7" t="s">
        <v>93</v>
      </c>
      <c r="M83" s="7" t="s">
        <v>93</v>
      </c>
      <c r="N83" s="10"/>
      <c r="O83" s="9" t="str">
        <f t="shared" si="1"/>
        <v/>
      </c>
      <c r="P83" s="11"/>
      <c r="Q83" s="12"/>
      <c r="R83" s="11"/>
      <c r="S83" s="7"/>
    </row>
    <row r="84" spans="1:19" ht="14.4" x14ac:dyDescent="0.3">
      <c r="A84" s="6" t="s">
        <v>270</v>
      </c>
      <c r="B84" s="6" t="s">
        <v>548</v>
      </c>
      <c r="C84" s="6" t="s">
        <v>651</v>
      </c>
      <c r="D84" s="6" t="s">
        <v>550</v>
      </c>
      <c r="E84" s="6" t="s">
        <v>652</v>
      </c>
      <c r="F84" s="13" t="s">
        <v>653</v>
      </c>
      <c r="G84" s="13" t="s">
        <v>654</v>
      </c>
      <c r="H84" s="13" t="s">
        <v>655</v>
      </c>
      <c r="I84" s="13"/>
      <c r="J84" s="7"/>
      <c r="K84" s="7"/>
      <c r="L84" s="7" t="s">
        <v>93</v>
      </c>
      <c r="M84" s="7" t="s">
        <v>93</v>
      </c>
      <c r="N84" s="10"/>
      <c r="O84" s="9" t="str">
        <f t="shared" si="1"/>
        <v/>
      </c>
      <c r="P84" s="11"/>
      <c r="Q84" s="12"/>
      <c r="R84" s="11"/>
      <c r="S84" s="7"/>
    </row>
    <row r="85" spans="1:19" ht="14.4" x14ac:dyDescent="0.3">
      <c r="A85" s="6" t="s">
        <v>270</v>
      </c>
      <c r="B85" s="6" t="s">
        <v>548</v>
      </c>
      <c r="C85" s="6" t="s">
        <v>656</v>
      </c>
      <c r="D85" s="6" t="s">
        <v>550</v>
      </c>
      <c r="E85" s="6" t="s">
        <v>657</v>
      </c>
      <c r="F85" s="13" t="s">
        <v>658</v>
      </c>
      <c r="G85" s="13" t="s">
        <v>659</v>
      </c>
      <c r="H85" s="13" t="s">
        <v>660</v>
      </c>
      <c r="I85" s="13"/>
      <c r="J85" s="7"/>
      <c r="K85" s="7"/>
      <c r="L85" s="7" t="s">
        <v>93</v>
      </c>
      <c r="M85" s="7" t="s">
        <v>93</v>
      </c>
      <c r="N85" s="10"/>
      <c r="O85" s="9" t="str">
        <f t="shared" si="1"/>
        <v/>
      </c>
      <c r="P85" s="11"/>
      <c r="Q85" s="12"/>
      <c r="R85" s="11"/>
      <c r="S85" s="7"/>
    </row>
    <row r="86" spans="1:19" ht="14.4" x14ac:dyDescent="0.3">
      <c r="A86" s="6" t="s">
        <v>270</v>
      </c>
      <c r="B86" s="6" t="s">
        <v>548</v>
      </c>
      <c r="C86" s="6" t="s">
        <v>661</v>
      </c>
      <c r="D86" s="6" t="s">
        <v>550</v>
      </c>
      <c r="E86" s="6" t="s">
        <v>662</v>
      </c>
      <c r="F86" s="13" t="s">
        <v>658</v>
      </c>
      <c r="G86" s="13" t="s">
        <v>663</v>
      </c>
      <c r="H86" s="13" t="s">
        <v>664</v>
      </c>
      <c r="I86" s="13" t="s">
        <v>665</v>
      </c>
      <c r="J86" s="7"/>
      <c r="K86" s="7"/>
      <c r="L86" s="7" t="s">
        <v>93</v>
      </c>
      <c r="M86" s="7" t="s">
        <v>93</v>
      </c>
      <c r="N86" s="10"/>
      <c r="O86" s="9" t="str">
        <f t="shared" si="1"/>
        <v/>
      </c>
      <c r="P86" s="11"/>
      <c r="Q86" s="12"/>
      <c r="R86" s="11"/>
      <c r="S86" s="7"/>
    </row>
    <row r="87" spans="1:19" ht="14.4" x14ac:dyDescent="0.3">
      <c r="A87" s="6" t="s">
        <v>270</v>
      </c>
      <c r="B87" s="6" t="s">
        <v>548</v>
      </c>
      <c r="C87" s="6" t="s">
        <v>666</v>
      </c>
      <c r="D87" s="6" t="s">
        <v>550</v>
      </c>
      <c r="E87" s="6" t="s">
        <v>667</v>
      </c>
      <c r="F87" s="13" t="s">
        <v>668</v>
      </c>
      <c r="G87" s="13" t="s">
        <v>669</v>
      </c>
      <c r="H87" s="13" t="s">
        <v>670</v>
      </c>
      <c r="I87" s="13" t="s">
        <v>671</v>
      </c>
      <c r="J87" s="7"/>
      <c r="K87" s="7"/>
      <c r="L87" s="7" t="s">
        <v>93</v>
      </c>
      <c r="M87" s="7" t="s">
        <v>93</v>
      </c>
      <c r="N87" s="10"/>
      <c r="O87" s="9" t="str">
        <f t="shared" si="1"/>
        <v/>
      </c>
      <c r="P87" s="11"/>
      <c r="Q87" s="12"/>
      <c r="R87" s="11"/>
      <c r="S87" s="7"/>
    </row>
    <row r="88" spans="1:19" ht="14.4" x14ac:dyDescent="0.3">
      <c r="A88" s="6" t="s">
        <v>270</v>
      </c>
      <c r="B88" s="6" t="s">
        <v>673</v>
      </c>
      <c r="C88" s="6" t="s">
        <v>674</v>
      </c>
      <c r="D88" s="6" t="s">
        <v>675</v>
      </c>
      <c r="E88" s="6" t="s">
        <v>676</v>
      </c>
      <c r="F88" s="13" t="s">
        <v>677</v>
      </c>
      <c r="G88" s="13"/>
      <c r="H88" s="13" t="s">
        <v>678</v>
      </c>
      <c r="I88" s="13"/>
      <c r="J88" s="7"/>
      <c r="K88" s="7"/>
      <c r="L88" s="7" t="s">
        <v>93</v>
      </c>
      <c r="M88" s="7" t="s">
        <v>93</v>
      </c>
      <c r="N88" s="10"/>
      <c r="O88" s="9" t="str">
        <f t="shared" si="1"/>
        <v/>
      </c>
      <c r="P88" s="11"/>
      <c r="Q88" s="12"/>
      <c r="R88" s="11"/>
      <c r="S88" s="7"/>
    </row>
    <row r="89" spans="1:19" ht="14.4" x14ac:dyDescent="0.3">
      <c r="A89" s="6" t="s">
        <v>270</v>
      </c>
      <c r="B89" s="6" t="s">
        <v>673</v>
      </c>
      <c r="C89" s="6" t="s">
        <v>679</v>
      </c>
      <c r="D89" s="6" t="s">
        <v>675</v>
      </c>
      <c r="E89" s="6" t="s">
        <v>680</v>
      </c>
      <c r="F89" s="13" t="s">
        <v>681</v>
      </c>
      <c r="G89" s="13"/>
      <c r="H89" s="13" t="s">
        <v>682</v>
      </c>
      <c r="I89" s="13"/>
      <c r="J89" s="7"/>
      <c r="K89" s="7"/>
      <c r="L89" s="7" t="s">
        <v>93</v>
      </c>
      <c r="M89" s="7" t="s">
        <v>93</v>
      </c>
      <c r="N89" s="10"/>
      <c r="O89" s="9" t="str">
        <f t="shared" si="1"/>
        <v/>
      </c>
      <c r="P89" s="11"/>
      <c r="Q89" s="12"/>
      <c r="R89" s="11"/>
      <c r="S89" s="7"/>
    </row>
    <row r="90" spans="1:19" ht="14.4" x14ac:dyDescent="0.3">
      <c r="A90" s="6" t="s">
        <v>292</v>
      </c>
      <c r="B90" s="6" t="s">
        <v>683</v>
      </c>
      <c r="C90" s="6" t="s">
        <v>684</v>
      </c>
      <c r="D90" s="6" t="s">
        <v>685</v>
      </c>
      <c r="E90" s="6" t="s">
        <v>686</v>
      </c>
      <c r="F90" s="13" t="s">
        <v>687</v>
      </c>
      <c r="G90" s="13" t="s">
        <v>688</v>
      </c>
      <c r="H90" s="13" t="s">
        <v>689</v>
      </c>
      <c r="I90" s="13"/>
      <c r="J90" s="7"/>
      <c r="K90" s="7"/>
      <c r="L90" s="7" t="s">
        <v>93</v>
      </c>
      <c r="M90" s="7" t="s">
        <v>93</v>
      </c>
      <c r="N90" s="10"/>
      <c r="O90" s="9" t="str">
        <f t="shared" si="1"/>
        <v/>
      </c>
      <c r="P90" s="11"/>
      <c r="Q90" s="12"/>
      <c r="R90" s="11"/>
      <c r="S90" s="7"/>
    </row>
    <row r="91" spans="1:19" ht="14.4" x14ac:dyDescent="0.3">
      <c r="A91" s="6" t="s">
        <v>292</v>
      </c>
      <c r="B91" s="6" t="s">
        <v>683</v>
      </c>
      <c r="C91" s="6" t="s">
        <v>690</v>
      </c>
      <c r="D91" s="6" t="s">
        <v>685</v>
      </c>
      <c r="E91" s="6" t="s">
        <v>691</v>
      </c>
      <c r="F91" s="13" t="s">
        <v>692</v>
      </c>
      <c r="G91" s="13" t="s">
        <v>693</v>
      </c>
      <c r="H91" s="13" t="s">
        <v>694</v>
      </c>
      <c r="I91" s="13"/>
      <c r="J91" s="7"/>
      <c r="K91" s="7"/>
      <c r="L91" s="7" t="s">
        <v>93</v>
      </c>
      <c r="M91" s="7" t="s">
        <v>93</v>
      </c>
      <c r="N91" s="10"/>
      <c r="O91" s="9" t="str">
        <f t="shared" si="1"/>
        <v/>
      </c>
      <c r="P91" s="11"/>
      <c r="Q91" s="12"/>
      <c r="R91" s="11"/>
      <c r="S91" s="7"/>
    </row>
    <row r="92" spans="1:19" ht="14.4" x14ac:dyDescent="0.3">
      <c r="A92" s="6" t="s">
        <v>292</v>
      </c>
      <c r="B92" s="6" t="s">
        <v>683</v>
      </c>
      <c r="C92" s="6" t="s">
        <v>695</v>
      </c>
      <c r="D92" s="6" t="s">
        <v>685</v>
      </c>
      <c r="E92" s="6" t="s">
        <v>696</v>
      </c>
      <c r="F92" s="13" t="s">
        <v>697</v>
      </c>
      <c r="G92" s="13" t="s">
        <v>698</v>
      </c>
      <c r="H92" s="13" t="s">
        <v>699</v>
      </c>
      <c r="I92" s="13" t="s">
        <v>700</v>
      </c>
      <c r="J92" s="7"/>
      <c r="K92" s="7"/>
      <c r="L92" s="7" t="s">
        <v>93</v>
      </c>
      <c r="M92" s="7" t="s">
        <v>93</v>
      </c>
      <c r="N92" s="10"/>
      <c r="O92" s="9" t="str">
        <f t="shared" si="1"/>
        <v/>
      </c>
      <c r="P92" s="11"/>
      <c r="Q92" s="12"/>
      <c r="R92" s="11"/>
      <c r="S92" s="7"/>
    </row>
    <row r="93" spans="1:19" ht="14.4" x14ac:dyDescent="0.3">
      <c r="A93" s="6" t="s">
        <v>292</v>
      </c>
      <c r="B93" s="6" t="s">
        <v>683</v>
      </c>
      <c r="C93" s="6" t="s">
        <v>701</v>
      </c>
      <c r="D93" s="6" t="s">
        <v>685</v>
      </c>
      <c r="E93" s="6" t="s">
        <v>702</v>
      </c>
      <c r="F93" s="13" t="s">
        <v>703</v>
      </c>
      <c r="G93" s="13" t="s">
        <v>424</v>
      </c>
      <c r="H93" s="13"/>
      <c r="I93" s="13"/>
      <c r="J93" s="7"/>
      <c r="K93" s="7"/>
      <c r="L93" s="7" t="s">
        <v>93</v>
      </c>
      <c r="M93" s="7" t="s">
        <v>93</v>
      </c>
      <c r="N93" s="10"/>
      <c r="O93" s="9" t="str">
        <f t="shared" si="1"/>
        <v/>
      </c>
      <c r="P93" s="11"/>
      <c r="Q93" s="12"/>
      <c r="R93" s="11"/>
      <c r="S93" s="7"/>
    </row>
    <row r="94" spans="1:19" ht="14.4" x14ac:dyDescent="0.3">
      <c r="A94" s="6" t="s">
        <v>292</v>
      </c>
      <c r="B94" s="6" t="s">
        <v>683</v>
      </c>
      <c r="C94" s="6" t="s">
        <v>704</v>
      </c>
      <c r="D94" s="6" t="s">
        <v>685</v>
      </c>
      <c r="E94" s="6" t="s">
        <v>705</v>
      </c>
      <c r="F94" s="13" t="s">
        <v>428</v>
      </c>
      <c r="G94" s="13" t="s">
        <v>706</v>
      </c>
      <c r="H94" s="13" t="s">
        <v>707</v>
      </c>
      <c r="I94" s="13" t="s">
        <v>708</v>
      </c>
      <c r="J94" s="7"/>
      <c r="K94" s="7"/>
      <c r="L94" s="7" t="s">
        <v>93</v>
      </c>
      <c r="M94" s="7" t="s">
        <v>93</v>
      </c>
      <c r="N94" s="10"/>
      <c r="O94" s="9" t="str">
        <f t="shared" si="1"/>
        <v/>
      </c>
      <c r="P94" s="11"/>
      <c r="Q94" s="12"/>
      <c r="R94" s="11"/>
      <c r="S94" s="7"/>
    </row>
    <row r="95" spans="1:19" ht="14.4" x14ac:dyDescent="0.3">
      <c r="A95" s="6" t="s">
        <v>292</v>
      </c>
      <c r="B95" s="6" t="s">
        <v>683</v>
      </c>
      <c r="C95" s="6" t="s">
        <v>710</v>
      </c>
      <c r="D95" s="6" t="s">
        <v>685</v>
      </c>
      <c r="E95" s="6" t="s">
        <v>711</v>
      </c>
      <c r="F95" s="13" t="s">
        <v>712</v>
      </c>
      <c r="G95" s="13" t="s">
        <v>713</v>
      </c>
      <c r="H95" s="13" t="s">
        <v>714</v>
      </c>
      <c r="I95" s="13"/>
      <c r="J95" s="7"/>
      <c r="K95" s="7"/>
      <c r="L95" s="7" t="s">
        <v>93</v>
      </c>
      <c r="M95" s="7" t="s">
        <v>93</v>
      </c>
      <c r="N95" s="10"/>
      <c r="O95" s="9" t="str">
        <f t="shared" si="1"/>
        <v/>
      </c>
      <c r="P95" s="11"/>
      <c r="Q95" s="12"/>
      <c r="R95" s="11"/>
      <c r="S95" s="7"/>
    </row>
    <row r="96" spans="1:19" ht="14.4" x14ac:dyDescent="0.3">
      <c r="A96" s="6" t="s">
        <v>292</v>
      </c>
      <c r="B96" s="6" t="s">
        <v>683</v>
      </c>
      <c r="C96" s="6" t="s">
        <v>715</v>
      </c>
      <c r="D96" s="6" t="s">
        <v>685</v>
      </c>
      <c r="E96" s="6" t="s">
        <v>716</v>
      </c>
      <c r="F96" s="13" t="s">
        <v>712</v>
      </c>
      <c r="G96" s="13" t="s">
        <v>506</v>
      </c>
      <c r="H96" s="13" t="s">
        <v>717</v>
      </c>
      <c r="I96" s="13"/>
      <c r="J96" s="7"/>
      <c r="K96" s="7"/>
      <c r="L96" s="7" t="s">
        <v>93</v>
      </c>
      <c r="M96" s="7" t="s">
        <v>93</v>
      </c>
      <c r="N96" s="10"/>
      <c r="O96" s="9" t="str">
        <f t="shared" si="1"/>
        <v/>
      </c>
      <c r="P96" s="11"/>
      <c r="Q96" s="12"/>
      <c r="R96" s="11"/>
      <c r="S96" s="7"/>
    </row>
    <row r="97" spans="1:19" ht="14.4" x14ac:dyDescent="0.3">
      <c r="A97" s="6" t="s">
        <v>292</v>
      </c>
      <c r="B97" s="6" t="s">
        <v>683</v>
      </c>
      <c r="C97" s="6" t="s">
        <v>718</v>
      </c>
      <c r="D97" s="6" t="s">
        <v>685</v>
      </c>
      <c r="E97" s="6" t="s">
        <v>719</v>
      </c>
      <c r="F97" s="13" t="s">
        <v>720</v>
      </c>
      <c r="G97" s="13" t="s">
        <v>721</v>
      </c>
      <c r="H97" s="13" t="s">
        <v>722</v>
      </c>
      <c r="I97" s="13" t="s">
        <v>723</v>
      </c>
      <c r="J97" s="7"/>
      <c r="K97" s="7"/>
      <c r="L97" s="7" t="s">
        <v>93</v>
      </c>
      <c r="M97" s="7" t="s">
        <v>93</v>
      </c>
      <c r="N97" s="10"/>
      <c r="O97" s="9" t="str">
        <f t="shared" si="1"/>
        <v/>
      </c>
      <c r="P97" s="11"/>
      <c r="Q97" s="12"/>
      <c r="R97" s="11"/>
      <c r="S97" s="7"/>
    </row>
    <row r="98" spans="1:19" ht="14.4" x14ac:dyDescent="0.3">
      <c r="A98" s="6" t="s">
        <v>292</v>
      </c>
      <c r="B98" s="6" t="s">
        <v>683</v>
      </c>
      <c r="C98" s="6" t="s">
        <v>724</v>
      </c>
      <c r="D98" s="6" t="s">
        <v>685</v>
      </c>
      <c r="E98" s="6" t="s">
        <v>725</v>
      </c>
      <c r="F98" s="13" t="s">
        <v>658</v>
      </c>
      <c r="G98" s="13" t="s">
        <v>726</v>
      </c>
      <c r="H98" s="13" t="s">
        <v>727</v>
      </c>
      <c r="I98" s="13" t="s">
        <v>728</v>
      </c>
      <c r="J98" s="7"/>
      <c r="K98" s="7"/>
      <c r="L98" s="7" t="s">
        <v>93</v>
      </c>
      <c r="M98" s="7" t="s">
        <v>93</v>
      </c>
      <c r="N98" s="10"/>
      <c r="O98" s="9" t="str">
        <f t="shared" si="1"/>
        <v/>
      </c>
      <c r="P98" s="11"/>
      <c r="Q98" s="12"/>
      <c r="R98" s="11"/>
      <c r="S98" s="7"/>
    </row>
    <row r="99" spans="1:19" ht="14.4" x14ac:dyDescent="0.3">
      <c r="A99" s="6" t="s">
        <v>270</v>
      </c>
      <c r="B99" s="6" t="s">
        <v>729</v>
      </c>
      <c r="C99" s="6" t="s">
        <v>730</v>
      </c>
      <c r="D99" s="6" t="s">
        <v>88</v>
      </c>
      <c r="E99" s="6" t="s">
        <v>731</v>
      </c>
      <c r="F99" s="13" t="s">
        <v>732</v>
      </c>
      <c r="G99" s="13" t="s">
        <v>733</v>
      </c>
      <c r="H99" s="13" t="s">
        <v>734</v>
      </c>
      <c r="I99" s="13"/>
      <c r="J99" s="7"/>
      <c r="K99" s="7"/>
      <c r="L99" s="7" t="s">
        <v>93</v>
      </c>
      <c r="M99" s="7" t="s">
        <v>93</v>
      </c>
      <c r="N99" s="10"/>
      <c r="O99" s="9" t="str">
        <f t="shared" si="1"/>
        <v/>
      </c>
      <c r="P99" s="11"/>
      <c r="Q99" s="12"/>
      <c r="R99" s="11"/>
      <c r="S99" s="7"/>
    </row>
    <row r="100" spans="1:19" ht="14.4" x14ac:dyDescent="0.3">
      <c r="A100" s="6" t="s">
        <v>270</v>
      </c>
      <c r="B100" s="6" t="s">
        <v>729</v>
      </c>
      <c r="C100" s="6" t="s">
        <v>735</v>
      </c>
      <c r="D100" s="6" t="s">
        <v>88</v>
      </c>
      <c r="E100" s="6" t="s">
        <v>736</v>
      </c>
      <c r="F100" s="13" t="s">
        <v>737</v>
      </c>
      <c r="G100" s="13" t="s">
        <v>738</v>
      </c>
      <c r="H100" s="13" t="s">
        <v>739</v>
      </c>
      <c r="I100" s="13"/>
      <c r="J100" s="7"/>
      <c r="K100" s="7"/>
      <c r="L100" s="7" t="s">
        <v>93</v>
      </c>
      <c r="M100" s="7" t="s">
        <v>93</v>
      </c>
      <c r="N100" s="10"/>
      <c r="O100" s="9" t="str">
        <f t="shared" si="1"/>
        <v/>
      </c>
      <c r="P100" s="11"/>
      <c r="Q100" s="12"/>
      <c r="R100" s="11"/>
      <c r="S100" s="7"/>
    </row>
    <row r="101" spans="1:19" ht="14.4" x14ac:dyDescent="0.3">
      <c r="A101" s="6" t="s">
        <v>270</v>
      </c>
      <c r="B101" s="6" t="s">
        <v>729</v>
      </c>
      <c r="C101" s="6" t="s">
        <v>740</v>
      </c>
      <c r="D101" s="6" t="s">
        <v>88</v>
      </c>
      <c r="E101" s="6" t="s">
        <v>741</v>
      </c>
      <c r="F101" s="13" t="s">
        <v>567</v>
      </c>
      <c r="G101" s="13" t="s">
        <v>742</v>
      </c>
      <c r="H101" s="13" t="s">
        <v>743</v>
      </c>
      <c r="I101" s="13" t="s">
        <v>744</v>
      </c>
      <c r="J101" s="7"/>
      <c r="K101" s="7"/>
      <c r="L101" s="7" t="s">
        <v>93</v>
      </c>
      <c r="M101" s="7" t="s">
        <v>93</v>
      </c>
      <c r="N101" s="10"/>
      <c r="O101" s="9" t="str">
        <f t="shared" si="1"/>
        <v/>
      </c>
      <c r="P101" s="11"/>
      <c r="Q101" s="12"/>
      <c r="R101" s="11"/>
      <c r="S101" s="7"/>
    </row>
    <row r="102" spans="1:19" ht="14.4" x14ac:dyDescent="0.3">
      <c r="A102" s="6" t="s">
        <v>270</v>
      </c>
      <c r="B102" s="6" t="s">
        <v>729</v>
      </c>
      <c r="C102" s="6" t="s">
        <v>745</v>
      </c>
      <c r="D102" s="6" t="s">
        <v>88</v>
      </c>
      <c r="E102" s="6" t="s">
        <v>746</v>
      </c>
      <c r="F102" s="13" t="s">
        <v>747</v>
      </c>
      <c r="G102" s="13" t="s">
        <v>748</v>
      </c>
      <c r="H102" s="13" t="s">
        <v>749</v>
      </c>
      <c r="I102" s="13" t="s">
        <v>750</v>
      </c>
      <c r="J102" s="7"/>
      <c r="K102" s="7"/>
      <c r="L102" s="7" t="s">
        <v>93</v>
      </c>
      <c r="M102" s="7" t="s">
        <v>93</v>
      </c>
      <c r="N102" s="10"/>
      <c r="O102" s="9" t="str">
        <f t="shared" si="1"/>
        <v/>
      </c>
      <c r="P102" s="11"/>
      <c r="Q102" s="12"/>
      <c r="R102" s="11"/>
      <c r="S102" s="7"/>
    </row>
    <row r="103" spans="1:19" ht="14.4" x14ac:dyDescent="0.3">
      <c r="A103" s="6" t="s">
        <v>270</v>
      </c>
      <c r="B103" s="6" t="s">
        <v>729</v>
      </c>
      <c r="C103" s="6" t="s">
        <v>751</v>
      </c>
      <c r="D103" s="6" t="s">
        <v>88</v>
      </c>
      <c r="E103" s="6" t="s">
        <v>752</v>
      </c>
      <c r="F103" s="13" t="s">
        <v>753</v>
      </c>
      <c r="G103" s="13" t="s">
        <v>754</v>
      </c>
      <c r="H103" s="13" t="s">
        <v>755</v>
      </c>
      <c r="I103" s="13"/>
      <c r="J103" s="7"/>
      <c r="K103" s="7"/>
      <c r="L103" s="7" t="s">
        <v>93</v>
      </c>
      <c r="M103" s="7" t="s">
        <v>93</v>
      </c>
      <c r="N103" s="10"/>
      <c r="O103" s="9" t="str">
        <f t="shared" si="1"/>
        <v/>
      </c>
      <c r="P103" s="11"/>
      <c r="Q103" s="12"/>
      <c r="R103" s="11"/>
      <c r="S103" s="7"/>
    </row>
    <row r="104" spans="1:19" ht="14.4" x14ac:dyDescent="0.3">
      <c r="A104" s="6" t="s">
        <v>270</v>
      </c>
      <c r="B104" s="6" t="s">
        <v>729</v>
      </c>
      <c r="C104" s="6" t="s">
        <v>756</v>
      </c>
      <c r="D104" s="6" t="s">
        <v>88</v>
      </c>
      <c r="E104" s="6" t="s">
        <v>757</v>
      </c>
      <c r="F104" s="13" t="s">
        <v>758</v>
      </c>
      <c r="G104" s="13" t="s">
        <v>759</v>
      </c>
      <c r="H104" s="13" t="s">
        <v>760</v>
      </c>
      <c r="I104" s="13"/>
      <c r="J104" s="7"/>
      <c r="K104" s="7"/>
      <c r="L104" s="7" t="s">
        <v>93</v>
      </c>
      <c r="M104" s="7" t="s">
        <v>93</v>
      </c>
      <c r="N104" s="10"/>
      <c r="O104" s="9" t="str">
        <f t="shared" si="1"/>
        <v/>
      </c>
      <c r="P104" s="11"/>
      <c r="Q104" s="12"/>
      <c r="R104" s="11"/>
      <c r="S104" s="7"/>
    </row>
    <row r="105" spans="1:19" ht="14.4" x14ac:dyDescent="0.3">
      <c r="A105" s="6" t="s">
        <v>270</v>
      </c>
      <c r="B105" s="6" t="s">
        <v>729</v>
      </c>
      <c r="C105" s="6" t="s">
        <v>761</v>
      </c>
      <c r="D105" s="6" t="s">
        <v>88</v>
      </c>
      <c r="E105" s="6" t="s">
        <v>762</v>
      </c>
      <c r="F105" s="13" t="s">
        <v>687</v>
      </c>
      <c r="G105" s="13" t="s">
        <v>763</v>
      </c>
      <c r="H105" s="13" t="s">
        <v>764</v>
      </c>
      <c r="I105" s="13" t="s">
        <v>765</v>
      </c>
      <c r="J105" s="7"/>
      <c r="K105" s="7"/>
      <c r="L105" s="7" t="s">
        <v>93</v>
      </c>
      <c r="M105" s="7" t="s">
        <v>93</v>
      </c>
      <c r="N105" s="10"/>
      <c r="O105" s="9" t="str">
        <f t="shared" si="1"/>
        <v/>
      </c>
      <c r="P105" s="11"/>
      <c r="Q105" s="12"/>
      <c r="R105" s="11"/>
      <c r="S105" s="7"/>
    </row>
    <row r="106" spans="1:19" ht="14.4" x14ac:dyDescent="0.3">
      <c r="A106" s="6" t="s">
        <v>270</v>
      </c>
      <c r="B106" s="6" t="s">
        <v>729</v>
      </c>
      <c r="C106" s="6" t="s">
        <v>766</v>
      </c>
      <c r="D106" s="6" t="s">
        <v>88</v>
      </c>
      <c r="E106" s="6" t="s">
        <v>767</v>
      </c>
      <c r="F106" s="13" t="s">
        <v>687</v>
      </c>
      <c r="G106" s="13" t="s">
        <v>236</v>
      </c>
      <c r="H106" s="13" t="s">
        <v>768</v>
      </c>
      <c r="I106" s="13"/>
      <c r="J106" s="7"/>
      <c r="K106" s="7"/>
      <c r="L106" s="7" t="s">
        <v>93</v>
      </c>
      <c r="M106" s="7" t="s">
        <v>93</v>
      </c>
      <c r="N106" s="10"/>
      <c r="O106" s="9" t="str">
        <f t="shared" si="1"/>
        <v/>
      </c>
      <c r="P106" s="11"/>
      <c r="Q106" s="12"/>
      <c r="R106" s="11"/>
      <c r="S106" s="7"/>
    </row>
    <row r="107" spans="1:19" ht="14.4" x14ac:dyDescent="0.3">
      <c r="A107" s="6" t="s">
        <v>270</v>
      </c>
      <c r="B107" s="6" t="s">
        <v>729</v>
      </c>
      <c r="C107" s="6" t="s">
        <v>769</v>
      </c>
      <c r="D107" s="6" t="s">
        <v>88</v>
      </c>
      <c r="E107" s="6" t="s">
        <v>770</v>
      </c>
      <c r="F107" s="13" t="s">
        <v>771</v>
      </c>
      <c r="G107" s="13" t="s">
        <v>772</v>
      </c>
      <c r="H107" s="13" t="s">
        <v>773</v>
      </c>
      <c r="I107" s="13"/>
      <c r="J107" s="7"/>
      <c r="K107" s="7"/>
      <c r="L107" s="7" t="s">
        <v>93</v>
      </c>
      <c r="M107" s="7" t="s">
        <v>93</v>
      </c>
      <c r="N107" s="10"/>
      <c r="O107" s="9" t="str">
        <f t="shared" si="1"/>
        <v/>
      </c>
      <c r="P107" s="11"/>
      <c r="Q107" s="12"/>
      <c r="R107" s="11"/>
      <c r="S107" s="7"/>
    </row>
    <row r="108" spans="1:19" ht="14.4" x14ac:dyDescent="0.3">
      <c r="A108" s="6" t="s">
        <v>270</v>
      </c>
      <c r="B108" s="6" t="s">
        <v>729</v>
      </c>
      <c r="C108" s="6" t="s">
        <v>774</v>
      </c>
      <c r="D108" s="6" t="s">
        <v>88</v>
      </c>
      <c r="E108" s="6" t="s">
        <v>775</v>
      </c>
      <c r="F108" s="13" t="s">
        <v>458</v>
      </c>
      <c r="G108" s="13" t="s">
        <v>776</v>
      </c>
      <c r="H108" s="13" t="s">
        <v>777</v>
      </c>
      <c r="I108" s="13"/>
      <c r="J108" s="7"/>
      <c r="K108" s="7"/>
      <c r="L108" s="7" t="s">
        <v>93</v>
      </c>
      <c r="M108" s="7" t="s">
        <v>93</v>
      </c>
      <c r="N108" s="10"/>
      <c r="O108" s="9" t="str">
        <f t="shared" si="1"/>
        <v/>
      </c>
      <c r="P108" s="11"/>
      <c r="Q108" s="12"/>
      <c r="R108" s="11"/>
      <c r="S108" s="7"/>
    </row>
    <row r="109" spans="1:19" ht="14.4" x14ac:dyDescent="0.3">
      <c r="A109" s="6" t="s">
        <v>270</v>
      </c>
      <c r="B109" s="6" t="s">
        <v>729</v>
      </c>
      <c r="C109" s="6" t="s">
        <v>778</v>
      </c>
      <c r="D109" s="6" t="s">
        <v>88</v>
      </c>
      <c r="E109" s="6" t="s">
        <v>779</v>
      </c>
      <c r="F109" s="13" t="s">
        <v>780</v>
      </c>
      <c r="G109" s="13" t="s">
        <v>781</v>
      </c>
      <c r="H109" s="13" t="s">
        <v>782</v>
      </c>
      <c r="I109" s="13"/>
      <c r="J109" s="7"/>
      <c r="K109" s="7"/>
      <c r="L109" s="7" t="s">
        <v>93</v>
      </c>
      <c r="M109" s="7" t="s">
        <v>93</v>
      </c>
      <c r="N109" s="10"/>
      <c r="O109" s="9" t="str">
        <f t="shared" si="1"/>
        <v/>
      </c>
      <c r="P109" s="11"/>
      <c r="Q109" s="12"/>
      <c r="R109" s="11"/>
      <c r="S109" s="7"/>
    </row>
    <row r="110" spans="1:19" ht="14.4" x14ac:dyDescent="0.3">
      <c r="A110" s="6" t="s">
        <v>270</v>
      </c>
      <c r="B110" s="6" t="s">
        <v>729</v>
      </c>
      <c r="C110" s="6" t="s">
        <v>783</v>
      </c>
      <c r="D110" s="6" t="s">
        <v>88</v>
      </c>
      <c r="E110" s="6" t="s">
        <v>784</v>
      </c>
      <c r="F110" s="13" t="s">
        <v>279</v>
      </c>
      <c r="G110" s="13" t="s">
        <v>785</v>
      </c>
      <c r="H110" s="13" t="s">
        <v>786</v>
      </c>
      <c r="I110" s="13"/>
      <c r="J110" s="7"/>
      <c r="K110" s="7"/>
      <c r="L110" s="7" t="s">
        <v>93</v>
      </c>
      <c r="M110" s="7" t="s">
        <v>93</v>
      </c>
      <c r="N110" s="10"/>
      <c r="O110" s="9" t="str">
        <f t="shared" si="1"/>
        <v/>
      </c>
      <c r="P110" s="11"/>
      <c r="Q110" s="12"/>
      <c r="R110" s="11"/>
      <c r="S110" s="7"/>
    </row>
    <row r="111" spans="1:19" ht="14.4" x14ac:dyDescent="0.3">
      <c r="A111" s="6" t="s">
        <v>270</v>
      </c>
      <c r="B111" s="6" t="s">
        <v>729</v>
      </c>
      <c r="C111" s="6" t="s">
        <v>787</v>
      </c>
      <c r="D111" s="6" t="s">
        <v>88</v>
      </c>
      <c r="E111" s="6" t="s">
        <v>788</v>
      </c>
      <c r="F111" s="13" t="s">
        <v>789</v>
      </c>
      <c r="G111" s="13" t="s">
        <v>790</v>
      </c>
      <c r="H111" s="13"/>
      <c r="I111" s="13"/>
      <c r="J111" s="7"/>
      <c r="K111" s="7"/>
      <c r="L111" s="7" t="s">
        <v>93</v>
      </c>
      <c r="M111" s="7" t="s">
        <v>93</v>
      </c>
      <c r="N111" s="10"/>
      <c r="O111" s="9" t="str">
        <f t="shared" si="1"/>
        <v/>
      </c>
      <c r="P111" s="11"/>
      <c r="Q111" s="12"/>
      <c r="R111" s="11"/>
      <c r="S111" s="7"/>
    </row>
    <row r="112" spans="1:19" ht="14.4" x14ac:dyDescent="0.3">
      <c r="A112" s="6" t="s">
        <v>270</v>
      </c>
      <c r="B112" s="6" t="s">
        <v>729</v>
      </c>
      <c r="C112" s="6" t="s">
        <v>791</v>
      </c>
      <c r="D112" s="6" t="s">
        <v>88</v>
      </c>
      <c r="E112" s="6" t="s">
        <v>792</v>
      </c>
      <c r="F112" s="13" t="s">
        <v>793</v>
      </c>
      <c r="G112" s="13" t="s">
        <v>794</v>
      </c>
      <c r="H112" s="13" t="s">
        <v>795</v>
      </c>
      <c r="I112" s="13" t="s">
        <v>796</v>
      </c>
      <c r="J112" s="7"/>
      <c r="K112" s="7"/>
      <c r="L112" s="7" t="s">
        <v>93</v>
      </c>
      <c r="M112" s="7" t="s">
        <v>93</v>
      </c>
      <c r="N112" s="10"/>
      <c r="O112" s="9" t="str">
        <f t="shared" si="1"/>
        <v/>
      </c>
      <c r="P112" s="11"/>
      <c r="Q112" s="12"/>
      <c r="R112" s="11"/>
      <c r="S112" s="7"/>
    </row>
    <row r="113" spans="1:19" ht="14.4" x14ac:dyDescent="0.3">
      <c r="A113" s="6" t="s">
        <v>270</v>
      </c>
      <c r="B113" s="6" t="s">
        <v>729</v>
      </c>
      <c r="C113" s="6" t="s">
        <v>798</v>
      </c>
      <c r="D113" s="6" t="s">
        <v>88</v>
      </c>
      <c r="E113" s="6" t="s">
        <v>799</v>
      </c>
      <c r="F113" s="13" t="s">
        <v>800</v>
      </c>
      <c r="G113" s="13" t="s">
        <v>801</v>
      </c>
      <c r="H113" s="13" t="s">
        <v>802</v>
      </c>
      <c r="I113" s="13" t="s">
        <v>803</v>
      </c>
      <c r="J113" s="7"/>
      <c r="K113" s="7"/>
      <c r="L113" s="7" t="s">
        <v>93</v>
      </c>
      <c r="M113" s="7" t="s">
        <v>93</v>
      </c>
      <c r="N113" s="10"/>
      <c r="O113" s="9" t="str">
        <f t="shared" si="1"/>
        <v/>
      </c>
      <c r="P113" s="11"/>
      <c r="Q113" s="12"/>
      <c r="R113" s="11"/>
      <c r="S113" s="7"/>
    </row>
    <row r="114" spans="1:19" ht="14.4" x14ac:dyDescent="0.3">
      <c r="A114" s="6" t="s">
        <v>270</v>
      </c>
      <c r="B114" s="6" t="s">
        <v>729</v>
      </c>
      <c r="C114" s="6" t="s">
        <v>805</v>
      </c>
      <c r="D114" s="6" t="s">
        <v>88</v>
      </c>
      <c r="E114" s="6" t="s">
        <v>806</v>
      </c>
      <c r="F114" s="13" t="s">
        <v>807</v>
      </c>
      <c r="G114" s="13" t="s">
        <v>808</v>
      </c>
      <c r="H114" s="13" t="s">
        <v>809</v>
      </c>
      <c r="I114" s="13"/>
      <c r="J114" s="7"/>
      <c r="K114" s="7"/>
      <c r="L114" s="7" t="s">
        <v>93</v>
      </c>
      <c r="M114" s="7" t="s">
        <v>93</v>
      </c>
      <c r="N114" s="10"/>
      <c r="O114" s="9" t="str">
        <f t="shared" si="1"/>
        <v/>
      </c>
      <c r="P114" s="11"/>
      <c r="Q114" s="12"/>
      <c r="R114" s="11"/>
      <c r="S114" s="7"/>
    </row>
    <row r="115" spans="1:19" ht="14.4" x14ac:dyDescent="0.3">
      <c r="A115" s="6" t="s">
        <v>270</v>
      </c>
      <c r="B115" s="6" t="s">
        <v>729</v>
      </c>
      <c r="C115" s="6" t="s">
        <v>810</v>
      </c>
      <c r="D115" s="6" t="s">
        <v>88</v>
      </c>
      <c r="E115" s="6" t="s">
        <v>811</v>
      </c>
      <c r="F115" s="13" t="s">
        <v>812</v>
      </c>
      <c r="G115" s="13" t="s">
        <v>813</v>
      </c>
      <c r="H115" s="13" t="s">
        <v>814</v>
      </c>
      <c r="I115" s="13"/>
      <c r="J115" s="7"/>
      <c r="K115" s="7"/>
      <c r="L115" s="7" t="s">
        <v>93</v>
      </c>
      <c r="M115" s="7" t="s">
        <v>93</v>
      </c>
      <c r="N115" s="10"/>
      <c r="O115" s="9" t="str">
        <f t="shared" si="1"/>
        <v/>
      </c>
      <c r="P115" s="11"/>
      <c r="Q115" s="12"/>
      <c r="R115" s="11"/>
      <c r="S115" s="7"/>
    </row>
    <row r="116" spans="1:19" ht="14.4" x14ac:dyDescent="0.3">
      <c r="A116" s="6" t="s">
        <v>270</v>
      </c>
      <c r="B116" s="6" t="s">
        <v>729</v>
      </c>
      <c r="C116" s="6" t="s">
        <v>815</v>
      </c>
      <c r="D116" s="6" t="s">
        <v>88</v>
      </c>
      <c r="E116" s="6" t="s">
        <v>816</v>
      </c>
      <c r="F116" s="13" t="s">
        <v>817</v>
      </c>
      <c r="G116" s="13" t="s">
        <v>818</v>
      </c>
      <c r="H116" s="13" t="s">
        <v>819</v>
      </c>
      <c r="I116" s="13"/>
      <c r="J116" s="7"/>
      <c r="K116" s="7"/>
      <c r="L116" s="7" t="s">
        <v>93</v>
      </c>
      <c r="M116" s="7" t="s">
        <v>93</v>
      </c>
      <c r="N116" s="10"/>
      <c r="O116" s="9" t="str">
        <f t="shared" si="1"/>
        <v/>
      </c>
      <c r="P116" s="11"/>
      <c r="Q116" s="12"/>
      <c r="R116" s="11"/>
      <c r="S116" s="7"/>
    </row>
    <row r="117" spans="1:19" ht="14.4" x14ac:dyDescent="0.3">
      <c r="A117" s="6" t="s">
        <v>270</v>
      </c>
      <c r="B117" s="6" t="s">
        <v>729</v>
      </c>
      <c r="C117" s="6" t="s">
        <v>820</v>
      </c>
      <c r="D117" s="6" t="s">
        <v>88</v>
      </c>
      <c r="E117" s="6" t="s">
        <v>821</v>
      </c>
      <c r="F117" s="13" t="s">
        <v>822</v>
      </c>
      <c r="G117" s="13" t="s">
        <v>823</v>
      </c>
      <c r="H117" s="13"/>
      <c r="I117" s="13"/>
      <c r="J117" s="7"/>
      <c r="K117" s="7"/>
      <c r="L117" s="7" t="s">
        <v>93</v>
      </c>
      <c r="M117" s="7" t="s">
        <v>93</v>
      </c>
      <c r="N117" s="10"/>
      <c r="O117" s="9" t="str">
        <f t="shared" si="1"/>
        <v/>
      </c>
      <c r="P117" s="11"/>
      <c r="Q117" s="12"/>
      <c r="R117" s="11"/>
      <c r="S117" s="7"/>
    </row>
    <row r="118" spans="1:19" ht="14.4" x14ac:dyDescent="0.3">
      <c r="A118" s="6" t="s">
        <v>270</v>
      </c>
      <c r="B118" s="6" t="s">
        <v>729</v>
      </c>
      <c r="C118" s="6" t="s">
        <v>824</v>
      </c>
      <c r="D118" s="6" t="s">
        <v>88</v>
      </c>
      <c r="E118" s="6" t="s">
        <v>825</v>
      </c>
      <c r="F118" s="13" t="s">
        <v>311</v>
      </c>
      <c r="G118" s="13" t="s">
        <v>826</v>
      </c>
      <c r="H118" s="13" t="s">
        <v>827</v>
      </c>
      <c r="I118" s="13"/>
      <c r="J118" s="7"/>
      <c r="K118" s="7"/>
      <c r="L118" s="7" t="s">
        <v>93</v>
      </c>
      <c r="M118" s="7" t="s">
        <v>93</v>
      </c>
      <c r="N118" s="10"/>
      <c r="O118" s="9" t="str">
        <f t="shared" si="1"/>
        <v/>
      </c>
      <c r="P118" s="11"/>
      <c r="Q118" s="12"/>
      <c r="R118" s="11"/>
      <c r="S118" s="7"/>
    </row>
    <row r="119" spans="1:19" ht="14.4" x14ac:dyDescent="0.3">
      <c r="A119" s="6" t="s">
        <v>270</v>
      </c>
      <c r="B119" s="6" t="s">
        <v>729</v>
      </c>
      <c r="C119" s="6" t="s">
        <v>828</v>
      </c>
      <c r="D119" s="6" t="s">
        <v>88</v>
      </c>
      <c r="E119" s="6" t="s">
        <v>829</v>
      </c>
      <c r="F119" s="13" t="s">
        <v>830</v>
      </c>
      <c r="G119" s="13" t="s">
        <v>831</v>
      </c>
      <c r="H119" s="13" t="s">
        <v>832</v>
      </c>
      <c r="I119" s="13"/>
      <c r="J119" s="7"/>
      <c r="K119" s="7"/>
      <c r="L119" s="7" t="s">
        <v>93</v>
      </c>
      <c r="M119" s="7" t="s">
        <v>93</v>
      </c>
      <c r="N119" s="10"/>
      <c r="O119" s="9" t="str">
        <f t="shared" si="1"/>
        <v/>
      </c>
      <c r="P119" s="11"/>
      <c r="Q119" s="12"/>
      <c r="R119" s="11"/>
      <c r="S119" s="7"/>
    </row>
    <row r="120" spans="1:19" ht="14.4" x14ac:dyDescent="0.3">
      <c r="A120" s="6" t="s">
        <v>270</v>
      </c>
      <c r="B120" s="6" t="s">
        <v>729</v>
      </c>
      <c r="C120" s="6" t="s">
        <v>833</v>
      </c>
      <c r="D120" s="6" t="s">
        <v>88</v>
      </c>
      <c r="E120" s="6" t="s">
        <v>834</v>
      </c>
      <c r="F120" s="13" t="s">
        <v>835</v>
      </c>
      <c r="G120" s="13" t="s">
        <v>836</v>
      </c>
      <c r="H120" s="13" t="s">
        <v>837</v>
      </c>
      <c r="I120" s="13"/>
      <c r="J120" s="7"/>
      <c r="K120" s="7"/>
      <c r="L120" s="7" t="s">
        <v>93</v>
      </c>
      <c r="M120" s="7" t="s">
        <v>93</v>
      </c>
      <c r="N120" s="10"/>
      <c r="O120" s="9" t="str">
        <f t="shared" si="1"/>
        <v/>
      </c>
      <c r="P120" s="11"/>
      <c r="Q120" s="12"/>
      <c r="R120" s="11"/>
      <c r="S120" s="7"/>
    </row>
    <row r="121" spans="1:19" ht="14.4" x14ac:dyDescent="0.3">
      <c r="A121" s="6" t="s">
        <v>270</v>
      </c>
      <c r="B121" s="6" t="s">
        <v>729</v>
      </c>
      <c r="C121" s="6" t="s">
        <v>839</v>
      </c>
      <c r="D121" s="6" t="s">
        <v>88</v>
      </c>
      <c r="E121" s="6" t="s">
        <v>840</v>
      </c>
      <c r="F121" s="13" t="s">
        <v>841</v>
      </c>
      <c r="G121" s="13" t="s">
        <v>219</v>
      </c>
      <c r="H121" s="13" t="s">
        <v>842</v>
      </c>
      <c r="I121" s="13"/>
      <c r="J121" s="7"/>
      <c r="K121" s="7"/>
      <c r="L121" s="7" t="s">
        <v>93</v>
      </c>
      <c r="M121" s="7" t="s">
        <v>93</v>
      </c>
      <c r="N121" s="10"/>
      <c r="O121" s="9" t="str">
        <f t="shared" si="1"/>
        <v/>
      </c>
      <c r="P121" s="11"/>
      <c r="Q121" s="12"/>
      <c r="R121" s="11"/>
      <c r="S121" s="7"/>
    </row>
    <row r="122" spans="1:19" ht="14.4" x14ac:dyDescent="0.3">
      <c r="A122" s="6" t="s">
        <v>270</v>
      </c>
      <c r="B122" s="6" t="s">
        <v>729</v>
      </c>
      <c r="C122" s="6" t="s">
        <v>843</v>
      </c>
      <c r="D122" s="6" t="s">
        <v>88</v>
      </c>
      <c r="E122" s="6" t="s">
        <v>844</v>
      </c>
      <c r="F122" s="13" t="s">
        <v>845</v>
      </c>
      <c r="G122" s="13" t="s">
        <v>846</v>
      </c>
      <c r="H122" s="13" t="s">
        <v>847</v>
      </c>
      <c r="I122" s="13"/>
      <c r="J122" s="7"/>
      <c r="K122" s="7"/>
      <c r="L122" s="7" t="s">
        <v>93</v>
      </c>
      <c r="M122" s="7" t="s">
        <v>93</v>
      </c>
      <c r="N122" s="10"/>
      <c r="O122" s="9" t="str">
        <f t="shared" si="1"/>
        <v/>
      </c>
      <c r="P122" s="11"/>
      <c r="Q122" s="12"/>
      <c r="R122" s="11"/>
      <c r="S122" s="7"/>
    </row>
    <row r="123" spans="1:19" ht="14.4" x14ac:dyDescent="0.3">
      <c r="A123" s="6" t="s">
        <v>270</v>
      </c>
      <c r="B123" s="6" t="s">
        <v>729</v>
      </c>
      <c r="C123" s="6" t="s">
        <v>848</v>
      </c>
      <c r="D123" s="6" t="s">
        <v>88</v>
      </c>
      <c r="E123" s="6" t="s">
        <v>849</v>
      </c>
      <c r="F123" s="13" t="s">
        <v>850</v>
      </c>
      <c r="G123" s="13" t="s">
        <v>851</v>
      </c>
      <c r="H123" s="13" t="s">
        <v>852</v>
      </c>
      <c r="I123" s="13"/>
      <c r="J123" s="7"/>
      <c r="K123" s="7"/>
      <c r="L123" s="7" t="s">
        <v>93</v>
      </c>
      <c r="M123" s="7" t="s">
        <v>93</v>
      </c>
      <c r="N123" s="10"/>
      <c r="O123" s="9" t="str">
        <f t="shared" si="1"/>
        <v/>
      </c>
      <c r="P123" s="11"/>
      <c r="Q123" s="12"/>
      <c r="R123" s="11"/>
      <c r="S123" s="7"/>
    </row>
    <row r="124" spans="1:19" ht="14.4" x14ac:dyDescent="0.3">
      <c r="A124" s="6" t="s">
        <v>270</v>
      </c>
      <c r="B124" s="6" t="s">
        <v>729</v>
      </c>
      <c r="C124" s="6" t="s">
        <v>854</v>
      </c>
      <c r="D124" s="6" t="s">
        <v>88</v>
      </c>
      <c r="E124" s="6" t="s">
        <v>855</v>
      </c>
      <c r="F124" s="13" t="s">
        <v>856</v>
      </c>
      <c r="G124" s="13" t="s">
        <v>857</v>
      </c>
      <c r="H124" s="13" t="s">
        <v>858</v>
      </c>
      <c r="I124" s="13"/>
      <c r="J124" s="7"/>
      <c r="K124" s="7"/>
      <c r="L124" s="7" t="s">
        <v>93</v>
      </c>
      <c r="M124" s="7" t="s">
        <v>93</v>
      </c>
      <c r="N124" s="10"/>
      <c r="O124" s="9" t="str">
        <f t="shared" si="1"/>
        <v/>
      </c>
      <c r="P124" s="11"/>
      <c r="Q124" s="12"/>
      <c r="R124" s="11"/>
      <c r="S124" s="7"/>
    </row>
    <row r="125" spans="1:19" ht="14.4" x14ac:dyDescent="0.3">
      <c r="A125" s="6" t="s">
        <v>270</v>
      </c>
      <c r="B125" s="6" t="s">
        <v>729</v>
      </c>
      <c r="C125" s="6" t="s">
        <v>859</v>
      </c>
      <c r="D125" s="6" t="s">
        <v>88</v>
      </c>
      <c r="E125" s="6" t="s">
        <v>860</v>
      </c>
      <c r="F125" s="13"/>
      <c r="G125" s="13"/>
      <c r="H125" s="13"/>
      <c r="I125" s="13"/>
      <c r="J125" s="7"/>
      <c r="K125" s="7"/>
      <c r="L125" s="7" t="s">
        <v>93</v>
      </c>
      <c r="M125" s="7" t="s">
        <v>93</v>
      </c>
      <c r="N125" s="10"/>
      <c r="O125" s="9" t="str">
        <f t="shared" si="1"/>
        <v/>
      </c>
      <c r="P125" s="11"/>
      <c r="Q125" s="12"/>
      <c r="R125" s="11"/>
      <c r="S125" s="7"/>
    </row>
    <row r="126" spans="1:19" ht="14.4" x14ac:dyDescent="0.3">
      <c r="A126" s="6" t="s">
        <v>270</v>
      </c>
      <c r="B126" s="6" t="s">
        <v>861</v>
      </c>
      <c r="C126" s="6" t="s">
        <v>862</v>
      </c>
      <c r="D126" s="6" t="s">
        <v>863</v>
      </c>
      <c r="E126" s="6" t="s">
        <v>864</v>
      </c>
      <c r="F126" s="13" t="s">
        <v>625</v>
      </c>
      <c r="G126" s="13" t="s">
        <v>865</v>
      </c>
      <c r="H126" s="13" t="s">
        <v>866</v>
      </c>
      <c r="I126" s="13" t="s">
        <v>867</v>
      </c>
      <c r="J126" s="7"/>
      <c r="K126" s="7"/>
      <c r="L126" s="7" t="s">
        <v>93</v>
      </c>
      <c r="M126" s="7" t="s">
        <v>93</v>
      </c>
      <c r="N126" s="10"/>
      <c r="O126" s="9" t="str">
        <f t="shared" si="1"/>
        <v/>
      </c>
      <c r="P126" s="11"/>
      <c r="Q126" s="12"/>
      <c r="R126" s="11"/>
      <c r="S126" s="7"/>
    </row>
    <row r="127" spans="1:19" ht="14.4" x14ac:dyDescent="0.3">
      <c r="A127" s="6" t="s">
        <v>270</v>
      </c>
      <c r="B127" s="6" t="s">
        <v>861</v>
      </c>
      <c r="C127" s="6" t="s">
        <v>869</v>
      </c>
      <c r="D127" s="6" t="s">
        <v>863</v>
      </c>
      <c r="E127" s="6" t="s">
        <v>870</v>
      </c>
      <c r="F127" s="13"/>
      <c r="G127" s="13"/>
      <c r="H127" s="13"/>
      <c r="I127" s="13"/>
      <c r="J127" s="7"/>
      <c r="K127" s="7"/>
      <c r="L127" s="7" t="s">
        <v>93</v>
      </c>
      <c r="M127" s="7" t="s">
        <v>93</v>
      </c>
      <c r="N127" s="10"/>
      <c r="O127" s="9" t="str">
        <f t="shared" si="1"/>
        <v/>
      </c>
      <c r="P127" s="11"/>
      <c r="Q127" s="12"/>
      <c r="R127" s="11"/>
      <c r="S127" s="7"/>
    </row>
    <row r="128" spans="1:19" ht="14.4" x14ac:dyDescent="0.3">
      <c r="A128" s="6" t="s">
        <v>270</v>
      </c>
      <c r="B128" s="6" t="s">
        <v>871</v>
      </c>
      <c r="C128" s="6" t="s">
        <v>872</v>
      </c>
      <c r="D128" s="6" t="s">
        <v>873</v>
      </c>
      <c r="E128" s="6" t="s">
        <v>874</v>
      </c>
      <c r="F128" s="13" t="s">
        <v>875</v>
      </c>
      <c r="G128" s="13" t="s">
        <v>876</v>
      </c>
      <c r="H128" s="13" t="s">
        <v>877</v>
      </c>
      <c r="I128" s="13"/>
      <c r="J128" s="7"/>
      <c r="K128" s="7"/>
      <c r="L128" s="7" t="s">
        <v>93</v>
      </c>
      <c r="M128" s="7" t="s">
        <v>93</v>
      </c>
      <c r="N128" s="10"/>
      <c r="O128" s="9" t="str">
        <f t="shared" si="1"/>
        <v/>
      </c>
      <c r="P128" s="11"/>
      <c r="Q128" s="12"/>
      <c r="R128" s="11"/>
      <c r="S128" s="7"/>
    </row>
    <row r="129" spans="1:19" ht="14.4" x14ac:dyDescent="0.3">
      <c r="A129" s="6" t="s">
        <v>270</v>
      </c>
      <c r="B129" s="6" t="s">
        <v>871</v>
      </c>
      <c r="C129" s="6" t="s">
        <v>878</v>
      </c>
      <c r="D129" s="6" t="s">
        <v>873</v>
      </c>
      <c r="E129" s="6" t="s">
        <v>879</v>
      </c>
      <c r="F129" s="13" t="s">
        <v>880</v>
      </c>
      <c r="G129" s="13" t="s">
        <v>881</v>
      </c>
      <c r="H129" s="13"/>
      <c r="I129" s="13"/>
      <c r="J129" s="7"/>
      <c r="K129" s="7"/>
      <c r="L129" s="7" t="s">
        <v>93</v>
      </c>
      <c r="M129" s="7" t="s">
        <v>93</v>
      </c>
      <c r="N129" s="10"/>
      <c r="O129" s="9" t="str">
        <f t="shared" si="1"/>
        <v/>
      </c>
      <c r="P129" s="11"/>
      <c r="Q129" s="12"/>
      <c r="R129" s="11"/>
      <c r="S129" s="7"/>
    </row>
    <row r="130" spans="1:19" ht="14.4" x14ac:dyDescent="0.3">
      <c r="A130" s="6" t="s">
        <v>270</v>
      </c>
      <c r="B130" s="6" t="s">
        <v>871</v>
      </c>
      <c r="C130" s="6" t="s">
        <v>882</v>
      </c>
      <c r="D130" s="6" t="s">
        <v>873</v>
      </c>
      <c r="E130" s="6" t="s">
        <v>883</v>
      </c>
      <c r="F130" s="13" t="s">
        <v>884</v>
      </c>
      <c r="G130" s="13" t="s">
        <v>885</v>
      </c>
      <c r="H130" s="13" t="s">
        <v>886</v>
      </c>
      <c r="I130" s="13"/>
      <c r="J130" s="7"/>
      <c r="K130" s="7"/>
      <c r="L130" s="7" t="s">
        <v>93</v>
      </c>
      <c r="M130" s="7" t="s">
        <v>93</v>
      </c>
      <c r="N130" s="10"/>
      <c r="O130" s="9" t="str">
        <f t="shared" ref="O130:O193" si="2">IF(L130="oui","incomplet",IF(OR(J130="non",K130="non"),"a_regulariser",IF(AND(J130="oui",K130="oui"),"ok","")))</f>
        <v/>
      </c>
      <c r="P130" s="11"/>
      <c r="Q130" s="12"/>
      <c r="R130" s="11"/>
      <c r="S130" s="7"/>
    </row>
    <row r="131" spans="1:19" ht="14.4" x14ac:dyDescent="0.3">
      <c r="A131" s="6" t="s">
        <v>262</v>
      </c>
      <c r="B131" s="6" t="s">
        <v>887</v>
      </c>
      <c r="C131" s="6" t="s">
        <v>888</v>
      </c>
      <c r="D131" s="6" t="s">
        <v>889</v>
      </c>
      <c r="E131" s="6" t="s">
        <v>890</v>
      </c>
      <c r="F131" s="13" t="s">
        <v>891</v>
      </c>
      <c r="G131" s="13" t="s">
        <v>892</v>
      </c>
      <c r="H131" s="13" t="s">
        <v>893</v>
      </c>
      <c r="I131" s="13"/>
      <c r="J131" s="7"/>
      <c r="K131" s="7"/>
      <c r="L131" s="7" t="s">
        <v>93</v>
      </c>
      <c r="M131" s="7" t="s">
        <v>93</v>
      </c>
      <c r="N131" s="10"/>
      <c r="O131" s="9" t="str">
        <f t="shared" si="2"/>
        <v/>
      </c>
      <c r="P131" s="11"/>
      <c r="Q131" s="12"/>
      <c r="R131" s="11"/>
      <c r="S131" s="7"/>
    </row>
    <row r="132" spans="1:19" ht="14.4" x14ac:dyDescent="0.3">
      <c r="A132" s="6" t="s">
        <v>262</v>
      </c>
      <c r="B132" s="6" t="s">
        <v>887</v>
      </c>
      <c r="C132" s="6" t="s">
        <v>894</v>
      </c>
      <c r="D132" s="6" t="s">
        <v>889</v>
      </c>
      <c r="E132" s="6" t="s">
        <v>895</v>
      </c>
      <c r="F132" s="13" t="s">
        <v>458</v>
      </c>
      <c r="G132" s="13" t="s">
        <v>896</v>
      </c>
      <c r="H132" s="13"/>
      <c r="I132" s="13"/>
      <c r="J132" s="7"/>
      <c r="K132" s="7"/>
      <c r="L132" s="7" t="s">
        <v>93</v>
      </c>
      <c r="M132" s="7" t="s">
        <v>93</v>
      </c>
      <c r="N132" s="10"/>
      <c r="O132" s="9" t="str">
        <f t="shared" si="2"/>
        <v/>
      </c>
      <c r="P132" s="11"/>
      <c r="Q132" s="12"/>
      <c r="R132" s="11"/>
      <c r="S132" s="7"/>
    </row>
    <row r="133" spans="1:19" ht="14.4" x14ac:dyDescent="0.3">
      <c r="A133" s="6" t="s">
        <v>270</v>
      </c>
      <c r="B133" s="6" t="s">
        <v>897</v>
      </c>
      <c r="C133" s="6" t="s">
        <v>898</v>
      </c>
      <c r="D133" s="6" t="s">
        <v>899</v>
      </c>
      <c r="E133" s="6" t="s">
        <v>900</v>
      </c>
      <c r="F133" s="13" t="s">
        <v>901</v>
      </c>
      <c r="G133" s="13" t="s">
        <v>902</v>
      </c>
      <c r="H133" s="13" t="s">
        <v>903</v>
      </c>
      <c r="I133" s="13"/>
      <c r="J133" s="7"/>
      <c r="K133" s="7"/>
      <c r="L133" s="7" t="s">
        <v>93</v>
      </c>
      <c r="M133" s="7" t="s">
        <v>93</v>
      </c>
      <c r="N133" s="10"/>
      <c r="O133" s="9" t="str">
        <f t="shared" si="2"/>
        <v/>
      </c>
      <c r="P133" s="11"/>
      <c r="Q133" s="12"/>
      <c r="R133" s="11"/>
      <c r="S133" s="7"/>
    </row>
    <row r="134" spans="1:19" ht="14.4" x14ac:dyDescent="0.3">
      <c r="A134" s="6" t="s">
        <v>270</v>
      </c>
      <c r="B134" s="6" t="s">
        <v>897</v>
      </c>
      <c r="C134" s="6" t="s">
        <v>904</v>
      </c>
      <c r="D134" s="6" t="s">
        <v>899</v>
      </c>
      <c r="E134" s="6" t="s">
        <v>905</v>
      </c>
      <c r="F134" s="13" t="s">
        <v>906</v>
      </c>
      <c r="G134" s="13" t="s">
        <v>907</v>
      </c>
      <c r="H134" s="13" t="s">
        <v>908</v>
      </c>
      <c r="I134" s="13"/>
      <c r="J134" s="7"/>
      <c r="K134" s="7"/>
      <c r="L134" s="7" t="s">
        <v>93</v>
      </c>
      <c r="M134" s="7" t="s">
        <v>93</v>
      </c>
      <c r="N134" s="10"/>
      <c r="O134" s="9" t="str">
        <f t="shared" si="2"/>
        <v/>
      </c>
      <c r="P134" s="11"/>
      <c r="Q134" s="12"/>
      <c r="R134" s="11"/>
      <c r="S134" s="7"/>
    </row>
    <row r="135" spans="1:19" ht="14.4" x14ac:dyDescent="0.3">
      <c r="A135" s="6" t="s">
        <v>270</v>
      </c>
      <c r="B135" s="6" t="s">
        <v>897</v>
      </c>
      <c r="C135" s="6" t="s">
        <v>909</v>
      </c>
      <c r="D135" s="6" t="s">
        <v>899</v>
      </c>
      <c r="E135" s="6" t="s">
        <v>910</v>
      </c>
      <c r="F135" s="13" t="s">
        <v>687</v>
      </c>
      <c r="G135" s="13" t="s">
        <v>911</v>
      </c>
      <c r="H135" s="13" t="s">
        <v>912</v>
      </c>
      <c r="I135" s="13" t="s">
        <v>913</v>
      </c>
      <c r="J135" s="7"/>
      <c r="K135" s="7"/>
      <c r="L135" s="7" t="s">
        <v>93</v>
      </c>
      <c r="M135" s="7" t="s">
        <v>93</v>
      </c>
      <c r="N135" s="10"/>
      <c r="O135" s="9" t="str">
        <f t="shared" si="2"/>
        <v/>
      </c>
      <c r="P135" s="11"/>
      <c r="Q135" s="12"/>
      <c r="R135" s="11"/>
      <c r="S135" s="7"/>
    </row>
    <row r="136" spans="1:19" ht="14.4" x14ac:dyDescent="0.3">
      <c r="A136" s="6" t="s">
        <v>270</v>
      </c>
      <c r="B136" s="6" t="s">
        <v>897</v>
      </c>
      <c r="C136" s="6" t="s">
        <v>914</v>
      </c>
      <c r="D136" s="6" t="s">
        <v>899</v>
      </c>
      <c r="E136" s="6" t="s">
        <v>915</v>
      </c>
      <c r="F136" s="13" t="s">
        <v>916</v>
      </c>
      <c r="G136" s="13" t="s">
        <v>917</v>
      </c>
      <c r="H136" s="13" t="s">
        <v>918</v>
      </c>
      <c r="I136" s="13"/>
      <c r="J136" s="7"/>
      <c r="K136" s="7"/>
      <c r="L136" s="7" t="s">
        <v>93</v>
      </c>
      <c r="M136" s="7" t="s">
        <v>93</v>
      </c>
      <c r="N136" s="10"/>
      <c r="O136" s="9" t="str">
        <f t="shared" si="2"/>
        <v/>
      </c>
      <c r="P136" s="11"/>
      <c r="Q136" s="12"/>
      <c r="R136" s="11"/>
      <c r="S136" s="7"/>
    </row>
    <row r="137" spans="1:19" ht="14.4" x14ac:dyDescent="0.3">
      <c r="A137" s="6" t="s">
        <v>292</v>
      </c>
      <c r="B137" s="6" t="s">
        <v>919</v>
      </c>
      <c r="C137" s="6" t="s">
        <v>920</v>
      </c>
      <c r="D137" s="6" t="s">
        <v>921</v>
      </c>
      <c r="E137" s="6" t="s">
        <v>922</v>
      </c>
      <c r="F137" s="13" t="s">
        <v>923</v>
      </c>
      <c r="G137" s="13" t="s">
        <v>924</v>
      </c>
      <c r="H137" s="13" t="s">
        <v>925</v>
      </c>
      <c r="I137" s="13"/>
      <c r="J137" s="7"/>
      <c r="K137" s="7"/>
      <c r="L137" s="7" t="s">
        <v>93</v>
      </c>
      <c r="M137" s="7" t="s">
        <v>93</v>
      </c>
      <c r="N137" s="10"/>
      <c r="O137" s="9" t="str">
        <f t="shared" si="2"/>
        <v/>
      </c>
      <c r="P137" s="11"/>
      <c r="Q137" s="12"/>
      <c r="R137" s="11"/>
      <c r="S137" s="7"/>
    </row>
    <row r="138" spans="1:19" ht="14.4" x14ac:dyDescent="0.3">
      <c r="A138" s="6" t="s">
        <v>292</v>
      </c>
      <c r="B138" s="6" t="s">
        <v>919</v>
      </c>
      <c r="C138" s="6" t="s">
        <v>926</v>
      </c>
      <c r="D138" s="6" t="s">
        <v>921</v>
      </c>
      <c r="E138" s="6" t="s">
        <v>927</v>
      </c>
      <c r="F138" s="13" t="s">
        <v>567</v>
      </c>
      <c r="G138" s="13" t="s">
        <v>928</v>
      </c>
      <c r="H138" s="13" t="s">
        <v>929</v>
      </c>
      <c r="I138" s="13"/>
      <c r="J138" s="7"/>
      <c r="K138" s="7"/>
      <c r="L138" s="7" t="s">
        <v>93</v>
      </c>
      <c r="M138" s="7" t="s">
        <v>93</v>
      </c>
      <c r="N138" s="10"/>
      <c r="O138" s="9" t="str">
        <f t="shared" si="2"/>
        <v/>
      </c>
      <c r="P138" s="11"/>
      <c r="Q138" s="12"/>
      <c r="R138" s="11"/>
      <c r="S138" s="7"/>
    </row>
    <row r="139" spans="1:19" ht="14.4" x14ac:dyDescent="0.3">
      <c r="A139" s="6" t="s">
        <v>292</v>
      </c>
      <c r="B139" s="6" t="s">
        <v>919</v>
      </c>
      <c r="C139" s="6" t="s">
        <v>930</v>
      </c>
      <c r="D139" s="6" t="s">
        <v>921</v>
      </c>
      <c r="E139" s="6" t="s">
        <v>931</v>
      </c>
      <c r="F139" s="13" t="s">
        <v>932</v>
      </c>
      <c r="G139" s="13" t="s">
        <v>933</v>
      </c>
      <c r="H139" s="13" t="s">
        <v>934</v>
      </c>
      <c r="I139" s="13" t="s">
        <v>935</v>
      </c>
      <c r="J139" s="7"/>
      <c r="K139" s="7"/>
      <c r="L139" s="7" t="s">
        <v>93</v>
      </c>
      <c r="M139" s="7" t="s">
        <v>93</v>
      </c>
      <c r="N139" s="10"/>
      <c r="O139" s="9" t="str">
        <f t="shared" si="2"/>
        <v/>
      </c>
      <c r="P139" s="11"/>
      <c r="Q139" s="12"/>
      <c r="R139" s="11"/>
      <c r="S139" s="7"/>
    </row>
    <row r="140" spans="1:19" ht="14.4" x14ac:dyDescent="0.3">
      <c r="A140" s="6" t="s">
        <v>292</v>
      </c>
      <c r="B140" s="6" t="s">
        <v>919</v>
      </c>
      <c r="C140" s="6" t="s">
        <v>937</v>
      </c>
      <c r="D140" s="6" t="s">
        <v>921</v>
      </c>
      <c r="E140" s="6" t="s">
        <v>938</v>
      </c>
      <c r="F140" s="13" t="s">
        <v>587</v>
      </c>
      <c r="G140" s="13" t="s">
        <v>939</v>
      </c>
      <c r="H140" s="13" t="s">
        <v>940</v>
      </c>
      <c r="I140" s="13" t="s">
        <v>941</v>
      </c>
      <c r="J140" s="7"/>
      <c r="K140" s="7"/>
      <c r="L140" s="7" t="s">
        <v>93</v>
      </c>
      <c r="M140" s="7" t="s">
        <v>93</v>
      </c>
      <c r="N140" s="10"/>
      <c r="O140" s="9" t="str">
        <f t="shared" si="2"/>
        <v/>
      </c>
      <c r="P140" s="11"/>
      <c r="Q140" s="12"/>
      <c r="R140" s="11"/>
      <c r="S140" s="7"/>
    </row>
    <row r="141" spans="1:19" ht="14.4" x14ac:dyDescent="0.3">
      <c r="A141" s="6" t="s">
        <v>292</v>
      </c>
      <c r="B141" s="6" t="s">
        <v>919</v>
      </c>
      <c r="C141" s="6" t="s">
        <v>942</v>
      </c>
      <c r="D141" s="6" t="s">
        <v>921</v>
      </c>
      <c r="E141" s="6" t="s">
        <v>943</v>
      </c>
      <c r="F141" s="13" t="s">
        <v>944</v>
      </c>
      <c r="G141" s="13" t="s">
        <v>939</v>
      </c>
      <c r="H141" s="13" t="s">
        <v>945</v>
      </c>
      <c r="I141" s="13"/>
      <c r="J141" s="7"/>
      <c r="K141" s="7"/>
      <c r="L141" s="7" t="s">
        <v>93</v>
      </c>
      <c r="M141" s="7" t="s">
        <v>93</v>
      </c>
      <c r="N141" s="10"/>
      <c r="O141" s="9" t="str">
        <f t="shared" si="2"/>
        <v/>
      </c>
      <c r="P141" s="11"/>
      <c r="Q141" s="12"/>
      <c r="R141" s="11"/>
      <c r="S141" s="7"/>
    </row>
    <row r="142" spans="1:19" ht="14.4" x14ac:dyDescent="0.3">
      <c r="A142" s="6" t="s">
        <v>292</v>
      </c>
      <c r="B142" s="6" t="s">
        <v>919</v>
      </c>
      <c r="C142" s="6" t="s">
        <v>946</v>
      </c>
      <c r="D142" s="6" t="s">
        <v>921</v>
      </c>
      <c r="E142" s="6" t="s">
        <v>947</v>
      </c>
      <c r="F142" s="13" t="s">
        <v>948</v>
      </c>
      <c r="G142" s="13" t="s">
        <v>949</v>
      </c>
      <c r="H142" s="13" t="s">
        <v>950</v>
      </c>
      <c r="I142" s="13" t="s">
        <v>951</v>
      </c>
      <c r="J142" s="7"/>
      <c r="K142" s="7"/>
      <c r="L142" s="7" t="s">
        <v>93</v>
      </c>
      <c r="M142" s="7" t="s">
        <v>93</v>
      </c>
      <c r="N142" s="10"/>
      <c r="O142" s="9" t="str">
        <f t="shared" si="2"/>
        <v/>
      </c>
      <c r="P142" s="11"/>
      <c r="Q142" s="12"/>
      <c r="R142" s="11"/>
      <c r="S142" s="7"/>
    </row>
    <row r="143" spans="1:19" ht="14.4" x14ac:dyDescent="0.3">
      <c r="A143" s="6" t="s">
        <v>292</v>
      </c>
      <c r="B143" s="6" t="s">
        <v>919</v>
      </c>
      <c r="C143" s="6" t="s">
        <v>952</v>
      </c>
      <c r="D143" s="6" t="s">
        <v>921</v>
      </c>
      <c r="E143" s="6" t="s">
        <v>953</v>
      </c>
      <c r="F143" s="13" t="s">
        <v>658</v>
      </c>
      <c r="G143" s="13" t="s">
        <v>954</v>
      </c>
      <c r="H143" s="13" t="s">
        <v>955</v>
      </c>
      <c r="I143" s="13"/>
      <c r="J143" s="7"/>
      <c r="K143" s="7"/>
      <c r="L143" s="7" t="s">
        <v>93</v>
      </c>
      <c r="M143" s="7" t="s">
        <v>93</v>
      </c>
      <c r="N143" s="10"/>
      <c r="O143" s="9" t="str">
        <f t="shared" si="2"/>
        <v/>
      </c>
      <c r="P143" s="11"/>
      <c r="Q143" s="12"/>
      <c r="R143" s="11"/>
      <c r="S143" s="7"/>
    </row>
    <row r="144" spans="1:19" ht="14.4" x14ac:dyDescent="0.3">
      <c r="A144" s="6" t="s">
        <v>292</v>
      </c>
      <c r="B144" s="6" t="s">
        <v>919</v>
      </c>
      <c r="C144" s="6" t="s">
        <v>956</v>
      </c>
      <c r="D144" s="6" t="s">
        <v>921</v>
      </c>
      <c r="E144" s="6" t="s">
        <v>957</v>
      </c>
      <c r="F144" s="13" t="s">
        <v>658</v>
      </c>
      <c r="G144" s="13" t="s">
        <v>958</v>
      </c>
      <c r="H144" s="13" t="s">
        <v>959</v>
      </c>
      <c r="I144" s="13" t="s">
        <v>960</v>
      </c>
      <c r="J144" s="7"/>
      <c r="K144" s="7"/>
      <c r="L144" s="7" t="s">
        <v>93</v>
      </c>
      <c r="M144" s="7" t="s">
        <v>93</v>
      </c>
      <c r="N144" s="10"/>
      <c r="O144" s="9" t="str">
        <f t="shared" si="2"/>
        <v/>
      </c>
      <c r="P144" s="11"/>
      <c r="Q144" s="12"/>
      <c r="R144" s="11"/>
      <c r="S144" s="7"/>
    </row>
    <row r="145" spans="1:19" ht="14.4" x14ac:dyDescent="0.3">
      <c r="A145" s="6" t="s">
        <v>292</v>
      </c>
      <c r="B145" s="6" t="s">
        <v>961</v>
      </c>
      <c r="C145" s="6" t="s">
        <v>962</v>
      </c>
      <c r="D145" s="6" t="s">
        <v>963</v>
      </c>
      <c r="E145" s="6" t="s">
        <v>964</v>
      </c>
      <c r="F145" s="13" t="s">
        <v>965</v>
      </c>
      <c r="G145" s="13" t="s">
        <v>966</v>
      </c>
      <c r="H145" s="13" t="s">
        <v>967</v>
      </c>
      <c r="I145" s="13" t="s">
        <v>968</v>
      </c>
      <c r="J145" s="7"/>
      <c r="K145" s="7"/>
      <c r="L145" s="7" t="s">
        <v>93</v>
      </c>
      <c r="M145" s="7" t="s">
        <v>93</v>
      </c>
      <c r="N145" s="10"/>
      <c r="O145" s="9" t="str">
        <f t="shared" si="2"/>
        <v/>
      </c>
      <c r="P145" s="11"/>
      <c r="Q145" s="12"/>
      <c r="R145" s="11"/>
      <c r="S145" s="7"/>
    </row>
    <row r="146" spans="1:19" ht="14.4" x14ac:dyDescent="0.3">
      <c r="A146" s="6" t="s">
        <v>292</v>
      </c>
      <c r="B146" s="6" t="s">
        <v>961</v>
      </c>
      <c r="C146" s="6" t="s">
        <v>969</v>
      </c>
      <c r="D146" s="6" t="s">
        <v>963</v>
      </c>
      <c r="E146" s="6" t="s">
        <v>970</v>
      </c>
      <c r="F146" s="13" t="s">
        <v>971</v>
      </c>
      <c r="G146" s="13" t="s">
        <v>972</v>
      </c>
      <c r="H146" s="13"/>
      <c r="I146" s="13"/>
      <c r="J146" s="7"/>
      <c r="K146" s="7"/>
      <c r="L146" s="7" t="s">
        <v>93</v>
      </c>
      <c r="M146" s="7" t="s">
        <v>93</v>
      </c>
      <c r="N146" s="10"/>
      <c r="O146" s="9" t="str">
        <f t="shared" si="2"/>
        <v/>
      </c>
      <c r="P146" s="11"/>
      <c r="Q146" s="12"/>
      <c r="R146" s="11"/>
      <c r="S146" s="7"/>
    </row>
    <row r="147" spans="1:19" ht="14.4" x14ac:dyDescent="0.3">
      <c r="A147" s="6" t="s">
        <v>292</v>
      </c>
      <c r="B147" s="6" t="s">
        <v>961</v>
      </c>
      <c r="C147" s="6" t="s">
        <v>973</v>
      </c>
      <c r="D147" s="6" t="s">
        <v>963</v>
      </c>
      <c r="E147" s="6" t="s">
        <v>974</v>
      </c>
      <c r="F147" s="13" t="s">
        <v>975</v>
      </c>
      <c r="G147" s="13" t="s">
        <v>949</v>
      </c>
      <c r="H147" s="13"/>
      <c r="I147" s="13"/>
      <c r="J147" s="7"/>
      <c r="K147" s="7"/>
      <c r="L147" s="7" t="s">
        <v>93</v>
      </c>
      <c r="M147" s="7" t="s">
        <v>93</v>
      </c>
      <c r="N147" s="10"/>
      <c r="O147" s="9" t="str">
        <f t="shared" si="2"/>
        <v/>
      </c>
      <c r="P147" s="11"/>
      <c r="Q147" s="12"/>
      <c r="R147" s="11"/>
      <c r="S147" s="7"/>
    </row>
    <row r="148" spans="1:19" ht="14.4" x14ac:dyDescent="0.3">
      <c r="A148" s="6" t="s">
        <v>292</v>
      </c>
      <c r="B148" s="6" t="s">
        <v>961</v>
      </c>
      <c r="C148" s="6" t="s">
        <v>976</v>
      </c>
      <c r="D148" s="6" t="s">
        <v>963</v>
      </c>
      <c r="E148" s="6" t="s">
        <v>977</v>
      </c>
      <c r="F148" s="13" t="s">
        <v>978</v>
      </c>
      <c r="G148" s="13" t="s">
        <v>979</v>
      </c>
      <c r="H148" s="13" t="s">
        <v>980</v>
      </c>
      <c r="I148" s="13"/>
      <c r="J148" s="7"/>
      <c r="K148" s="7"/>
      <c r="L148" s="7" t="s">
        <v>93</v>
      </c>
      <c r="M148" s="7" t="s">
        <v>93</v>
      </c>
      <c r="N148" s="10"/>
      <c r="O148" s="9" t="str">
        <f t="shared" si="2"/>
        <v/>
      </c>
      <c r="P148" s="11"/>
      <c r="Q148" s="12"/>
      <c r="R148" s="11"/>
      <c r="S148" s="7"/>
    </row>
    <row r="149" spans="1:19" ht="14.4" x14ac:dyDescent="0.3">
      <c r="A149" s="6" t="s">
        <v>292</v>
      </c>
      <c r="B149" s="6" t="s">
        <v>961</v>
      </c>
      <c r="C149" s="6" t="s">
        <v>981</v>
      </c>
      <c r="D149" s="6" t="s">
        <v>963</v>
      </c>
      <c r="E149" s="6" t="s">
        <v>982</v>
      </c>
      <c r="F149" s="13" t="s">
        <v>712</v>
      </c>
      <c r="G149" s="13" t="s">
        <v>983</v>
      </c>
      <c r="H149" s="13" t="s">
        <v>984</v>
      </c>
      <c r="I149" s="13"/>
      <c r="J149" s="7"/>
      <c r="K149" s="7"/>
      <c r="L149" s="7" t="s">
        <v>93</v>
      </c>
      <c r="M149" s="7" t="s">
        <v>93</v>
      </c>
      <c r="N149" s="10"/>
      <c r="O149" s="9" t="str">
        <f t="shared" si="2"/>
        <v/>
      </c>
      <c r="P149" s="11"/>
      <c r="Q149" s="12"/>
      <c r="R149" s="11"/>
      <c r="S149" s="7"/>
    </row>
    <row r="150" spans="1:19" ht="14.4" x14ac:dyDescent="0.3">
      <c r="A150" s="6" t="s">
        <v>292</v>
      </c>
      <c r="B150" s="6" t="s">
        <v>961</v>
      </c>
      <c r="C150" s="6" t="s">
        <v>985</v>
      </c>
      <c r="D150" s="6" t="s">
        <v>963</v>
      </c>
      <c r="E150" s="6" t="s">
        <v>986</v>
      </c>
      <c r="F150" s="13" t="s">
        <v>305</v>
      </c>
      <c r="G150" s="13" t="s">
        <v>987</v>
      </c>
      <c r="H150" s="13" t="s">
        <v>988</v>
      </c>
      <c r="I150" s="13" t="s">
        <v>989</v>
      </c>
      <c r="J150" s="7"/>
      <c r="K150" s="7"/>
      <c r="L150" s="7" t="s">
        <v>93</v>
      </c>
      <c r="M150" s="7" t="s">
        <v>93</v>
      </c>
      <c r="N150" s="10"/>
      <c r="O150" s="9" t="str">
        <f t="shared" si="2"/>
        <v/>
      </c>
      <c r="P150" s="11"/>
      <c r="Q150" s="12"/>
      <c r="R150" s="11"/>
      <c r="S150" s="7"/>
    </row>
    <row r="151" spans="1:19" ht="14.4" x14ac:dyDescent="0.3">
      <c r="A151" s="6" t="s">
        <v>292</v>
      </c>
      <c r="B151" s="6" t="s">
        <v>961</v>
      </c>
      <c r="C151" s="6" t="s">
        <v>991</v>
      </c>
      <c r="D151" s="6" t="s">
        <v>963</v>
      </c>
      <c r="E151" s="6" t="s">
        <v>992</v>
      </c>
      <c r="F151" s="13" t="s">
        <v>993</v>
      </c>
      <c r="G151" s="13" t="s">
        <v>994</v>
      </c>
      <c r="H151" s="13"/>
      <c r="I151" s="13"/>
      <c r="J151" s="7"/>
      <c r="K151" s="7"/>
      <c r="L151" s="7" t="s">
        <v>93</v>
      </c>
      <c r="M151" s="7" t="s">
        <v>93</v>
      </c>
      <c r="N151" s="10"/>
      <c r="O151" s="9" t="str">
        <f t="shared" si="2"/>
        <v/>
      </c>
      <c r="P151" s="11"/>
      <c r="Q151" s="12"/>
      <c r="R151" s="11"/>
      <c r="S151" s="7"/>
    </row>
    <row r="152" spans="1:19" ht="14.4" x14ac:dyDescent="0.3">
      <c r="A152" s="6" t="s">
        <v>292</v>
      </c>
      <c r="B152" s="6" t="s">
        <v>961</v>
      </c>
      <c r="C152" s="6" t="s">
        <v>995</v>
      </c>
      <c r="D152" s="6" t="s">
        <v>963</v>
      </c>
      <c r="E152" s="6" t="s">
        <v>996</v>
      </c>
      <c r="F152" s="13" t="s">
        <v>997</v>
      </c>
      <c r="G152" s="13" t="s">
        <v>998</v>
      </c>
      <c r="H152" s="13" t="s">
        <v>999</v>
      </c>
      <c r="I152" s="13"/>
      <c r="J152" s="7"/>
      <c r="K152" s="7"/>
      <c r="L152" s="7" t="s">
        <v>93</v>
      </c>
      <c r="M152" s="7" t="s">
        <v>93</v>
      </c>
      <c r="N152" s="10"/>
      <c r="O152" s="9" t="str">
        <f t="shared" si="2"/>
        <v/>
      </c>
      <c r="P152" s="11"/>
      <c r="Q152" s="12"/>
      <c r="R152" s="11"/>
      <c r="S152" s="7"/>
    </row>
    <row r="153" spans="1:19" ht="14.4" x14ac:dyDescent="0.3">
      <c r="A153" s="6" t="s">
        <v>292</v>
      </c>
      <c r="B153" s="6" t="s">
        <v>961</v>
      </c>
      <c r="C153" s="6" t="s">
        <v>1000</v>
      </c>
      <c r="D153" s="6" t="s">
        <v>963</v>
      </c>
      <c r="E153" s="6" t="s">
        <v>1001</v>
      </c>
      <c r="F153" s="13" t="s">
        <v>334</v>
      </c>
      <c r="G153" s="13" t="s">
        <v>1002</v>
      </c>
      <c r="H153" s="13" t="s">
        <v>1003</v>
      </c>
      <c r="I153" s="13"/>
      <c r="J153" s="7"/>
      <c r="K153" s="7"/>
      <c r="L153" s="7" t="s">
        <v>93</v>
      </c>
      <c r="M153" s="7" t="s">
        <v>93</v>
      </c>
      <c r="N153" s="10"/>
      <c r="O153" s="9" t="str">
        <f t="shared" si="2"/>
        <v/>
      </c>
      <c r="P153" s="11"/>
      <c r="Q153" s="12"/>
      <c r="R153" s="11"/>
      <c r="S153" s="7"/>
    </row>
    <row r="154" spans="1:19" ht="14.4" x14ac:dyDescent="0.3">
      <c r="A154" s="6" t="s">
        <v>292</v>
      </c>
      <c r="B154" s="6" t="s">
        <v>961</v>
      </c>
      <c r="C154" s="6" t="s">
        <v>1004</v>
      </c>
      <c r="D154" s="6" t="s">
        <v>963</v>
      </c>
      <c r="E154" s="6" t="s">
        <v>1005</v>
      </c>
      <c r="F154" s="13" t="s">
        <v>334</v>
      </c>
      <c r="G154" s="13" t="s">
        <v>1006</v>
      </c>
      <c r="H154" s="13" t="s">
        <v>1007</v>
      </c>
      <c r="I154" s="13"/>
      <c r="J154" s="7"/>
      <c r="K154" s="7"/>
      <c r="L154" s="7" t="s">
        <v>93</v>
      </c>
      <c r="M154" s="7" t="s">
        <v>93</v>
      </c>
      <c r="N154" s="10"/>
      <c r="O154" s="9" t="str">
        <f t="shared" si="2"/>
        <v/>
      </c>
      <c r="P154" s="11"/>
      <c r="Q154" s="12"/>
      <c r="R154" s="11"/>
      <c r="S154" s="7"/>
    </row>
    <row r="155" spans="1:19" ht="14.4" x14ac:dyDescent="0.3">
      <c r="A155" s="6" t="s">
        <v>292</v>
      </c>
      <c r="B155" s="6" t="s">
        <v>1008</v>
      </c>
      <c r="C155" s="6" t="s">
        <v>1009</v>
      </c>
      <c r="D155" s="6" t="s">
        <v>1010</v>
      </c>
      <c r="E155" s="6" t="s">
        <v>1011</v>
      </c>
      <c r="F155" s="13" t="s">
        <v>567</v>
      </c>
      <c r="G155" s="13" t="s">
        <v>1012</v>
      </c>
      <c r="H155" s="13" t="s">
        <v>1013</v>
      </c>
      <c r="I155" s="13"/>
      <c r="J155" s="7"/>
      <c r="K155" s="7"/>
      <c r="L155" s="7" t="s">
        <v>93</v>
      </c>
      <c r="M155" s="7" t="s">
        <v>93</v>
      </c>
      <c r="N155" s="10"/>
      <c r="O155" s="9" t="str">
        <f t="shared" si="2"/>
        <v/>
      </c>
      <c r="P155" s="11"/>
      <c r="Q155" s="12"/>
      <c r="R155" s="11"/>
      <c r="S155" s="7"/>
    </row>
    <row r="156" spans="1:19" ht="14.4" x14ac:dyDescent="0.3">
      <c r="A156" s="6" t="s">
        <v>292</v>
      </c>
      <c r="B156" s="6" t="s">
        <v>1008</v>
      </c>
      <c r="C156" s="6" t="s">
        <v>1014</v>
      </c>
      <c r="D156" s="6" t="s">
        <v>1010</v>
      </c>
      <c r="E156" s="6" t="s">
        <v>1015</v>
      </c>
      <c r="F156" s="13" t="s">
        <v>1016</v>
      </c>
      <c r="G156" s="13" t="s">
        <v>1017</v>
      </c>
      <c r="H156" s="13" t="s">
        <v>1018</v>
      </c>
      <c r="I156" s="13"/>
      <c r="J156" s="7"/>
      <c r="K156" s="7"/>
      <c r="L156" s="7" t="s">
        <v>93</v>
      </c>
      <c r="M156" s="7" t="s">
        <v>93</v>
      </c>
      <c r="N156" s="10"/>
      <c r="O156" s="9" t="str">
        <f t="shared" si="2"/>
        <v/>
      </c>
      <c r="P156" s="11"/>
      <c r="Q156" s="12"/>
      <c r="R156" s="11"/>
      <c r="S156" s="7"/>
    </row>
    <row r="157" spans="1:19" ht="14.4" x14ac:dyDescent="0.3">
      <c r="A157" s="6" t="s">
        <v>292</v>
      </c>
      <c r="B157" s="6" t="s">
        <v>1008</v>
      </c>
      <c r="C157" s="6" t="s">
        <v>1019</v>
      </c>
      <c r="D157" s="6" t="s">
        <v>1010</v>
      </c>
      <c r="E157" s="6" t="s">
        <v>1020</v>
      </c>
      <c r="F157" s="13" t="s">
        <v>1021</v>
      </c>
      <c r="G157" s="13"/>
      <c r="H157" s="13" t="s">
        <v>1022</v>
      </c>
      <c r="I157" s="13"/>
      <c r="J157" s="7"/>
      <c r="K157" s="7"/>
      <c r="L157" s="7" t="s">
        <v>93</v>
      </c>
      <c r="M157" s="7" t="s">
        <v>93</v>
      </c>
      <c r="N157" s="10"/>
      <c r="O157" s="9" t="str">
        <f t="shared" si="2"/>
        <v/>
      </c>
      <c r="P157" s="11"/>
      <c r="Q157" s="12"/>
      <c r="R157" s="11"/>
      <c r="S157" s="7"/>
    </row>
    <row r="158" spans="1:19" ht="14.4" x14ac:dyDescent="0.3">
      <c r="A158" s="6" t="s">
        <v>292</v>
      </c>
      <c r="B158" s="6" t="s">
        <v>1008</v>
      </c>
      <c r="C158" s="6" t="s">
        <v>1024</v>
      </c>
      <c r="D158" s="6" t="s">
        <v>1010</v>
      </c>
      <c r="E158" s="6" t="s">
        <v>1025</v>
      </c>
      <c r="F158" s="13" t="s">
        <v>1026</v>
      </c>
      <c r="G158" s="13" t="s">
        <v>1027</v>
      </c>
      <c r="H158" s="13" t="s">
        <v>1028</v>
      </c>
      <c r="I158" s="13"/>
      <c r="J158" s="7"/>
      <c r="K158" s="7"/>
      <c r="L158" s="7" t="s">
        <v>93</v>
      </c>
      <c r="M158" s="7" t="s">
        <v>93</v>
      </c>
      <c r="N158" s="10"/>
      <c r="O158" s="9" t="str">
        <f t="shared" si="2"/>
        <v/>
      </c>
      <c r="P158" s="11"/>
      <c r="Q158" s="12"/>
      <c r="R158" s="11"/>
      <c r="S158" s="7"/>
    </row>
    <row r="159" spans="1:19" ht="14.4" x14ac:dyDescent="0.3">
      <c r="A159" s="6" t="s">
        <v>292</v>
      </c>
      <c r="B159" s="6" t="s">
        <v>1008</v>
      </c>
      <c r="C159" s="6" t="s">
        <v>1029</v>
      </c>
      <c r="D159" s="6" t="s">
        <v>1010</v>
      </c>
      <c r="E159" s="6" t="s">
        <v>1030</v>
      </c>
      <c r="F159" s="13" t="s">
        <v>1031</v>
      </c>
      <c r="G159" s="13" t="s">
        <v>312</v>
      </c>
      <c r="H159" s="13" t="s">
        <v>1032</v>
      </c>
      <c r="I159" s="13" t="s">
        <v>1033</v>
      </c>
      <c r="J159" s="7"/>
      <c r="K159" s="7"/>
      <c r="L159" s="7" t="s">
        <v>93</v>
      </c>
      <c r="M159" s="7" t="s">
        <v>93</v>
      </c>
      <c r="N159" s="10"/>
      <c r="O159" s="9" t="str">
        <f t="shared" si="2"/>
        <v/>
      </c>
      <c r="P159" s="11"/>
      <c r="Q159" s="12"/>
      <c r="R159" s="11"/>
      <c r="S159" s="7"/>
    </row>
    <row r="160" spans="1:19" ht="14.4" x14ac:dyDescent="0.3">
      <c r="A160" s="6" t="s">
        <v>292</v>
      </c>
      <c r="B160" s="6" t="s">
        <v>1008</v>
      </c>
      <c r="C160" s="6" t="s">
        <v>1034</v>
      </c>
      <c r="D160" s="6" t="s">
        <v>1010</v>
      </c>
      <c r="E160" s="6" t="s">
        <v>1035</v>
      </c>
      <c r="F160" s="13" t="s">
        <v>1036</v>
      </c>
      <c r="G160" s="13" t="s">
        <v>1037</v>
      </c>
      <c r="H160" s="13" t="s">
        <v>1038</v>
      </c>
      <c r="I160" s="13"/>
      <c r="J160" s="7"/>
      <c r="K160" s="7"/>
      <c r="L160" s="7" t="s">
        <v>93</v>
      </c>
      <c r="M160" s="7" t="s">
        <v>93</v>
      </c>
      <c r="N160" s="10"/>
      <c r="O160" s="9" t="str">
        <f t="shared" si="2"/>
        <v/>
      </c>
      <c r="P160" s="11"/>
      <c r="Q160" s="12"/>
      <c r="R160" s="11"/>
      <c r="S160" s="7"/>
    </row>
    <row r="161" spans="1:19" ht="14.4" x14ac:dyDescent="0.3">
      <c r="A161" s="6" t="s">
        <v>292</v>
      </c>
      <c r="B161" s="6" t="s">
        <v>1008</v>
      </c>
      <c r="C161" s="6" t="s">
        <v>1039</v>
      </c>
      <c r="D161" s="6" t="s">
        <v>1010</v>
      </c>
      <c r="E161" s="6" t="s">
        <v>1040</v>
      </c>
      <c r="F161" s="13" t="s">
        <v>206</v>
      </c>
      <c r="G161" s="13" t="s">
        <v>1041</v>
      </c>
      <c r="H161" s="13" t="s">
        <v>1042</v>
      </c>
      <c r="I161" s="13"/>
      <c r="J161" s="7"/>
      <c r="K161" s="7"/>
      <c r="L161" s="7" t="s">
        <v>93</v>
      </c>
      <c r="M161" s="7" t="s">
        <v>93</v>
      </c>
      <c r="N161" s="10"/>
      <c r="O161" s="9" t="str">
        <f t="shared" si="2"/>
        <v/>
      </c>
      <c r="P161" s="11"/>
      <c r="Q161" s="12"/>
      <c r="R161" s="11"/>
      <c r="S161" s="7"/>
    </row>
    <row r="162" spans="1:19" ht="14.4" x14ac:dyDescent="0.3">
      <c r="A162" s="6" t="s">
        <v>292</v>
      </c>
      <c r="B162" s="6" t="s">
        <v>1008</v>
      </c>
      <c r="C162" s="6" t="s">
        <v>1043</v>
      </c>
      <c r="D162" s="6" t="s">
        <v>1010</v>
      </c>
      <c r="E162" s="6" t="s">
        <v>1044</v>
      </c>
      <c r="F162" s="13" t="s">
        <v>1045</v>
      </c>
      <c r="G162" s="13" t="s">
        <v>1046</v>
      </c>
      <c r="H162" s="13" t="s">
        <v>1047</v>
      </c>
      <c r="I162" s="13" t="s">
        <v>1048</v>
      </c>
      <c r="J162" s="7"/>
      <c r="K162" s="7"/>
      <c r="L162" s="7" t="s">
        <v>93</v>
      </c>
      <c r="M162" s="7" t="s">
        <v>93</v>
      </c>
      <c r="N162" s="10"/>
      <c r="O162" s="9" t="str">
        <f t="shared" si="2"/>
        <v/>
      </c>
      <c r="P162" s="11"/>
      <c r="Q162" s="12"/>
      <c r="R162" s="11"/>
      <c r="S162" s="7"/>
    </row>
    <row r="163" spans="1:19" ht="14.4" x14ac:dyDescent="0.3">
      <c r="A163" s="6" t="s">
        <v>292</v>
      </c>
      <c r="B163" s="6" t="s">
        <v>1008</v>
      </c>
      <c r="C163" s="6" t="s">
        <v>1049</v>
      </c>
      <c r="D163" s="6" t="s">
        <v>1010</v>
      </c>
      <c r="E163" s="6" t="s">
        <v>1050</v>
      </c>
      <c r="F163" s="13" t="s">
        <v>272</v>
      </c>
      <c r="G163" s="13" t="s">
        <v>902</v>
      </c>
      <c r="H163" s="13" t="s">
        <v>1051</v>
      </c>
      <c r="I163" s="13"/>
      <c r="J163" s="7"/>
      <c r="K163" s="7"/>
      <c r="L163" s="7" t="s">
        <v>93</v>
      </c>
      <c r="M163" s="7" t="s">
        <v>93</v>
      </c>
      <c r="N163" s="10"/>
      <c r="O163" s="9" t="str">
        <f t="shared" si="2"/>
        <v/>
      </c>
      <c r="P163" s="11"/>
      <c r="Q163" s="12"/>
      <c r="R163" s="11"/>
      <c r="S163" s="7"/>
    </row>
    <row r="164" spans="1:19" ht="14.4" x14ac:dyDescent="0.3">
      <c r="A164" s="6" t="s">
        <v>292</v>
      </c>
      <c r="B164" s="6" t="s">
        <v>1008</v>
      </c>
      <c r="C164" s="6" t="s">
        <v>1052</v>
      </c>
      <c r="D164" s="6" t="s">
        <v>1010</v>
      </c>
      <c r="E164" s="6" t="s">
        <v>1053</v>
      </c>
      <c r="F164" s="13" t="s">
        <v>1054</v>
      </c>
      <c r="G164" s="13" t="s">
        <v>1055</v>
      </c>
      <c r="H164" s="13" t="s">
        <v>1056</v>
      </c>
      <c r="I164" s="13" t="s">
        <v>1057</v>
      </c>
      <c r="J164" s="7"/>
      <c r="K164" s="7"/>
      <c r="L164" s="7" t="s">
        <v>93</v>
      </c>
      <c r="M164" s="7" t="s">
        <v>93</v>
      </c>
      <c r="N164" s="10"/>
      <c r="O164" s="9" t="str">
        <f t="shared" si="2"/>
        <v/>
      </c>
      <c r="P164" s="11"/>
      <c r="Q164" s="12"/>
      <c r="R164" s="11"/>
      <c r="S164" s="7"/>
    </row>
    <row r="165" spans="1:19" ht="14.4" x14ac:dyDescent="0.3">
      <c r="A165" s="6" t="s">
        <v>292</v>
      </c>
      <c r="B165" s="6" t="s">
        <v>1059</v>
      </c>
      <c r="C165" s="6" t="s">
        <v>1060</v>
      </c>
      <c r="D165" s="6" t="s">
        <v>1061</v>
      </c>
      <c r="E165" s="6" t="s">
        <v>1062</v>
      </c>
      <c r="F165" s="13" t="s">
        <v>1063</v>
      </c>
      <c r="G165" s="13" t="s">
        <v>1064</v>
      </c>
      <c r="H165" s="13" t="s">
        <v>1065</v>
      </c>
      <c r="I165" s="13" t="s">
        <v>1066</v>
      </c>
      <c r="J165" s="7"/>
      <c r="K165" s="7"/>
      <c r="L165" s="7" t="s">
        <v>93</v>
      </c>
      <c r="M165" s="7" t="s">
        <v>93</v>
      </c>
      <c r="N165" s="10"/>
      <c r="O165" s="9" t="str">
        <f t="shared" si="2"/>
        <v/>
      </c>
      <c r="P165" s="11"/>
      <c r="Q165" s="12"/>
      <c r="R165" s="11"/>
      <c r="S165" s="7"/>
    </row>
    <row r="166" spans="1:19" ht="14.4" x14ac:dyDescent="0.3">
      <c r="A166" s="6" t="s">
        <v>292</v>
      </c>
      <c r="B166" s="6" t="s">
        <v>1059</v>
      </c>
      <c r="C166" s="6" t="s">
        <v>1068</v>
      </c>
      <c r="D166" s="6" t="s">
        <v>1061</v>
      </c>
      <c r="E166" s="6" t="s">
        <v>1069</v>
      </c>
      <c r="F166" s="13" t="s">
        <v>1070</v>
      </c>
      <c r="G166" s="13" t="s">
        <v>1071</v>
      </c>
      <c r="H166" s="13" t="s">
        <v>1072</v>
      </c>
      <c r="I166" s="13"/>
      <c r="J166" s="7"/>
      <c r="K166" s="7"/>
      <c r="L166" s="7" t="s">
        <v>93</v>
      </c>
      <c r="M166" s="7" t="s">
        <v>93</v>
      </c>
      <c r="N166" s="10"/>
      <c r="O166" s="9" t="str">
        <f t="shared" si="2"/>
        <v/>
      </c>
      <c r="P166" s="11"/>
      <c r="Q166" s="12"/>
      <c r="R166" s="11"/>
      <c r="S166" s="7"/>
    </row>
    <row r="167" spans="1:19" ht="14.4" x14ac:dyDescent="0.3">
      <c r="A167" s="6" t="s">
        <v>292</v>
      </c>
      <c r="B167" s="6" t="s">
        <v>1073</v>
      </c>
      <c r="C167" s="6" t="s">
        <v>1074</v>
      </c>
      <c r="D167" s="6" t="s">
        <v>85</v>
      </c>
      <c r="E167" s="6" t="s">
        <v>1075</v>
      </c>
      <c r="F167" s="13" t="s">
        <v>1076</v>
      </c>
      <c r="G167" s="13" t="s">
        <v>754</v>
      </c>
      <c r="H167" s="13" t="s">
        <v>1077</v>
      </c>
      <c r="I167" s="13"/>
      <c r="J167" s="7"/>
      <c r="K167" s="7"/>
      <c r="L167" s="7" t="s">
        <v>93</v>
      </c>
      <c r="M167" s="7" t="s">
        <v>93</v>
      </c>
      <c r="N167" s="10"/>
      <c r="O167" s="9" t="str">
        <f t="shared" si="2"/>
        <v/>
      </c>
      <c r="P167" s="11"/>
      <c r="Q167" s="12"/>
      <c r="R167" s="11"/>
      <c r="S167" s="7"/>
    </row>
    <row r="168" spans="1:19" ht="14.4" x14ac:dyDescent="0.3">
      <c r="A168" s="6" t="s">
        <v>292</v>
      </c>
      <c r="B168" s="6" t="s">
        <v>1073</v>
      </c>
      <c r="C168" s="6" t="s">
        <v>1078</v>
      </c>
      <c r="D168" s="6" t="s">
        <v>85</v>
      </c>
      <c r="E168" s="6" t="s">
        <v>1079</v>
      </c>
      <c r="F168" s="13" t="s">
        <v>965</v>
      </c>
      <c r="G168" s="13" t="s">
        <v>1080</v>
      </c>
      <c r="H168" s="13" t="s">
        <v>1081</v>
      </c>
      <c r="I168" s="13" t="s">
        <v>1082</v>
      </c>
      <c r="J168" s="7"/>
      <c r="K168" s="7"/>
      <c r="L168" s="7" t="s">
        <v>93</v>
      </c>
      <c r="M168" s="7" t="s">
        <v>93</v>
      </c>
      <c r="N168" s="10"/>
      <c r="O168" s="9" t="str">
        <f t="shared" si="2"/>
        <v/>
      </c>
      <c r="P168" s="11"/>
      <c r="Q168" s="12"/>
      <c r="R168" s="11"/>
      <c r="S168" s="7"/>
    </row>
    <row r="169" spans="1:19" ht="14.4" x14ac:dyDescent="0.3">
      <c r="A169" s="6" t="s">
        <v>292</v>
      </c>
      <c r="B169" s="6" t="s">
        <v>1073</v>
      </c>
      <c r="C169" s="6" t="s">
        <v>1084</v>
      </c>
      <c r="D169" s="6" t="s">
        <v>85</v>
      </c>
      <c r="E169" s="6" t="s">
        <v>1085</v>
      </c>
      <c r="F169" s="13" t="s">
        <v>965</v>
      </c>
      <c r="G169" s="13" t="s">
        <v>1086</v>
      </c>
      <c r="H169" s="13" t="s">
        <v>1087</v>
      </c>
      <c r="I169" s="13"/>
      <c r="J169" s="7"/>
      <c r="K169" s="7"/>
      <c r="L169" s="7" t="s">
        <v>93</v>
      </c>
      <c r="M169" s="7" t="s">
        <v>93</v>
      </c>
      <c r="N169" s="10"/>
      <c r="O169" s="9" t="str">
        <f t="shared" si="2"/>
        <v/>
      </c>
      <c r="P169" s="11"/>
      <c r="Q169" s="12"/>
      <c r="R169" s="11"/>
      <c r="S169" s="7"/>
    </row>
    <row r="170" spans="1:19" ht="14.4" x14ac:dyDescent="0.3">
      <c r="A170" s="6" t="s">
        <v>292</v>
      </c>
      <c r="B170" s="6" t="s">
        <v>1073</v>
      </c>
      <c r="C170" s="6" t="s">
        <v>1088</v>
      </c>
      <c r="D170" s="6" t="s">
        <v>85</v>
      </c>
      <c r="E170" s="6" t="s">
        <v>1089</v>
      </c>
      <c r="F170" s="13" t="s">
        <v>1090</v>
      </c>
      <c r="G170" s="13" t="s">
        <v>1091</v>
      </c>
      <c r="H170" s="13" t="s">
        <v>1092</v>
      </c>
      <c r="I170" s="13"/>
      <c r="J170" s="7"/>
      <c r="K170" s="7"/>
      <c r="L170" s="7" t="s">
        <v>93</v>
      </c>
      <c r="M170" s="7" t="s">
        <v>93</v>
      </c>
      <c r="N170" s="10"/>
      <c r="O170" s="9" t="str">
        <f t="shared" si="2"/>
        <v/>
      </c>
      <c r="P170" s="11"/>
      <c r="Q170" s="12"/>
      <c r="R170" s="11"/>
      <c r="S170" s="7"/>
    </row>
    <row r="171" spans="1:19" ht="14.4" x14ac:dyDescent="0.3">
      <c r="A171" s="6" t="s">
        <v>292</v>
      </c>
      <c r="B171" s="6" t="s">
        <v>1073</v>
      </c>
      <c r="C171" s="6" t="s">
        <v>1093</v>
      </c>
      <c r="D171" s="6" t="s">
        <v>85</v>
      </c>
      <c r="E171" s="6" t="s">
        <v>1094</v>
      </c>
      <c r="F171" s="13" t="s">
        <v>1095</v>
      </c>
      <c r="G171" s="13" t="s">
        <v>1096</v>
      </c>
      <c r="H171" s="13" t="s">
        <v>1097</v>
      </c>
      <c r="I171" s="13"/>
      <c r="J171" s="7"/>
      <c r="K171" s="7"/>
      <c r="L171" s="7" t="s">
        <v>93</v>
      </c>
      <c r="M171" s="7" t="s">
        <v>93</v>
      </c>
      <c r="N171" s="10"/>
      <c r="O171" s="9" t="str">
        <f t="shared" si="2"/>
        <v/>
      </c>
      <c r="P171" s="11"/>
      <c r="Q171" s="12"/>
      <c r="R171" s="11"/>
      <c r="S171" s="7"/>
    </row>
    <row r="172" spans="1:19" ht="14.4" x14ac:dyDescent="0.3">
      <c r="A172" s="6" t="s">
        <v>292</v>
      </c>
      <c r="B172" s="6" t="s">
        <v>1073</v>
      </c>
      <c r="C172" s="6" t="s">
        <v>1098</v>
      </c>
      <c r="D172" s="6" t="s">
        <v>85</v>
      </c>
      <c r="E172" s="6" t="s">
        <v>1099</v>
      </c>
      <c r="F172" s="13" t="s">
        <v>1100</v>
      </c>
      <c r="G172" s="13" t="s">
        <v>1096</v>
      </c>
      <c r="H172" s="13" t="s">
        <v>1101</v>
      </c>
      <c r="I172" s="13"/>
      <c r="J172" s="7"/>
      <c r="K172" s="7"/>
      <c r="L172" s="7" t="s">
        <v>93</v>
      </c>
      <c r="M172" s="7" t="s">
        <v>93</v>
      </c>
      <c r="N172" s="10"/>
      <c r="O172" s="9" t="str">
        <f t="shared" si="2"/>
        <v/>
      </c>
      <c r="P172" s="11"/>
      <c r="Q172" s="12"/>
      <c r="R172" s="11"/>
      <c r="S172" s="7"/>
    </row>
    <row r="173" spans="1:19" ht="14.4" x14ac:dyDescent="0.3">
      <c r="A173" s="6" t="s">
        <v>292</v>
      </c>
      <c r="B173" s="6" t="s">
        <v>1073</v>
      </c>
      <c r="C173" s="6" t="s">
        <v>1102</v>
      </c>
      <c r="D173" s="6" t="s">
        <v>85</v>
      </c>
      <c r="E173" s="6" t="s">
        <v>1103</v>
      </c>
      <c r="F173" s="13" t="s">
        <v>687</v>
      </c>
      <c r="G173" s="13" t="s">
        <v>546</v>
      </c>
      <c r="H173" s="13" t="s">
        <v>1104</v>
      </c>
      <c r="I173" s="13"/>
      <c r="J173" s="7"/>
      <c r="K173" s="7"/>
      <c r="L173" s="7" t="s">
        <v>93</v>
      </c>
      <c r="M173" s="7" t="s">
        <v>93</v>
      </c>
      <c r="N173" s="10"/>
      <c r="O173" s="9" t="str">
        <f t="shared" si="2"/>
        <v/>
      </c>
      <c r="P173" s="11"/>
      <c r="Q173" s="12"/>
      <c r="R173" s="11"/>
      <c r="S173" s="7"/>
    </row>
    <row r="174" spans="1:19" ht="14.4" x14ac:dyDescent="0.3">
      <c r="A174" s="6" t="s">
        <v>292</v>
      </c>
      <c r="B174" s="6" t="s">
        <v>1073</v>
      </c>
      <c r="C174" s="6" t="s">
        <v>1105</v>
      </c>
      <c r="D174" s="6" t="s">
        <v>85</v>
      </c>
      <c r="E174" s="6" t="s">
        <v>1106</v>
      </c>
      <c r="F174" s="13" t="s">
        <v>1107</v>
      </c>
      <c r="G174" s="13" t="s">
        <v>1108</v>
      </c>
      <c r="H174" s="13" t="s">
        <v>1109</v>
      </c>
      <c r="I174" s="13"/>
      <c r="J174" s="7"/>
      <c r="K174" s="7"/>
      <c r="L174" s="7" t="s">
        <v>93</v>
      </c>
      <c r="M174" s="7" t="s">
        <v>93</v>
      </c>
      <c r="N174" s="10"/>
      <c r="O174" s="9" t="str">
        <f t="shared" si="2"/>
        <v/>
      </c>
      <c r="P174" s="11"/>
      <c r="Q174" s="12"/>
      <c r="R174" s="11"/>
      <c r="S174" s="7"/>
    </row>
    <row r="175" spans="1:19" ht="14.4" x14ac:dyDescent="0.3">
      <c r="A175" s="6" t="s">
        <v>292</v>
      </c>
      <c r="B175" s="6" t="s">
        <v>1073</v>
      </c>
      <c r="C175" s="6" t="s">
        <v>1111</v>
      </c>
      <c r="D175" s="6" t="s">
        <v>85</v>
      </c>
      <c r="E175" s="6" t="s">
        <v>1112</v>
      </c>
      <c r="F175" s="13" t="s">
        <v>687</v>
      </c>
      <c r="G175" s="13" t="s">
        <v>1113</v>
      </c>
      <c r="H175" s="13" t="s">
        <v>1114</v>
      </c>
      <c r="I175" s="13"/>
      <c r="J175" s="7"/>
      <c r="K175" s="7"/>
      <c r="L175" s="7" t="s">
        <v>93</v>
      </c>
      <c r="M175" s="7" t="s">
        <v>93</v>
      </c>
      <c r="N175" s="10"/>
      <c r="O175" s="9" t="str">
        <f t="shared" si="2"/>
        <v/>
      </c>
      <c r="P175" s="11"/>
      <c r="Q175" s="12"/>
      <c r="R175" s="11"/>
      <c r="S175" s="7"/>
    </row>
    <row r="176" spans="1:19" ht="14.4" x14ac:dyDescent="0.3">
      <c r="A176" s="6" t="s">
        <v>292</v>
      </c>
      <c r="B176" s="6" t="s">
        <v>1073</v>
      </c>
      <c r="C176" s="6" t="s">
        <v>1115</v>
      </c>
      <c r="D176" s="6" t="s">
        <v>85</v>
      </c>
      <c r="E176" s="6" t="s">
        <v>1116</v>
      </c>
      <c r="F176" s="13" t="s">
        <v>687</v>
      </c>
      <c r="G176" s="13" t="s">
        <v>231</v>
      </c>
      <c r="H176" s="13" t="s">
        <v>1117</v>
      </c>
      <c r="I176" s="13" t="s">
        <v>1118</v>
      </c>
      <c r="J176" s="7"/>
      <c r="K176" s="7"/>
      <c r="L176" s="7" t="s">
        <v>93</v>
      </c>
      <c r="M176" s="7" t="s">
        <v>93</v>
      </c>
      <c r="N176" s="10"/>
      <c r="O176" s="9" t="str">
        <f t="shared" si="2"/>
        <v/>
      </c>
      <c r="P176" s="11"/>
      <c r="Q176" s="12"/>
      <c r="R176" s="11"/>
      <c r="S176" s="7"/>
    </row>
    <row r="177" spans="1:19" ht="14.4" x14ac:dyDescent="0.3">
      <c r="A177" s="6" t="s">
        <v>292</v>
      </c>
      <c r="B177" s="6" t="s">
        <v>1073</v>
      </c>
      <c r="C177" s="6" t="s">
        <v>1119</v>
      </c>
      <c r="D177" s="6" t="s">
        <v>85</v>
      </c>
      <c r="E177" s="6" t="s">
        <v>1120</v>
      </c>
      <c r="F177" s="13" t="s">
        <v>1121</v>
      </c>
      <c r="G177" s="13" t="s">
        <v>1122</v>
      </c>
      <c r="H177" s="13" t="s">
        <v>1123</v>
      </c>
      <c r="I177" s="13" t="s">
        <v>1124</v>
      </c>
      <c r="J177" s="7"/>
      <c r="K177" s="7"/>
      <c r="L177" s="7" t="s">
        <v>93</v>
      </c>
      <c r="M177" s="7" t="s">
        <v>93</v>
      </c>
      <c r="N177" s="10"/>
      <c r="O177" s="9" t="str">
        <f t="shared" si="2"/>
        <v/>
      </c>
      <c r="P177" s="11"/>
      <c r="Q177" s="12"/>
      <c r="R177" s="11"/>
      <c r="S177" s="7"/>
    </row>
    <row r="178" spans="1:19" ht="14.4" x14ac:dyDescent="0.3">
      <c r="A178" s="6" t="s">
        <v>292</v>
      </c>
      <c r="B178" s="6" t="s">
        <v>1073</v>
      </c>
      <c r="C178" s="6" t="s">
        <v>1125</v>
      </c>
      <c r="D178" s="6" t="s">
        <v>85</v>
      </c>
      <c r="E178" s="6" t="s">
        <v>1126</v>
      </c>
      <c r="F178" s="13" t="s">
        <v>630</v>
      </c>
      <c r="G178" s="13" t="s">
        <v>1127</v>
      </c>
      <c r="H178" s="13"/>
      <c r="I178" s="13"/>
      <c r="J178" s="7"/>
      <c r="K178" s="7"/>
      <c r="L178" s="7" t="s">
        <v>93</v>
      </c>
      <c r="M178" s="7" t="s">
        <v>93</v>
      </c>
      <c r="N178" s="10"/>
      <c r="O178" s="9" t="str">
        <f t="shared" si="2"/>
        <v/>
      </c>
      <c r="P178" s="11"/>
      <c r="Q178" s="12"/>
      <c r="R178" s="11"/>
      <c r="S178" s="7"/>
    </row>
    <row r="179" spans="1:19" ht="14.4" x14ac:dyDescent="0.3">
      <c r="A179" s="6" t="s">
        <v>292</v>
      </c>
      <c r="B179" s="6" t="s">
        <v>1073</v>
      </c>
      <c r="C179" s="6" t="s">
        <v>1128</v>
      </c>
      <c r="D179" s="6" t="s">
        <v>85</v>
      </c>
      <c r="E179" s="6" t="s">
        <v>1129</v>
      </c>
      <c r="F179" s="13" t="s">
        <v>1130</v>
      </c>
      <c r="G179" s="13" t="s">
        <v>892</v>
      </c>
      <c r="H179" s="13" t="s">
        <v>1131</v>
      </c>
      <c r="I179" s="13"/>
      <c r="J179" s="7"/>
      <c r="K179" s="7"/>
      <c r="L179" s="7" t="s">
        <v>93</v>
      </c>
      <c r="M179" s="7" t="s">
        <v>93</v>
      </c>
      <c r="N179" s="10"/>
      <c r="O179" s="9" t="str">
        <f t="shared" si="2"/>
        <v/>
      </c>
      <c r="P179" s="11"/>
      <c r="Q179" s="12"/>
      <c r="R179" s="11"/>
      <c r="S179" s="7"/>
    </row>
    <row r="180" spans="1:19" ht="14.4" x14ac:dyDescent="0.3">
      <c r="A180" s="6" t="s">
        <v>292</v>
      </c>
      <c r="B180" s="6" t="s">
        <v>1073</v>
      </c>
      <c r="C180" s="6" t="s">
        <v>1132</v>
      </c>
      <c r="D180" s="6" t="s">
        <v>85</v>
      </c>
      <c r="E180" s="6" t="s">
        <v>1133</v>
      </c>
      <c r="F180" s="13" t="s">
        <v>1130</v>
      </c>
      <c r="G180" s="13" t="s">
        <v>1134</v>
      </c>
      <c r="H180" s="13" t="s">
        <v>1135</v>
      </c>
      <c r="I180" s="13" t="s">
        <v>1136</v>
      </c>
      <c r="J180" s="7"/>
      <c r="K180" s="7"/>
      <c r="L180" s="7" t="s">
        <v>93</v>
      </c>
      <c r="M180" s="7" t="s">
        <v>93</v>
      </c>
      <c r="N180" s="10"/>
      <c r="O180" s="9" t="str">
        <f t="shared" si="2"/>
        <v/>
      </c>
      <c r="P180" s="11"/>
      <c r="Q180" s="12"/>
      <c r="R180" s="11"/>
      <c r="S180" s="7"/>
    </row>
    <row r="181" spans="1:19" ht="14.4" x14ac:dyDescent="0.3">
      <c r="A181" s="6" t="s">
        <v>292</v>
      </c>
      <c r="B181" s="6" t="s">
        <v>1073</v>
      </c>
      <c r="C181" s="6" t="s">
        <v>1137</v>
      </c>
      <c r="D181" s="6" t="s">
        <v>85</v>
      </c>
      <c r="E181" s="6" t="s">
        <v>1138</v>
      </c>
      <c r="F181" s="13" t="s">
        <v>1063</v>
      </c>
      <c r="G181" s="13" t="s">
        <v>280</v>
      </c>
      <c r="H181" s="13" t="s">
        <v>1139</v>
      </c>
      <c r="I181" s="13"/>
      <c r="J181" s="7"/>
      <c r="K181" s="7"/>
      <c r="L181" s="7" t="s">
        <v>93</v>
      </c>
      <c r="M181" s="7" t="s">
        <v>93</v>
      </c>
      <c r="N181" s="10"/>
      <c r="O181" s="9" t="str">
        <f t="shared" si="2"/>
        <v/>
      </c>
      <c r="P181" s="11"/>
      <c r="Q181" s="12"/>
      <c r="R181" s="11"/>
      <c r="S181" s="7"/>
    </row>
    <row r="182" spans="1:19" ht="14.4" x14ac:dyDescent="0.3">
      <c r="A182" s="6" t="s">
        <v>292</v>
      </c>
      <c r="B182" s="6" t="s">
        <v>1073</v>
      </c>
      <c r="C182" s="6" t="s">
        <v>1141</v>
      </c>
      <c r="D182" s="6" t="s">
        <v>85</v>
      </c>
      <c r="E182" s="6" t="s">
        <v>1142</v>
      </c>
      <c r="F182" s="13" t="s">
        <v>1143</v>
      </c>
      <c r="G182" s="13" t="s">
        <v>1144</v>
      </c>
      <c r="H182" s="13" t="s">
        <v>1145</v>
      </c>
      <c r="I182" s="13"/>
      <c r="J182" s="7"/>
      <c r="K182" s="7"/>
      <c r="L182" s="7" t="s">
        <v>93</v>
      </c>
      <c r="M182" s="7" t="s">
        <v>93</v>
      </c>
      <c r="N182" s="10"/>
      <c r="O182" s="9" t="str">
        <f t="shared" si="2"/>
        <v/>
      </c>
      <c r="P182" s="11"/>
      <c r="Q182" s="12"/>
      <c r="R182" s="11"/>
      <c r="S182" s="7"/>
    </row>
    <row r="183" spans="1:19" ht="14.4" x14ac:dyDescent="0.3">
      <c r="A183" s="6" t="s">
        <v>292</v>
      </c>
      <c r="B183" s="6" t="s">
        <v>1073</v>
      </c>
      <c r="C183" s="6" t="s">
        <v>1146</v>
      </c>
      <c r="D183" s="6" t="s">
        <v>85</v>
      </c>
      <c r="E183" s="6" t="s">
        <v>1147</v>
      </c>
      <c r="F183" s="13" t="s">
        <v>1148</v>
      </c>
      <c r="G183" s="13" t="s">
        <v>972</v>
      </c>
      <c r="H183" s="13" t="s">
        <v>1149</v>
      </c>
      <c r="I183" s="13" t="s">
        <v>1150</v>
      </c>
      <c r="J183" s="7"/>
      <c r="K183" s="7"/>
      <c r="L183" s="7" t="s">
        <v>93</v>
      </c>
      <c r="M183" s="7" t="s">
        <v>93</v>
      </c>
      <c r="N183" s="10"/>
      <c r="O183" s="9" t="str">
        <f t="shared" si="2"/>
        <v/>
      </c>
      <c r="P183" s="11"/>
      <c r="Q183" s="12"/>
      <c r="R183" s="11"/>
      <c r="S183" s="7"/>
    </row>
    <row r="184" spans="1:19" ht="14.4" x14ac:dyDescent="0.3">
      <c r="A184" s="6" t="s">
        <v>292</v>
      </c>
      <c r="B184" s="6" t="s">
        <v>1073</v>
      </c>
      <c r="C184" s="6" t="s">
        <v>1151</v>
      </c>
      <c r="D184" s="6" t="s">
        <v>85</v>
      </c>
      <c r="E184" s="6" t="s">
        <v>1152</v>
      </c>
      <c r="F184" s="13" t="s">
        <v>1153</v>
      </c>
      <c r="G184" s="13" t="s">
        <v>1154</v>
      </c>
      <c r="H184" s="13" t="s">
        <v>1155</v>
      </c>
      <c r="I184" s="13"/>
      <c r="J184" s="7"/>
      <c r="K184" s="7"/>
      <c r="L184" s="7" t="s">
        <v>93</v>
      </c>
      <c r="M184" s="7" t="s">
        <v>93</v>
      </c>
      <c r="N184" s="10"/>
      <c r="O184" s="9" t="str">
        <f t="shared" si="2"/>
        <v/>
      </c>
      <c r="P184" s="11"/>
      <c r="Q184" s="12"/>
      <c r="R184" s="11"/>
      <c r="S184" s="7"/>
    </row>
    <row r="185" spans="1:19" ht="14.4" x14ac:dyDescent="0.3">
      <c r="A185" s="6" t="s">
        <v>292</v>
      </c>
      <c r="B185" s="6" t="s">
        <v>1073</v>
      </c>
      <c r="C185" s="6" t="s">
        <v>1156</v>
      </c>
      <c r="D185" s="6" t="s">
        <v>85</v>
      </c>
      <c r="E185" s="6" t="s">
        <v>1157</v>
      </c>
      <c r="F185" s="13" t="s">
        <v>1158</v>
      </c>
      <c r="G185" s="13" t="s">
        <v>1159</v>
      </c>
      <c r="H185" s="13" t="s">
        <v>1160</v>
      </c>
      <c r="I185" s="13"/>
      <c r="J185" s="7"/>
      <c r="K185" s="7"/>
      <c r="L185" s="7" t="s">
        <v>93</v>
      </c>
      <c r="M185" s="7" t="s">
        <v>93</v>
      </c>
      <c r="N185" s="10"/>
      <c r="O185" s="9" t="str">
        <f t="shared" si="2"/>
        <v/>
      </c>
      <c r="P185" s="11"/>
      <c r="Q185" s="12"/>
      <c r="R185" s="11"/>
      <c r="S185" s="7"/>
    </row>
    <row r="186" spans="1:19" ht="14.4" x14ac:dyDescent="0.3">
      <c r="A186" s="6" t="s">
        <v>292</v>
      </c>
      <c r="B186" s="6" t="s">
        <v>1073</v>
      </c>
      <c r="C186" s="6" t="s">
        <v>1161</v>
      </c>
      <c r="D186" s="6" t="s">
        <v>85</v>
      </c>
      <c r="E186" s="6" t="s">
        <v>1162</v>
      </c>
      <c r="F186" s="13" t="s">
        <v>1163</v>
      </c>
      <c r="G186" s="13" t="s">
        <v>1164</v>
      </c>
      <c r="H186" s="13" t="s">
        <v>1165</v>
      </c>
      <c r="I186" s="13"/>
      <c r="J186" s="7"/>
      <c r="K186" s="7"/>
      <c r="L186" s="7" t="s">
        <v>93</v>
      </c>
      <c r="M186" s="7" t="s">
        <v>93</v>
      </c>
      <c r="N186" s="10"/>
      <c r="O186" s="9" t="str">
        <f t="shared" si="2"/>
        <v/>
      </c>
      <c r="P186" s="11"/>
      <c r="Q186" s="12"/>
      <c r="R186" s="11"/>
      <c r="S186" s="7"/>
    </row>
    <row r="187" spans="1:19" ht="14.4" x14ac:dyDescent="0.3">
      <c r="A187" s="6" t="s">
        <v>292</v>
      </c>
      <c r="B187" s="6" t="s">
        <v>1073</v>
      </c>
      <c r="C187" s="6" t="s">
        <v>1166</v>
      </c>
      <c r="D187" s="6" t="s">
        <v>85</v>
      </c>
      <c r="E187" s="6" t="s">
        <v>1167</v>
      </c>
      <c r="F187" s="13" t="s">
        <v>1168</v>
      </c>
      <c r="G187" s="13" t="s">
        <v>759</v>
      </c>
      <c r="H187" s="13" t="s">
        <v>1169</v>
      </c>
      <c r="I187" s="13" t="s">
        <v>1170</v>
      </c>
      <c r="J187" s="7"/>
      <c r="K187" s="7"/>
      <c r="L187" s="7" t="s">
        <v>93</v>
      </c>
      <c r="M187" s="7" t="s">
        <v>93</v>
      </c>
      <c r="N187" s="10"/>
      <c r="O187" s="9" t="str">
        <f t="shared" si="2"/>
        <v/>
      </c>
      <c r="P187" s="11"/>
      <c r="Q187" s="12"/>
      <c r="R187" s="11"/>
      <c r="S187" s="7"/>
    </row>
    <row r="188" spans="1:19" ht="14.4" x14ac:dyDescent="0.3">
      <c r="A188" s="6" t="s">
        <v>292</v>
      </c>
      <c r="B188" s="6" t="s">
        <v>1073</v>
      </c>
      <c r="C188" s="6" t="s">
        <v>1171</v>
      </c>
      <c r="D188" s="6" t="s">
        <v>85</v>
      </c>
      <c r="E188" s="6" t="s">
        <v>1172</v>
      </c>
      <c r="F188" s="13" t="s">
        <v>697</v>
      </c>
      <c r="G188" s="13" t="s">
        <v>1173</v>
      </c>
      <c r="H188" s="13" t="s">
        <v>1174</v>
      </c>
      <c r="I188" s="13" t="s">
        <v>1175</v>
      </c>
      <c r="J188" s="7"/>
      <c r="K188" s="7"/>
      <c r="L188" s="7" t="s">
        <v>93</v>
      </c>
      <c r="M188" s="7" t="s">
        <v>93</v>
      </c>
      <c r="N188" s="10"/>
      <c r="O188" s="9" t="str">
        <f t="shared" si="2"/>
        <v/>
      </c>
      <c r="P188" s="11"/>
      <c r="Q188" s="12"/>
      <c r="R188" s="11"/>
      <c r="S188" s="7"/>
    </row>
    <row r="189" spans="1:19" ht="14.4" x14ac:dyDescent="0.3">
      <c r="A189" s="6" t="s">
        <v>292</v>
      </c>
      <c r="B189" s="6" t="s">
        <v>1073</v>
      </c>
      <c r="C189" s="6" t="s">
        <v>1176</v>
      </c>
      <c r="D189" s="6" t="s">
        <v>85</v>
      </c>
      <c r="E189" s="6" t="s">
        <v>1177</v>
      </c>
      <c r="F189" s="13" t="s">
        <v>697</v>
      </c>
      <c r="G189" s="13" t="s">
        <v>1178</v>
      </c>
      <c r="H189" s="13"/>
      <c r="I189" s="13"/>
      <c r="J189" s="7"/>
      <c r="K189" s="7"/>
      <c r="L189" s="7" t="s">
        <v>93</v>
      </c>
      <c r="M189" s="7" t="s">
        <v>93</v>
      </c>
      <c r="N189" s="10"/>
      <c r="O189" s="9" t="str">
        <f t="shared" si="2"/>
        <v/>
      </c>
      <c r="P189" s="11"/>
      <c r="Q189" s="12"/>
      <c r="R189" s="11"/>
      <c r="S189" s="7"/>
    </row>
    <row r="190" spans="1:19" ht="14.4" x14ac:dyDescent="0.3">
      <c r="A190" s="6" t="s">
        <v>292</v>
      </c>
      <c r="B190" s="6" t="s">
        <v>1073</v>
      </c>
      <c r="C190" s="6" t="s">
        <v>1179</v>
      </c>
      <c r="D190" s="6" t="s">
        <v>85</v>
      </c>
      <c r="E190" s="6" t="s">
        <v>1180</v>
      </c>
      <c r="F190" s="13" t="s">
        <v>1181</v>
      </c>
      <c r="G190" s="13" t="s">
        <v>1182</v>
      </c>
      <c r="H190" s="13" t="s">
        <v>1183</v>
      </c>
      <c r="I190" s="13"/>
      <c r="J190" s="7"/>
      <c r="K190" s="7"/>
      <c r="L190" s="7" t="s">
        <v>93</v>
      </c>
      <c r="M190" s="7" t="s">
        <v>93</v>
      </c>
      <c r="N190" s="10"/>
      <c r="O190" s="9" t="str">
        <f t="shared" si="2"/>
        <v/>
      </c>
      <c r="P190" s="11"/>
      <c r="Q190" s="12"/>
      <c r="R190" s="11"/>
      <c r="S190" s="7"/>
    </row>
    <row r="191" spans="1:19" ht="14.4" x14ac:dyDescent="0.3">
      <c r="A191" s="6" t="s">
        <v>292</v>
      </c>
      <c r="B191" s="6" t="s">
        <v>1073</v>
      </c>
      <c r="C191" s="6" t="s">
        <v>1184</v>
      </c>
      <c r="D191" s="6" t="s">
        <v>85</v>
      </c>
      <c r="E191" s="6" t="s">
        <v>1185</v>
      </c>
      <c r="F191" s="13" t="s">
        <v>1186</v>
      </c>
      <c r="G191" s="13" t="s">
        <v>1187</v>
      </c>
      <c r="H191" s="13" t="s">
        <v>1188</v>
      </c>
      <c r="I191" s="13" t="s">
        <v>1189</v>
      </c>
      <c r="J191" s="7"/>
      <c r="K191" s="7"/>
      <c r="L191" s="7" t="s">
        <v>93</v>
      </c>
      <c r="M191" s="7" t="s">
        <v>93</v>
      </c>
      <c r="N191" s="10"/>
      <c r="O191" s="9" t="str">
        <f t="shared" si="2"/>
        <v/>
      </c>
      <c r="P191" s="11"/>
      <c r="Q191" s="12"/>
      <c r="R191" s="11"/>
      <c r="S191" s="7"/>
    </row>
    <row r="192" spans="1:19" ht="14.4" x14ac:dyDescent="0.3">
      <c r="A192" s="6" t="s">
        <v>292</v>
      </c>
      <c r="B192" s="6" t="s">
        <v>1073</v>
      </c>
      <c r="C192" s="6" t="s">
        <v>1190</v>
      </c>
      <c r="D192" s="6" t="s">
        <v>85</v>
      </c>
      <c r="E192" s="6" t="s">
        <v>1191</v>
      </c>
      <c r="F192" s="13" t="s">
        <v>1192</v>
      </c>
      <c r="G192" s="13" t="s">
        <v>1193</v>
      </c>
      <c r="H192" s="13" t="s">
        <v>1194</v>
      </c>
      <c r="I192" s="13"/>
      <c r="J192" s="7"/>
      <c r="K192" s="7"/>
      <c r="L192" s="7" t="s">
        <v>93</v>
      </c>
      <c r="M192" s="7" t="s">
        <v>93</v>
      </c>
      <c r="N192" s="10"/>
      <c r="O192" s="9" t="str">
        <f t="shared" si="2"/>
        <v/>
      </c>
      <c r="P192" s="11"/>
      <c r="Q192" s="12"/>
      <c r="R192" s="11"/>
      <c r="S192" s="7"/>
    </row>
    <row r="193" spans="1:19" ht="14.4" x14ac:dyDescent="0.3">
      <c r="A193" s="6" t="s">
        <v>292</v>
      </c>
      <c r="B193" s="6" t="s">
        <v>1073</v>
      </c>
      <c r="C193" s="6" t="s">
        <v>1195</v>
      </c>
      <c r="D193" s="6" t="s">
        <v>85</v>
      </c>
      <c r="E193" s="6" t="s">
        <v>1196</v>
      </c>
      <c r="F193" s="13" t="s">
        <v>1197</v>
      </c>
      <c r="G193" s="13" t="s">
        <v>998</v>
      </c>
      <c r="H193" s="13" t="s">
        <v>1198</v>
      </c>
      <c r="I193" s="13"/>
      <c r="J193" s="7"/>
      <c r="K193" s="7"/>
      <c r="L193" s="7" t="s">
        <v>93</v>
      </c>
      <c r="M193" s="7" t="s">
        <v>93</v>
      </c>
      <c r="N193" s="10"/>
      <c r="O193" s="9" t="str">
        <f t="shared" si="2"/>
        <v/>
      </c>
      <c r="P193" s="11"/>
      <c r="Q193" s="12"/>
      <c r="R193" s="11"/>
      <c r="S193" s="7"/>
    </row>
    <row r="194" spans="1:19" ht="14.4" x14ac:dyDescent="0.3">
      <c r="A194" s="6" t="s">
        <v>292</v>
      </c>
      <c r="B194" s="6" t="s">
        <v>1073</v>
      </c>
      <c r="C194" s="6" t="s">
        <v>1199</v>
      </c>
      <c r="D194" s="6" t="s">
        <v>85</v>
      </c>
      <c r="E194" s="6" t="s">
        <v>1200</v>
      </c>
      <c r="F194" s="13" t="s">
        <v>1201</v>
      </c>
      <c r="G194" s="13" t="s">
        <v>1202</v>
      </c>
      <c r="H194" s="13" t="s">
        <v>1203</v>
      </c>
      <c r="I194" s="13"/>
      <c r="J194" s="7"/>
      <c r="K194" s="7"/>
      <c r="L194" s="7" t="s">
        <v>93</v>
      </c>
      <c r="M194" s="7" t="s">
        <v>93</v>
      </c>
      <c r="N194" s="10"/>
      <c r="O194" s="9" t="str">
        <f t="shared" ref="O194:O257" si="3">IF(L194="oui","incomplet",IF(OR(J194="non",K194="non"),"a_regulariser",IF(AND(J194="oui",K194="oui"),"ok","")))</f>
        <v/>
      </c>
      <c r="P194" s="11"/>
      <c r="Q194" s="12"/>
      <c r="R194" s="11"/>
      <c r="S194" s="7"/>
    </row>
    <row r="195" spans="1:19" ht="14.4" x14ac:dyDescent="0.3">
      <c r="A195" s="6" t="s">
        <v>292</v>
      </c>
      <c r="B195" s="6" t="s">
        <v>1073</v>
      </c>
      <c r="C195" s="6" t="s">
        <v>1204</v>
      </c>
      <c r="D195" s="6" t="s">
        <v>85</v>
      </c>
      <c r="E195" s="6" t="s">
        <v>1205</v>
      </c>
      <c r="F195" s="13" t="s">
        <v>1206</v>
      </c>
      <c r="G195" s="13" t="s">
        <v>1207</v>
      </c>
      <c r="H195" s="13" t="s">
        <v>1208</v>
      </c>
      <c r="I195" s="13" t="s">
        <v>1209</v>
      </c>
      <c r="J195" s="7"/>
      <c r="K195" s="7"/>
      <c r="L195" s="7" t="s">
        <v>93</v>
      </c>
      <c r="M195" s="7" t="s">
        <v>93</v>
      </c>
      <c r="N195" s="10"/>
      <c r="O195" s="9" t="str">
        <f t="shared" si="3"/>
        <v/>
      </c>
      <c r="P195" s="11"/>
      <c r="Q195" s="12"/>
      <c r="R195" s="11"/>
      <c r="S195" s="7"/>
    </row>
    <row r="196" spans="1:19" ht="14.4" x14ac:dyDescent="0.3">
      <c r="A196" s="6" t="s">
        <v>292</v>
      </c>
      <c r="B196" s="6" t="s">
        <v>1073</v>
      </c>
      <c r="C196" s="6" t="s">
        <v>1210</v>
      </c>
      <c r="D196" s="6" t="s">
        <v>85</v>
      </c>
      <c r="E196" s="6" t="s">
        <v>1211</v>
      </c>
      <c r="F196" s="13" t="s">
        <v>1212</v>
      </c>
      <c r="G196" s="13" t="s">
        <v>1213</v>
      </c>
      <c r="H196" s="13" t="s">
        <v>1214</v>
      </c>
      <c r="I196" s="13"/>
      <c r="J196" s="7"/>
      <c r="K196" s="7"/>
      <c r="L196" s="7" t="s">
        <v>93</v>
      </c>
      <c r="M196" s="7" t="s">
        <v>93</v>
      </c>
      <c r="N196" s="10"/>
      <c r="O196" s="9" t="str">
        <f t="shared" si="3"/>
        <v/>
      </c>
      <c r="P196" s="11"/>
      <c r="Q196" s="12"/>
      <c r="R196" s="11"/>
      <c r="S196" s="7"/>
    </row>
    <row r="197" spans="1:19" ht="14.4" x14ac:dyDescent="0.3">
      <c r="A197" s="6" t="s">
        <v>292</v>
      </c>
      <c r="B197" s="6" t="s">
        <v>1073</v>
      </c>
      <c r="C197" s="6" t="s">
        <v>1215</v>
      </c>
      <c r="D197" s="6" t="s">
        <v>85</v>
      </c>
      <c r="E197" s="6" t="s">
        <v>1216</v>
      </c>
      <c r="F197" s="13" t="s">
        <v>1217</v>
      </c>
      <c r="G197" s="13" t="s">
        <v>1218</v>
      </c>
      <c r="H197" s="13" t="s">
        <v>1219</v>
      </c>
      <c r="I197" s="13" t="s">
        <v>1220</v>
      </c>
      <c r="J197" s="7"/>
      <c r="K197" s="7"/>
      <c r="L197" s="7" t="s">
        <v>93</v>
      </c>
      <c r="M197" s="7" t="s">
        <v>93</v>
      </c>
      <c r="N197" s="10"/>
      <c r="O197" s="9" t="str">
        <f t="shared" si="3"/>
        <v/>
      </c>
      <c r="P197" s="11"/>
      <c r="Q197" s="12"/>
      <c r="R197" s="11"/>
      <c r="S197" s="7"/>
    </row>
    <row r="198" spans="1:19" ht="14.4" x14ac:dyDescent="0.3">
      <c r="A198" s="6" t="s">
        <v>292</v>
      </c>
      <c r="B198" s="6" t="s">
        <v>1073</v>
      </c>
      <c r="C198" s="6" t="s">
        <v>1221</v>
      </c>
      <c r="D198" s="6" t="s">
        <v>85</v>
      </c>
      <c r="E198" s="6" t="s">
        <v>1222</v>
      </c>
      <c r="F198" s="13" t="s">
        <v>1217</v>
      </c>
      <c r="G198" s="13" t="s">
        <v>1223</v>
      </c>
      <c r="H198" s="13" t="s">
        <v>1214</v>
      </c>
      <c r="I198" s="13"/>
      <c r="J198" s="7"/>
      <c r="K198" s="7"/>
      <c r="L198" s="7" t="s">
        <v>93</v>
      </c>
      <c r="M198" s="7" t="s">
        <v>93</v>
      </c>
      <c r="N198" s="10"/>
      <c r="O198" s="9" t="str">
        <f t="shared" si="3"/>
        <v/>
      </c>
      <c r="P198" s="11"/>
      <c r="Q198" s="12"/>
      <c r="R198" s="11"/>
      <c r="S198" s="7"/>
    </row>
    <row r="199" spans="1:19" ht="14.4" x14ac:dyDescent="0.3">
      <c r="A199" s="6" t="s">
        <v>292</v>
      </c>
      <c r="B199" s="6" t="s">
        <v>1073</v>
      </c>
      <c r="C199" s="6" t="s">
        <v>1224</v>
      </c>
      <c r="D199" s="6" t="s">
        <v>85</v>
      </c>
      <c r="E199" s="6" t="s">
        <v>1225</v>
      </c>
      <c r="F199" s="13" t="s">
        <v>697</v>
      </c>
      <c r="G199" s="13" t="s">
        <v>1226</v>
      </c>
      <c r="H199" s="13" t="s">
        <v>1227</v>
      </c>
      <c r="I199" s="13" t="s">
        <v>1228</v>
      </c>
      <c r="J199" s="7"/>
      <c r="K199" s="7"/>
      <c r="L199" s="7" t="s">
        <v>93</v>
      </c>
      <c r="M199" s="7" t="s">
        <v>93</v>
      </c>
      <c r="N199" s="10"/>
      <c r="O199" s="9" t="str">
        <f t="shared" si="3"/>
        <v/>
      </c>
      <c r="P199" s="11"/>
      <c r="Q199" s="12"/>
      <c r="R199" s="11"/>
      <c r="S199" s="7"/>
    </row>
    <row r="200" spans="1:19" ht="14.4" x14ac:dyDescent="0.3">
      <c r="A200" s="6" t="s">
        <v>292</v>
      </c>
      <c r="B200" s="6" t="s">
        <v>1073</v>
      </c>
      <c r="C200" s="6" t="s">
        <v>1230</v>
      </c>
      <c r="D200" s="6" t="s">
        <v>85</v>
      </c>
      <c r="E200" s="6" t="s">
        <v>1231</v>
      </c>
      <c r="F200" s="13" t="s">
        <v>1232</v>
      </c>
      <c r="G200" s="13" t="s">
        <v>1233</v>
      </c>
      <c r="H200" s="13" t="s">
        <v>1234</v>
      </c>
      <c r="I200" s="13"/>
      <c r="J200" s="7"/>
      <c r="K200" s="7"/>
      <c r="L200" s="7" t="s">
        <v>93</v>
      </c>
      <c r="M200" s="7" t="s">
        <v>93</v>
      </c>
      <c r="N200" s="10"/>
      <c r="O200" s="9" t="str">
        <f t="shared" si="3"/>
        <v/>
      </c>
      <c r="P200" s="11"/>
      <c r="Q200" s="12"/>
      <c r="R200" s="11"/>
      <c r="S200" s="7"/>
    </row>
    <row r="201" spans="1:19" ht="14.4" x14ac:dyDescent="0.3">
      <c r="A201" s="6" t="s">
        <v>292</v>
      </c>
      <c r="B201" s="6" t="s">
        <v>1073</v>
      </c>
      <c r="C201" s="6" t="s">
        <v>1235</v>
      </c>
      <c r="D201" s="6" t="s">
        <v>85</v>
      </c>
      <c r="E201" s="6" t="s">
        <v>1236</v>
      </c>
      <c r="F201" s="13" t="s">
        <v>299</v>
      </c>
      <c r="G201" s="13" t="s">
        <v>1237</v>
      </c>
      <c r="H201" s="13" t="s">
        <v>1238</v>
      </c>
      <c r="I201" s="13" t="s">
        <v>1239</v>
      </c>
      <c r="J201" s="7"/>
      <c r="K201" s="7"/>
      <c r="L201" s="7" t="s">
        <v>93</v>
      </c>
      <c r="M201" s="7" t="s">
        <v>93</v>
      </c>
      <c r="N201" s="10"/>
      <c r="O201" s="9" t="str">
        <f t="shared" si="3"/>
        <v/>
      </c>
      <c r="P201" s="11"/>
      <c r="Q201" s="12"/>
      <c r="R201" s="11"/>
      <c r="S201" s="7"/>
    </row>
    <row r="202" spans="1:19" ht="14.4" x14ac:dyDescent="0.3">
      <c r="A202" s="6" t="s">
        <v>292</v>
      </c>
      <c r="B202" s="6" t="s">
        <v>1073</v>
      </c>
      <c r="C202" s="6" t="s">
        <v>1240</v>
      </c>
      <c r="D202" s="6" t="s">
        <v>85</v>
      </c>
      <c r="E202" s="6" t="s">
        <v>1241</v>
      </c>
      <c r="F202" s="13" t="s">
        <v>1090</v>
      </c>
      <c r="G202" s="13" t="s">
        <v>1242</v>
      </c>
      <c r="H202" s="13" t="s">
        <v>1243</v>
      </c>
      <c r="I202" s="13"/>
      <c r="J202" s="7"/>
      <c r="K202" s="7"/>
      <c r="L202" s="7" t="s">
        <v>93</v>
      </c>
      <c r="M202" s="7" t="s">
        <v>93</v>
      </c>
      <c r="N202" s="10"/>
      <c r="O202" s="9" t="str">
        <f t="shared" si="3"/>
        <v/>
      </c>
      <c r="P202" s="11"/>
      <c r="Q202" s="12"/>
      <c r="R202" s="11"/>
      <c r="S202" s="7"/>
    </row>
    <row r="203" spans="1:19" ht="14.4" x14ac:dyDescent="0.3">
      <c r="A203" s="6" t="s">
        <v>292</v>
      </c>
      <c r="B203" s="6" t="s">
        <v>1073</v>
      </c>
      <c r="C203" s="6" t="s">
        <v>1244</v>
      </c>
      <c r="D203" s="6" t="s">
        <v>85</v>
      </c>
      <c r="E203" s="6" t="s">
        <v>1245</v>
      </c>
      <c r="F203" s="13" t="s">
        <v>1246</v>
      </c>
      <c r="G203" s="13" t="s">
        <v>1247</v>
      </c>
      <c r="H203" s="13" t="s">
        <v>1248</v>
      </c>
      <c r="I203" s="13"/>
      <c r="J203" s="7"/>
      <c r="K203" s="7"/>
      <c r="L203" s="7" t="s">
        <v>93</v>
      </c>
      <c r="M203" s="7" t="s">
        <v>93</v>
      </c>
      <c r="N203" s="10"/>
      <c r="O203" s="9" t="str">
        <f t="shared" si="3"/>
        <v/>
      </c>
      <c r="P203" s="11"/>
      <c r="Q203" s="12"/>
      <c r="R203" s="11"/>
      <c r="S203" s="7"/>
    </row>
    <row r="204" spans="1:19" ht="14.4" x14ac:dyDescent="0.3">
      <c r="A204" s="6" t="s">
        <v>292</v>
      </c>
      <c r="B204" s="6" t="s">
        <v>1073</v>
      </c>
      <c r="C204" s="6" t="s">
        <v>1249</v>
      </c>
      <c r="D204" s="6" t="s">
        <v>85</v>
      </c>
      <c r="E204" s="6" t="s">
        <v>1250</v>
      </c>
      <c r="F204" s="13" t="s">
        <v>1251</v>
      </c>
      <c r="G204" s="13" t="s">
        <v>1252</v>
      </c>
      <c r="H204" s="13" t="s">
        <v>1253</v>
      </c>
      <c r="I204" s="13"/>
      <c r="J204" s="7"/>
      <c r="K204" s="7"/>
      <c r="L204" s="7" t="s">
        <v>93</v>
      </c>
      <c r="M204" s="7" t="s">
        <v>93</v>
      </c>
      <c r="N204" s="10"/>
      <c r="O204" s="9" t="str">
        <f t="shared" si="3"/>
        <v/>
      </c>
      <c r="P204" s="11"/>
      <c r="Q204" s="12"/>
      <c r="R204" s="11"/>
      <c r="S204" s="7"/>
    </row>
    <row r="205" spans="1:19" ht="14.4" x14ac:dyDescent="0.3">
      <c r="A205" s="6" t="s">
        <v>292</v>
      </c>
      <c r="B205" s="6" t="s">
        <v>1073</v>
      </c>
      <c r="C205" s="6" t="s">
        <v>1254</v>
      </c>
      <c r="D205" s="6" t="s">
        <v>85</v>
      </c>
      <c r="E205" s="6" t="s">
        <v>1255</v>
      </c>
      <c r="F205" s="13" t="s">
        <v>1256</v>
      </c>
      <c r="G205" s="13" t="s">
        <v>1257</v>
      </c>
      <c r="H205" s="13" t="s">
        <v>1258</v>
      </c>
      <c r="I205" s="13"/>
      <c r="J205" s="7"/>
      <c r="K205" s="7"/>
      <c r="L205" s="7" t="s">
        <v>93</v>
      </c>
      <c r="M205" s="7" t="s">
        <v>93</v>
      </c>
      <c r="N205" s="10"/>
      <c r="O205" s="9" t="str">
        <f t="shared" si="3"/>
        <v/>
      </c>
      <c r="P205" s="11"/>
      <c r="Q205" s="12"/>
      <c r="R205" s="11"/>
      <c r="S205" s="7"/>
    </row>
    <row r="206" spans="1:19" ht="14.4" x14ac:dyDescent="0.3">
      <c r="A206" s="6" t="s">
        <v>292</v>
      </c>
      <c r="B206" s="6" t="s">
        <v>1073</v>
      </c>
      <c r="C206" s="6" t="s">
        <v>1259</v>
      </c>
      <c r="D206" s="6" t="s">
        <v>85</v>
      </c>
      <c r="E206" s="6" t="s">
        <v>1260</v>
      </c>
      <c r="F206" s="13"/>
      <c r="G206" s="13"/>
      <c r="H206" s="13"/>
      <c r="I206" s="13"/>
      <c r="J206" s="7"/>
      <c r="K206" s="7"/>
      <c r="L206" s="7" t="s">
        <v>93</v>
      </c>
      <c r="M206" s="7" t="s">
        <v>93</v>
      </c>
      <c r="N206" s="10"/>
      <c r="O206" s="9" t="str">
        <f t="shared" si="3"/>
        <v/>
      </c>
      <c r="P206" s="11"/>
      <c r="Q206" s="12"/>
      <c r="R206" s="11"/>
      <c r="S206" s="7"/>
    </row>
    <row r="207" spans="1:19" ht="14.4" x14ac:dyDescent="0.3">
      <c r="A207" s="6" t="s">
        <v>292</v>
      </c>
      <c r="B207" s="6" t="s">
        <v>1073</v>
      </c>
      <c r="C207" s="6" t="s">
        <v>1261</v>
      </c>
      <c r="D207" s="6" t="s">
        <v>85</v>
      </c>
      <c r="E207" s="6" t="s">
        <v>1262</v>
      </c>
      <c r="F207" s="13" t="s">
        <v>1263</v>
      </c>
      <c r="G207" s="13" t="s">
        <v>1264</v>
      </c>
      <c r="H207" s="13" t="s">
        <v>1265</v>
      </c>
      <c r="I207" s="13"/>
      <c r="J207" s="7"/>
      <c r="K207" s="7"/>
      <c r="L207" s="7" t="s">
        <v>93</v>
      </c>
      <c r="M207" s="7" t="s">
        <v>93</v>
      </c>
      <c r="N207" s="10"/>
      <c r="O207" s="9" t="str">
        <f t="shared" si="3"/>
        <v/>
      </c>
      <c r="P207" s="11"/>
      <c r="Q207" s="12"/>
      <c r="R207" s="11"/>
      <c r="S207" s="7"/>
    </row>
    <row r="208" spans="1:19" ht="14.4" x14ac:dyDescent="0.3">
      <c r="A208" s="6" t="s">
        <v>292</v>
      </c>
      <c r="B208" s="6" t="s">
        <v>1073</v>
      </c>
      <c r="C208" s="6" t="s">
        <v>1266</v>
      </c>
      <c r="D208" s="6" t="s">
        <v>85</v>
      </c>
      <c r="E208" s="6" t="s">
        <v>1267</v>
      </c>
      <c r="F208" s="13" t="s">
        <v>1268</v>
      </c>
      <c r="G208" s="13" t="s">
        <v>1269</v>
      </c>
      <c r="H208" s="13" t="s">
        <v>1270</v>
      </c>
      <c r="I208" s="13"/>
      <c r="J208" s="7"/>
      <c r="K208" s="7"/>
      <c r="L208" s="7" t="s">
        <v>93</v>
      </c>
      <c r="M208" s="7" t="s">
        <v>93</v>
      </c>
      <c r="N208" s="10"/>
      <c r="O208" s="9" t="str">
        <f t="shared" si="3"/>
        <v/>
      </c>
      <c r="P208" s="11"/>
      <c r="Q208" s="12"/>
      <c r="R208" s="11"/>
      <c r="S208" s="7"/>
    </row>
    <row r="209" spans="1:19" ht="14.4" x14ac:dyDescent="0.3">
      <c r="A209" s="6" t="s">
        <v>292</v>
      </c>
      <c r="B209" s="6" t="s">
        <v>1073</v>
      </c>
      <c r="C209" s="6" t="s">
        <v>1271</v>
      </c>
      <c r="D209" s="6" t="s">
        <v>85</v>
      </c>
      <c r="E209" s="6" t="s">
        <v>1272</v>
      </c>
      <c r="F209" s="13" t="s">
        <v>1273</v>
      </c>
      <c r="G209" s="13" t="s">
        <v>1274</v>
      </c>
      <c r="H209" s="13" t="s">
        <v>1275</v>
      </c>
      <c r="I209" s="13" t="s">
        <v>1276</v>
      </c>
      <c r="J209" s="7"/>
      <c r="K209" s="7"/>
      <c r="L209" s="7" t="s">
        <v>93</v>
      </c>
      <c r="M209" s="7" t="s">
        <v>93</v>
      </c>
      <c r="N209" s="10"/>
      <c r="O209" s="9" t="str">
        <f t="shared" si="3"/>
        <v/>
      </c>
      <c r="P209" s="11"/>
      <c r="Q209" s="12"/>
      <c r="R209" s="11"/>
      <c r="S209" s="7"/>
    </row>
    <row r="210" spans="1:19" ht="14.4" x14ac:dyDescent="0.3">
      <c r="A210" s="6" t="s">
        <v>292</v>
      </c>
      <c r="B210" s="6" t="s">
        <v>1073</v>
      </c>
      <c r="C210" s="6" t="s">
        <v>1277</v>
      </c>
      <c r="D210" s="6" t="s">
        <v>85</v>
      </c>
      <c r="E210" s="6" t="s">
        <v>1278</v>
      </c>
      <c r="F210" s="13" t="s">
        <v>1279</v>
      </c>
      <c r="G210" s="13" t="s">
        <v>1280</v>
      </c>
      <c r="H210" s="13" t="s">
        <v>1281</v>
      </c>
      <c r="I210" s="13" t="s">
        <v>1282</v>
      </c>
      <c r="J210" s="7"/>
      <c r="K210" s="7"/>
      <c r="L210" s="7" t="s">
        <v>93</v>
      </c>
      <c r="M210" s="7" t="s">
        <v>93</v>
      </c>
      <c r="N210" s="10"/>
      <c r="O210" s="9" t="str">
        <f t="shared" si="3"/>
        <v/>
      </c>
      <c r="P210" s="11"/>
      <c r="Q210" s="12"/>
      <c r="R210" s="11"/>
      <c r="S210" s="7"/>
    </row>
    <row r="211" spans="1:19" ht="14.4" x14ac:dyDescent="0.3">
      <c r="A211" s="6" t="s">
        <v>292</v>
      </c>
      <c r="B211" s="6" t="s">
        <v>1073</v>
      </c>
      <c r="C211" s="6" t="s">
        <v>1283</v>
      </c>
      <c r="D211" s="6" t="s">
        <v>85</v>
      </c>
      <c r="E211" s="6" t="s">
        <v>1284</v>
      </c>
      <c r="F211" s="13" t="s">
        <v>1285</v>
      </c>
      <c r="G211" s="13" t="s">
        <v>1286</v>
      </c>
      <c r="H211" s="13" t="s">
        <v>1287</v>
      </c>
      <c r="I211" s="13"/>
      <c r="J211" s="7"/>
      <c r="K211" s="7"/>
      <c r="L211" s="7" t="s">
        <v>93</v>
      </c>
      <c r="M211" s="7" t="s">
        <v>93</v>
      </c>
      <c r="N211" s="10"/>
      <c r="O211" s="9" t="str">
        <f t="shared" si="3"/>
        <v/>
      </c>
      <c r="P211" s="11"/>
      <c r="Q211" s="12"/>
      <c r="R211" s="11"/>
      <c r="S211" s="7"/>
    </row>
    <row r="212" spans="1:19" ht="14.4" x14ac:dyDescent="0.3">
      <c r="A212" s="6" t="s">
        <v>202</v>
      </c>
      <c r="B212" s="6" t="s">
        <v>1288</v>
      </c>
      <c r="C212" s="6" t="s">
        <v>1289</v>
      </c>
      <c r="D212" s="6" t="s">
        <v>1290</v>
      </c>
      <c r="E212" s="6" t="s">
        <v>1291</v>
      </c>
      <c r="F212" s="13" t="s">
        <v>1292</v>
      </c>
      <c r="G212" s="13" t="s">
        <v>892</v>
      </c>
      <c r="H212" s="13" t="s">
        <v>1293</v>
      </c>
      <c r="I212" s="13"/>
      <c r="J212" s="7"/>
      <c r="K212" s="7"/>
      <c r="L212" s="7" t="s">
        <v>93</v>
      </c>
      <c r="M212" s="7" t="s">
        <v>93</v>
      </c>
      <c r="N212" s="10"/>
      <c r="O212" s="9" t="str">
        <f t="shared" si="3"/>
        <v/>
      </c>
      <c r="P212" s="11"/>
      <c r="Q212" s="12"/>
      <c r="R212" s="11"/>
      <c r="S212" s="7"/>
    </row>
    <row r="213" spans="1:19" ht="14.4" x14ac:dyDescent="0.3">
      <c r="A213" s="6" t="s">
        <v>202</v>
      </c>
      <c r="B213" s="6" t="s">
        <v>1288</v>
      </c>
      <c r="C213" s="6" t="s">
        <v>1294</v>
      </c>
      <c r="D213" s="6" t="s">
        <v>1290</v>
      </c>
      <c r="E213" s="6" t="s">
        <v>1295</v>
      </c>
      <c r="F213" s="13" t="s">
        <v>1296</v>
      </c>
      <c r="G213" s="13" t="s">
        <v>1297</v>
      </c>
      <c r="H213" s="13" t="s">
        <v>1298</v>
      </c>
      <c r="I213" s="13"/>
      <c r="J213" s="7"/>
      <c r="K213" s="7"/>
      <c r="L213" s="7" t="s">
        <v>93</v>
      </c>
      <c r="M213" s="7" t="s">
        <v>93</v>
      </c>
      <c r="N213" s="10"/>
      <c r="O213" s="9" t="str">
        <f t="shared" si="3"/>
        <v/>
      </c>
      <c r="P213" s="11"/>
      <c r="Q213" s="12"/>
      <c r="R213" s="11"/>
      <c r="S213" s="7"/>
    </row>
    <row r="214" spans="1:19" ht="14.4" x14ac:dyDescent="0.3">
      <c r="A214" s="6" t="s">
        <v>202</v>
      </c>
      <c r="B214" s="6" t="s">
        <v>1288</v>
      </c>
      <c r="C214" s="6" t="s">
        <v>1300</v>
      </c>
      <c r="D214" s="6" t="s">
        <v>1290</v>
      </c>
      <c r="E214" s="6" t="s">
        <v>1301</v>
      </c>
      <c r="F214" s="13" t="s">
        <v>1302</v>
      </c>
      <c r="G214" s="13" t="s">
        <v>1303</v>
      </c>
      <c r="H214" s="13" t="s">
        <v>1304</v>
      </c>
      <c r="I214" s="13"/>
      <c r="J214" s="7"/>
      <c r="K214" s="7"/>
      <c r="L214" s="7" t="s">
        <v>93</v>
      </c>
      <c r="M214" s="7" t="s">
        <v>93</v>
      </c>
      <c r="N214" s="10"/>
      <c r="O214" s="9" t="str">
        <f t="shared" si="3"/>
        <v/>
      </c>
      <c r="P214" s="11"/>
      <c r="Q214" s="12"/>
      <c r="R214" s="11"/>
      <c r="S214" s="7"/>
    </row>
    <row r="215" spans="1:19" ht="14.4" x14ac:dyDescent="0.3">
      <c r="A215" s="6" t="s">
        <v>202</v>
      </c>
      <c r="B215" s="6" t="s">
        <v>1288</v>
      </c>
      <c r="C215" s="6" t="s">
        <v>1305</v>
      </c>
      <c r="D215" s="6" t="s">
        <v>1290</v>
      </c>
      <c r="E215" s="6" t="s">
        <v>1306</v>
      </c>
      <c r="F215" s="13" t="s">
        <v>1307</v>
      </c>
      <c r="G215" s="13" t="s">
        <v>424</v>
      </c>
      <c r="H215" s="13" t="s">
        <v>1308</v>
      </c>
      <c r="I215" s="13"/>
      <c r="J215" s="7"/>
      <c r="K215" s="7"/>
      <c r="L215" s="7" t="s">
        <v>93</v>
      </c>
      <c r="M215" s="7" t="s">
        <v>93</v>
      </c>
      <c r="N215" s="10"/>
      <c r="O215" s="9" t="str">
        <f t="shared" si="3"/>
        <v/>
      </c>
      <c r="P215" s="11"/>
      <c r="Q215" s="12"/>
      <c r="R215" s="11"/>
      <c r="S215" s="7"/>
    </row>
    <row r="216" spans="1:19" ht="14.4" x14ac:dyDescent="0.3">
      <c r="A216" s="6" t="s">
        <v>202</v>
      </c>
      <c r="B216" s="6" t="s">
        <v>1288</v>
      </c>
      <c r="C216" s="6" t="s">
        <v>1309</v>
      </c>
      <c r="D216" s="6" t="s">
        <v>1290</v>
      </c>
      <c r="E216" s="6" t="s">
        <v>1310</v>
      </c>
      <c r="F216" s="13" t="s">
        <v>1307</v>
      </c>
      <c r="G216" s="13" t="s">
        <v>1311</v>
      </c>
      <c r="H216" s="13" t="s">
        <v>1149</v>
      </c>
      <c r="I216" s="13"/>
      <c r="J216" s="7"/>
      <c r="K216" s="7"/>
      <c r="L216" s="7" t="s">
        <v>93</v>
      </c>
      <c r="M216" s="7" t="s">
        <v>93</v>
      </c>
      <c r="N216" s="10"/>
      <c r="O216" s="9" t="str">
        <f t="shared" si="3"/>
        <v/>
      </c>
      <c r="P216" s="11"/>
      <c r="Q216" s="12"/>
      <c r="R216" s="11"/>
      <c r="S216" s="7"/>
    </row>
    <row r="217" spans="1:19" ht="14.4" x14ac:dyDescent="0.3">
      <c r="A217" s="6" t="s">
        <v>202</v>
      </c>
      <c r="B217" s="6" t="s">
        <v>1288</v>
      </c>
      <c r="C217" s="6" t="s">
        <v>1312</v>
      </c>
      <c r="D217" s="6" t="s">
        <v>1290</v>
      </c>
      <c r="E217" s="6" t="s">
        <v>1313</v>
      </c>
      <c r="F217" s="13" t="s">
        <v>1314</v>
      </c>
      <c r="G217" s="13" t="s">
        <v>1315</v>
      </c>
      <c r="H217" s="13" t="s">
        <v>1316</v>
      </c>
      <c r="I217" s="13"/>
      <c r="J217" s="7"/>
      <c r="K217" s="7"/>
      <c r="L217" s="7" t="s">
        <v>93</v>
      </c>
      <c r="M217" s="7" t="s">
        <v>93</v>
      </c>
      <c r="N217" s="10"/>
      <c r="O217" s="9" t="str">
        <f t="shared" si="3"/>
        <v/>
      </c>
      <c r="P217" s="11"/>
      <c r="Q217" s="12"/>
      <c r="R217" s="11"/>
      <c r="S217" s="7"/>
    </row>
    <row r="218" spans="1:19" ht="14.4" x14ac:dyDescent="0.3">
      <c r="A218" s="6" t="s">
        <v>202</v>
      </c>
      <c r="B218" s="6" t="s">
        <v>1288</v>
      </c>
      <c r="C218" s="6" t="s">
        <v>1317</v>
      </c>
      <c r="D218" s="6" t="s">
        <v>1290</v>
      </c>
      <c r="E218" s="6" t="s">
        <v>1318</v>
      </c>
      <c r="F218" s="13" t="s">
        <v>1319</v>
      </c>
      <c r="G218" s="13" t="s">
        <v>1320</v>
      </c>
      <c r="H218" s="13" t="s">
        <v>1321</v>
      </c>
      <c r="I218" s="13"/>
      <c r="J218" s="7"/>
      <c r="K218" s="7"/>
      <c r="L218" s="7" t="s">
        <v>93</v>
      </c>
      <c r="M218" s="7" t="s">
        <v>93</v>
      </c>
      <c r="N218" s="10"/>
      <c r="O218" s="9" t="str">
        <f t="shared" si="3"/>
        <v/>
      </c>
      <c r="P218" s="11"/>
      <c r="Q218" s="12"/>
      <c r="R218" s="11"/>
      <c r="S218" s="7"/>
    </row>
    <row r="219" spans="1:19" ht="14.4" x14ac:dyDescent="0.3">
      <c r="A219" s="6" t="s">
        <v>202</v>
      </c>
      <c r="B219" s="6" t="s">
        <v>1288</v>
      </c>
      <c r="C219" s="6" t="s">
        <v>1322</v>
      </c>
      <c r="D219" s="6" t="s">
        <v>1290</v>
      </c>
      <c r="E219" s="6" t="s">
        <v>1323</v>
      </c>
      <c r="F219" s="13" t="s">
        <v>1324</v>
      </c>
      <c r="G219" s="13"/>
      <c r="H219" s="13" t="s">
        <v>1325</v>
      </c>
      <c r="I219" s="13" t="s">
        <v>1326</v>
      </c>
      <c r="J219" s="7"/>
      <c r="K219" s="7"/>
      <c r="L219" s="7" t="s">
        <v>93</v>
      </c>
      <c r="M219" s="7" t="s">
        <v>93</v>
      </c>
      <c r="N219" s="10"/>
      <c r="O219" s="9" t="str">
        <f t="shared" si="3"/>
        <v/>
      </c>
      <c r="P219" s="11"/>
      <c r="Q219" s="12"/>
      <c r="R219" s="11"/>
      <c r="S219" s="7"/>
    </row>
    <row r="220" spans="1:19" ht="14.4" x14ac:dyDescent="0.3">
      <c r="A220" s="6" t="s">
        <v>202</v>
      </c>
      <c r="B220" s="6" t="s">
        <v>1288</v>
      </c>
      <c r="C220" s="6" t="s">
        <v>1327</v>
      </c>
      <c r="D220" s="6" t="s">
        <v>1290</v>
      </c>
      <c r="E220" s="6" t="s">
        <v>1328</v>
      </c>
      <c r="F220" s="13" t="s">
        <v>1329</v>
      </c>
      <c r="G220" s="13" t="s">
        <v>1330</v>
      </c>
      <c r="H220" s="13" t="s">
        <v>1331</v>
      </c>
      <c r="I220" s="13"/>
      <c r="J220" s="7"/>
      <c r="K220" s="7"/>
      <c r="L220" s="7" t="s">
        <v>93</v>
      </c>
      <c r="M220" s="7" t="s">
        <v>93</v>
      </c>
      <c r="N220" s="10"/>
      <c r="O220" s="9" t="str">
        <f t="shared" si="3"/>
        <v/>
      </c>
      <c r="P220" s="11"/>
      <c r="Q220" s="12"/>
      <c r="R220" s="11"/>
      <c r="S220" s="7"/>
    </row>
    <row r="221" spans="1:19" ht="14.4" x14ac:dyDescent="0.3">
      <c r="A221" s="6" t="s">
        <v>202</v>
      </c>
      <c r="B221" s="6" t="s">
        <v>1288</v>
      </c>
      <c r="C221" s="6" t="s">
        <v>1332</v>
      </c>
      <c r="D221" s="6" t="s">
        <v>1290</v>
      </c>
      <c r="E221" s="6" t="s">
        <v>1333</v>
      </c>
      <c r="F221" s="13" t="s">
        <v>1334</v>
      </c>
      <c r="G221" s="13" t="s">
        <v>1037</v>
      </c>
      <c r="H221" s="13" t="s">
        <v>1335</v>
      </c>
      <c r="I221" s="13"/>
      <c r="J221" s="7"/>
      <c r="K221" s="7"/>
      <c r="L221" s="7" t="s">
        <v>93</v>
      </c>
      <c r="M221" s="7" t="s">
        <v>93</v>
      </c>
      <c r="N221" s="10"/>
      <c r="O221" s="9" t="str">
        <f t="shared" si="3"/>
        <v/>
      </c>
      <c r="P221" s="11"/>
      <c r="Q221" s="12"/>
      <c r="R221" s="11"/>
      <c r="S221" s="7"/>
    </row>
    <row r="222" spans="1:19" ht="14.4" x14ac:dyDescent="0.3">
      <c r="A222" s="6" t="s">
        <v>202</v>
      </c>
      <c r="B222" s="6" t="s">
        <v>1288</v>
      </c>
      <c r="C222" s="6" t="s">
        <v>1336</v>
      </c>
      <c r="D222" s="6" t="s">
        <v>1290</v>
      </c>
      <c r="E222" s="6" t="s">
        <v>1337</v>
      </c>
      <c r="F222" s="13" t="s">
        <v>687</v>
      </c>
      <c r="G222" s="13" t="s">
        <v>1338</v>
      </c>
      <c r="H222" s="13" t="s">
        <v>1339</v>
      </c>
      <c r="I222" s="13"/>
      <c r="J222" s="7"/>
      <c r="K222" s="7"/>
      <c r="L222" s="7" t="s">
        <v>93</v>
      </c>
      <c r="M222" s="7" t="s">
        <v>93</v>
      </c>
      <c r="N222" s="10"/>
      <c r="O222" s="9" t="str">
        <f t="shared" si="3"/>
        <v/>
      </c>
      <c r="P222" s="11"/>
      <c r="Q222" s="12"/>
      <c r="R222" s="11"/>
      <c r="S222" s="7"/>
    </row>
    <row r="223" spans="1:19" ht="14.4" x14ac:dyDescent="0.3">
      <c r="A223" s="6" t="s">
        <v>202</v>
      </c>
      <c r="B223" s="6" t="s">
        <v>1288</v>
      </c>
      <c r="C223" s="6" t="s">
        <v>1341</v>
      </c>
      <c r="D223" s="6" t="s">
        <v>1290</v>
      </c>
      <c r="E223" s="6" t="s">
        <v>1342</v>
      </c>
      <c r="F223" s="13" t="s">
        <v>697</v>
      </c>
      <c r="G223" s="13" t="s">
        <v>1343</v>
      </c>
      <c r="H223" s="13" t="s">
        <v>1344</v>
      </c>
      <c r="I223" s="13"/>
      <c r="J223" s="7"/>
      <c r="K223" s="7"/>
      <c r="L223" s="7" t="s">
        <v>93</v>
      </c>
      <c r="M223" s="7" t="s">
        <v>93</v>
      </c>
      <c r="N223" s="10"/>
      <c r="O223" s="9" t="str">
        <f t="shared" si="3"/>
        <v/>
      </c>
      <c r="P223" s="11"/>
      <c r="Q223" s="12"/>
      <c r="R223" s="11"/>
      <c r="S223" s="7"/>
    </row>
    <row r="224" spans="1:19" ht="14.4" x14ac:dyDescent="0.3">
      <c r="A224" s="6" t="s">
        <v>202</v>
      </c>
      <c r="B224" s="6" t="s">
        <v>1288</v>
      </c>
      <c r="C224" s="6" t="s">
        <v>1345</v>
      </c>
      <c r="D224" s="6" t="s">
        <v>1290</v>
      </c>
      <c r="E224" s="6" t="s">
        <v>1346</v>
      </c>
      <c r="F224" s="13" t="s">
        <v>1347</v>
      </c>
      <c r="G224" s="13" t="s">
        <v>1348</v>
      </c>
      <c r="H224" s="13" t="s">
        <v>1349</v>
      </c>
      <c r="I224" s="13"/>
      <c r="J224" s="7"/>
      <c r="K224" s="7"/>
      <c r="L224" s="7" t="s">
        <v>93</v>
      </c>
      <c r="M224" s="7" t="s">
        <v>93</v>
      </c>
      <c r="N224" s="10"/>
      <c r="O224" s="9" t="str">
        <f t="shared" si="3"/>
        <v/>
      </c>
      <c r="P224" s="11"/>
      <c r="Q224" s="12"/>
      <c r="R224" s="11"/>
      <c r="S224" s="7"/>
    </row>
    <row r="225" spans="1:19" ht="14.4" x14ac:dyDescent="0.3">
      <c r="A225" s="6" t="s">
        <v>202</v>
      </c>
      <c r="B225" s="6" t="s">
        <v>1288</v>
      </c>
      <c r="C225" s="6" t="s">
        <v>1350</v>
      </c>
      <c r="D225" s="6" t="s">
        <v>1290</v>
      </c>
      <c r="E225" s="6" t="s">
        <v>1351</v>
      </c>
      <c r="F225" s="13" t="s">
        <v>1347</v>
      </c>
      <c r="G225" s="13" t="s">
        <v>1352</v>
      </c>
      <c r="H225" s="13" t="s">
        <v>1353</v>
      </c>
      <c r="I225" s="13"/>
      <c r="J225" s="7"/>
      <c r="K225" s="7"/>
      <c r="L225" s="7" t="s">
        <v>93</v>
      </c>
      <c r="M225" s="7" t="s">
        <v>93</v>
      </c>
      <c r="N225" s="10"/>
      <c r="O225" s="9" t="str">
        <f t="shared" si="3"/>
        <v/>
      </c>
      <c r="P225" s="11"/>
      <c r="Q225" s="12"/>
      <c r="R225" s="11"/>
      <c r="S225" s="7"/>
    </row>
    <row r="226" spans="1:19" ht="14.4" x14ac:dyDescent="0.3">
      <c r="A226" s="6" t="s">
        <v>202</v>
      </c>
      <c r="B226" s="6" t="s">
        <v>1288</v>
      </c>
      <c r="C226" s="6" t="s">
        <v>1354</v>
      </c>
      <c r="D226" s="6" t="s">
        <v>1290</v>
      </c>
      <c r="E226" s="6" t="s">
        <v>1355</v>
      </c>
      <c r="F226" s="13" t="s">
        <v>1356</v>
      </c>
      <c r="G226" s="13" t="s">
        <v>1357</v>
      </c>
      <c r="H226" s="13"/>
      <c r="I226" s="13"/>
      <c r="J226" s="7"/>
      <c r="K226" s="7"/>
      <c r="L226" s="7" t="s">
        <v>93</v>
      </c>
      <c r="M226" s="7" t="s">
        <v>93</v>
      </c>
      <c r="N226" s="10"/>
      <c r="O226" s="9" t="str">
        <f t="shared" si="3"/>
        <v/>
      </c>
      <c r="P226" s="11"/>
      <c r="Q226" s="12"/>
      <c r="R226" s="11"/>
      <c r="S226" s="7"/>
    </row>
    <row r="227" spans="1:19" ht="14.4" x14ac:dyDescent="0.3">
      <c r="A227" s="6" t="s">
        <v>202</v>
      </c>
      <c r="B227" s="6" t="s">
        <v>1288</v>
      </c>
      <c r="C227" s="6" t="s">
        <v>1358</v>
      </c>
      <c r="D227" s="6" t="s">
        <v>1290</v>
      </c>
      <c r="E227" s="6" t="s">
        <v>1359</v>
      </c>
      <c r="F227" s="13" t="s">
        <v>1360</v>
      </c>
      <c r="G227" s="13" t="s">
        <v>1361</v>
      </c>
      <c r="H227" s="13" t="s">
        <v>1362</v>
      </c>
      <c r="I227" s="13" t="s">
        <v>1363</v>
      </c>
      <c r="J227" s="7"/>
      <c r="K227" s="7"/>
      <c r="L227" s="7" t="s">
        <v>93</v>
      </c>
      <c r="M227" s="7" t="s">
        <v>93</v>
      </c>
      <c r="N227" s="10"/>
      <c r="O227" s="9" t="str">
        <f t="shared" si="3"/>
        <v/>
      </c>
      <c r="P227" s="11"/>
      <c r="Q227" s="12"/>
      <c r="R227" s="11"/>
      <c r="S227" s="7"/>
    </row>
    <row r="228" spans="1:19" ht="14.4" x14ac:dyDescent="0.3">
      <c r="A228" s="6" t="s">
        <v>202</v>
      </c>
      <c r="B228" s="6" t="s">
        <v>1288</v>
      </c>
      <c r="C228" s="6" t="s">
        <v>1365</v>
      </c>
      <c r="D228" s="6" t="s">
        <v>1290</v>
      </c>
      <c r="E228" s="6" t="s">
        <v>1366</v>
      </c>
      <c r="F228" s="13" t="s">
        <v>1367</v>
      </c>
      <c r="G228" s="13" t="s">
        <v>738</v>
      </c>
      <c r="H228" s="13" t="s">
        <v>1368</v>
      </c>
      <c r="I228" s="13"/>
      <c r="J228" s="7"/>
      <c r="K228" s="7"/>
      <c r="L228" s="7" t="s">
        <v>93</v>
      </c>
      <c r="M228" s="7" t="s">
        <v>93</v>
      </c>
      <c r="N228" s="10"/>
      <c r="O228" s="9" t="str">
        <f t="shared" si="3"/>
        <v/>
      </c>
      <c r="P228" s="11"/>
      <c r="Q228" s="12"/>
      <c r="R228" s="11"/>
      <c r="S228" s="7"/>
    </row>
    <row r="229" spans="1:19" ht="14.4" x14ac:dyDescent="0.3">
      <c r="A229" s="6" t="s">
        <v>202</v>
      </c>
      <c r="B229" s="6" t="s">
        <v>1288</v>
      </c>
      <c r="C229" s="6" t="s">
        <v>1369</v>
      </c>
      <c r="D229" s="6" t="s">
        <v>1290</v>
      </c>
      <c r="E229" s="6" t="s">
        <v>1370</v>
      </c>
      <c r="F229" s="13" t="s">
        <v>625</v>
      </c>
      <c r="G229" s="13" t="s">
        <v>1371</v>
      </c>
      <c r="H229" s="13"/>
      <c r="I229" s="13"/>
      <c r="J229" s="7"/>
      <c r="K229" s="7"/>
      <c r="L229" s="7" t="s">
        <v>93</v>
      </c>
      <c r="M229" s="7" t="s">
        <v>93</v>
      </c>
      <c r="N229" s="10"/>
      <c r="O229" s="9" t="str">
        <f t="shared" si="3"/>
        <v/>
      </c>
      <c r="P229" s="11"/>
      <c r="Q229" s="12"/>
      <c r="R229" s="11"/>
      <c r="S229" s="7"/>
    </row>
    <row r="230" spans="1:19" ht="14.4" x14ac:dyDescent="0.3">
      <c r="A230" s="6" t="s">
        <v>202</v>
      </c>
      <c r="B230" s="6" t="s">
        <v>1288</v>
      </c>
      <c r="C230" s="6" t="s">
        <v>1372</v>
      </c>
      <c r="D230" s="6" t="s">
        <v>1290</v>
      </c>
      <c r="E230" s="6" t="s">
        <v>1373</v>
      </c>
      <c r="F230" s="13" t="s">
        <v>1374</v>
      </c>
      <c r="G230" s="13" t="s">
        <v>1375</v>
      </c>
      <c r="H230" s="13" t="s">
        <v>1376</v>
      </c>
      <c r="I230" s="13"/>
      <c r="J230" s="7"/>
      <c r="K230" s="7"/>
      <c r="L230" s="7" t="s">
        <v>93</v>
      </c>
      <c r="M230" s="7" t="s">
        <v>93</v>
      </c>
      <c r="N230" s="10"/>
      <c r="O230" s="9" t="str">
        <f t="shared" si="3"/>
        <v/>
      </c>
      <c r="P230" s="11"/>
      <c r="Q230" s="12"/>
      <c r="R230" s="11"/>
      <c r="S230" s="7"/>
    </row>
    <row r="231" spans="1:19" ht="14.4" x14ac:dyDescent="0.3">
      <c r="A231" s="6" t="s">
        <v>202</v>
      </c>
      <c r="B231" s="6" t="s">
        <v>1288</v>
      </c>
      <c r="C231" s="6" t="s">
        <v>1377</v>
      </c>
      <c r="D231" s="6" t="s">
        <v>1290</v>
      </c>
      <c r="E231" s="6" t="s">
        <v>1378</v>
      </c>
      <c r="F231" s="13" t="s">
        <v>428</v>
      </c>
      <c r="G231" s="13" t="s">
        <v>1379</v>
      </c>
      <c r="H231" s="13" t="s">
        <v>1380</v>
      </c>
      <c r="I231" s="13"/>
      <c r="J231" s="7"/>
      <c r="K231" s="7"/>
      <c r="L231" s="7" t="s">
        <v>93</v>
      </c>
      <c r="M231" s="7" t="s">
        <v>93</v>
      </c>
      <c r="N231" s="10"/>
      <c r="O231" s="9" t="str">
        <f t="shared" si="3"/>
        <v/>
      </c>
      <c r="P231" s="11"/>
      <c r="Q231" s="12"/>
      <c r="R231" s="11"/>
      <c r="S231" s="7"/>
    </row>
    <row r="232" spans="1:19" ht="14.4" x14ac:dyDescent="0.3">
      <c r="A232" s="6" t="s">
        <v>202</v>
      </c>
      <c r="B232" s="6" t="s">
        <v>1288</v>
      </c>
      <c r="C232" s="6" t="s">
        <v>1381</v>
      </c>
      <c r="D232" s="6" t="s">
        <v>1290</v>
      </c>
      <c r="E232" s="6" t="s">
        <v>1382</v>
      </c>
      <c r="F232" s="13" t="s">
        <v>1383</v>
      </c>
      <c r="G232" s="13" t="s">
        <v>1384</v>
      </c>
      <c r="H232" s="13" t="s">
        <v>1385</v>
      </c>
      <c r="I232" s="13"/>
      <c r="J232" s="7"/>
      <c r="K232" s="7"/>
      <c r="L232" s="7" t="s">
        <v>93</v>
      </c>
      <c r="M232" s="7" t="s">
        <v>93</v>
      </c>
      <c r="N232" s="10"/>
      <c r="O232" s="9" t="str">
        <f t="shared" si="3"/>
        <v/>
      </c>
      <c r="P232" s="11"/>
      <c r="Q232" s="12"/>
      <c r="R232" s="11"/>
      <c r="S232" s="7"/>
    </row>
    <row r="233" spans="1:19" ht="14.4" x14ac:dyDescent="0.3">
      <c r="A233" s="6" t="s">
        <v>202</v>
      </c>
      <c r="B233" s="6" t="s">
        <v>1288</v>
      </c>
      <c r="C233" s="6" t="s">
        <v>1386</v>
      </c>
      <c r="D233" s="6" t="s">
        <v>1290</v>
      </c>
      <c r="E233" s="6" t="s">
        <v>1387</v>
      </c>
      <c r="F233" s="13" t="s">
        <v>1383</v>
      </c>
      <c r="G233" s="13" t="s">
        <v>1388</v>
      </c>
      <c r="H233" s="13" t="s">
        <v>1389</v>
      </c>
      <c r="I233" s="13"/>
      <c r="J233" s="7"/>
      <c r="K233" s="7"/>
      <c r="L233" s="7" t="s">
        <v>93</v>
      </c>
      <c r="M233" s="7" t="s">
        <v>93</v>
      </c>
      <c r="N233" s="10"/>
      <c r="O233" s="9" t="str">
        <f t="shared" si="3"/>
        <v/>
      </c>
      <c r="P233" s="11"/>
      <c r="Q233" s="12"/>
      <c r="R233" s="11"/>
      <c r="S233" s="7"/>
    </row>
    <row r="234" spans="1:19" ht="14.4" x14ac:dyDescent="0.3">
      <c r="A234" s="6" t="s">
        <v>202</v>
      </c>
      <c r="B234" s="6" t="s">
        <v>1288</v>
      </c>
      <c r="C234" s="6" t="s">
        <v>1390</v>
      </c>
      <c r="D234" s="6" t="s">
        <v>1290</v>
      </c>
      <c r="E234" s="6" t="s">
        <v>1391</v>
      </c>
      <c r="F234" s="13" t="s">
        <v>299</v>
      </c>
      <c r="G234" s="13" t="s">
        <v>1392</v>
      </c>
      <c r="H234" s="13" t="s">
        <v>1393</v>
      </c>
      <c r="I234" s="13"/>
      <c r="J234" s="7"/>
      <c r="K234" s="7"/>
      <c r="L234" s="7" t="s">
        <v>93</v>
      </c>
      <c r="M234" s="7" t="s">
        <v>93</v>
      </c>
      <c r="N234" s="10"/>
      <c r="O234" s="9" t="str">
        <f t="shared" si="3"/>
        <v/>
      </c>
      <c r="P234" s="11"/>
      <c r="Q234" s="12"/>
      <c r="R234" s="11"/>
      <c r="S234" s="7"/>
    </row>
    <row r="235" spans="1:19" ht="14.4" x14ac:dyDescent="0.3">
      <c r="A235" s="6" t="s">
        <v>202</v>
      </c>
      <c r="B235" s="6" t="s">
        <v>1288</v>
      </c>
      <c r="C235" s="6" t="s">
        <v>1394</v>
      </c>
      <c r="D235" s="6" t="s">
        <v>1290</v>
      </c>
      <c r="E235" s="6" t="s">
        <v>1395</v>
      </c>
      <c r="F235" s="13" t="s">
        <v>1396</v>
      </c>
      <c r="G235" s="13" t="s">
        <v>259</v>
      </c>
      <c r="H235" s="13" t="s">
        <v>1397</v>
      </c>
      <c r="I235" s="13"/>
      <c r="J235" s="7"/>
      <c r="K235" s="7"/>
      <c r="L235" s="7" t="s">
        <v>93</v>
      </c>
      <c r="M235" s="7" t="s">
        <v>93</v>
      </c>
      <c r="N235" s="10"/>
      <c r="O235" s="9" t="str">
        <f t="shared" si="3"/>
        <v/>
      </c>
      <c r="P235" s="11"/>
      <c r="Q235" s="12"/>
      <c r="R235" s="11"/>
      <c r="S235" s="7"/>
    </row>
    <row r="236" spans="1:19" ht="14.4" x14ac:dyDescent="0.3">
      <c r="A236" s="6" t="s">
        <v>202</v>
      </c>
      <c r="B236" s="6" t="s">
        <v>1288</v>
      </c>
      <c r="C236" s="6" t="s">
        <v>1398</v>
      </c>
      <c r="D236" s="6" t="s">
        <v>1290</v>
      </c>
      <c r="E236" s="6" t="s">
        <v>1399</v>
      </c>
      <c r="F236" s="13" t="s">
        <v>1400</v>
      </c>
      <c r="G236" s="13" t="s">
        <v>1401</v>
      </c>
      <c r="H236" s="13" t="s">
        <v>1402</v>
      </c>
      <c r="I236" s="13" t="s">
        <v>1403</v>
      </c>
      <c r="J236" s="7"/>
      <c r="K236" s="7"/>
      <c r="L236" s="7" t="s">
        <v>93</v>
      </c>
      <c r="M236" s="7" t="s">
        <v>93</v>
      </c>
      <c r="N236" s="10"/>
      <c r="O236" s="9" t="str">
        <f t="shared" si="3"/>
        <v/>
      </c>
      <c r="P236" s="11"/>
      <c r="Q236" s="12"/>
      <c r="R236" s="11"/>
      <c r="S236" s="7"/>
    </row>
    <row r="237" spans="1:19" ht="14.4" x14ac:dyDescent="0.3">
      <c r="A237" s="6" t="s">
        <v>202</v>
      </c>
      <c r="B237" s="6" t="s">
        <v>1288</v>
      </c>
      <c r="C237" s="6" t="s">
        <v>1404</v>
      </c>
      <c r="D237" s="6" t="s">
        <v>1290</v>
      </c>
      <c r="E237" s="6" t="s">
        <v>1405</v>
      </c>
      <c r="F237" s="13" t="s">
        <v>1406</v>
      </c>
      <c r="G237" s="13" t="s">
        <v>1407</v>
      </c>
      <c r="H237" s="13" t="s">
        <v>1408</v>
      </c>
      <c r="I237" s="13" t="s">
        <v>1409</v>
      </c>
      <c r="J237" s="7"/>
      <c r="K237" s="7"/>
      <c r="L237" s="7" t="s">
        <v>93</v>
      </c>
      <c r="M237" s="7" t="s">
        <v>93</v>
      </c>
      <c r="N237" s="10"/>
      <c r="O237" s="9" t="str">
        <f t="shared" si="3"/>
        <v/>
      </c>
      <c r="P237" s="11"/>
      <c r="Q237" s="12"/>
      <c r="R237" s="11"/>
      <c r="S237" s="7"/>
    </row>
    <row r="238" spans="1:19" ht="14.4" x14ac:dyDescent="0.3">
      <c r="A238" s="6" t="s">
        <v>202</v>
      </c>
      <c r="B238" s="6" t="s">
        <v>1288</v>
      </c>
      <c r="C238" s="6" t="s">
        <v>1410</v>
      </c>
      <c r="D238" s="6" t="s">
        <v>1290</v>
      </c>
      <c r="E238" s="6" t="s">
        <v>1411</v>
      </c>
      <c r="F238" s="13" t="s">
        <v>1412</v>
      </c>
      <c r="G238" s="13" t="s">
        <v>1413</v>
      </c>
      <c r="H238" s="13" t="s">
        <v>1414</v>
      </c>
      <c r="I238" s="13"/>
      <c r="J238" s="7"/>
      <c r="K238" s="7"/>
      <c r="L238" s="7" t="s">
        <v>93</v>
      </c>
      <c r="M238" s="7" t="s">
        <v>93</v>
      </c>
      <c r="N238" s="10"/>
      <c r="O238" s="9" t="str">
        <f t="shared" si="3"/>
        <v/>
      </c>
      <c r="P238" s="11"/>
      <c r="Q238" s="12"/>
      <c r="R238" s="11"/>
      <c r="S238" s="7"/>
    </row>
    <row r="239" spans="1:19" ht="14.4" x14ac:dyDescent="0.3">
      <c r="A239" s="6" t="s">
        <v>202</v>
      </c>
      <c r="B239" s="6" t="s">
        <v>1288</v>
      </c>
      <c r="C239" s="6" t="s">
        <v>1415</v>
      </c>
      <c r="D239" s="6" t="s">
        <v>1290</v>
      </c>
      <c r="E239" s="6" t="s">
        <v>1416</v>
      </c>
      <c r="F239" s="13" t="s">
        <v>1417</v>
      </c>
      <c r="G239" s="13" t="s">
        <v>1384</v>
      </c>
      <c r="H239" s="13" t="s">
        <v>1418</v>
      </c>
      <c r="I239" s="13"/>
      <c r="J239" s="7"/>
      <c r="K239" s="7"/>
      <c r="L239" s="7" t="s">
        <v>93</v>
      </c>
      <c r="M239" s="7" t="s">
        <v>93</v>
      </c>
      <c r="N239" s="10"/>
      <c r="O239" s="9" t="str">
        <f t="shared" si="3"/>
        <v/>
      </c>
      <c r="P239" s="11"/>
      <c r="Q239" s="12"/>
      <c r="R239" s="11"/>
      <c r="S239" s="7"/>
    </row>
    <row r="240" spans="1:19" ht="14.4" x14ac:dyDescent="0.3">
      <c r="A240" s="6" t="s">
        <v>202</v>
      </c>
      <c r="B240" s="6" t="s">
        <v>1288</v>
      </c>
      <c r="C240" s="6" t="s">
        <v>1419</v>
      </c>
      <c r="D240" s="6" t="s">
        <v>1290</v>
      </c>
      <c r="E240" s="6" t="s">
        <v>1420</v>
      </c>
      <c r="F240" s="13" t="s">
        <v>1421</v>
      </c>
      <c r="G240" s="13" t="s">
        <v>881</v>
      </c>
      <c r="H240" s="13" t="s">
        <v>1422</v>
      </c>
      <c r="I240" s="13"/>
      <c r="J240" s="7"/>
      <c r="K240" s="7"/>
      <c r="L240" s="7" t="s">
        <v>93</v>
      </c>
      <c r="M240" s="7" t="s">
        <v>93</v>
      </c>
      <c r="N240" s="10"/>
      <c r="O240" s="9" t="str">
        <f t="shared" si="3"/>
        <v/>
      </c>
      <c r="P240" s="11"/>
      <c r="Q240" s="12"/>
      <c r="R240" s="11"/>
      <c r="S240" s="7"/>
    </row>
    <row r="241" spans="1:19" ht="14.4" x14ac:dyDescent="0.3">
      <c r="A241" s="6" t="s">
        <v>202</v>
      </c>
      <c r="B241" s="6" t="s">
        <v>1288</v>
      </c>
      <c r="C241" s="6" t="s">
        <v>1423</v>
      </c>
      <c r="D241" s="6" t="s">
        <v>1290</v>
      </c>
      <c r="E241" s="6" t="s">
        <v>1424</v>
      </c>
      <c r="F241" s="13" t="s">
        <v>1421</v>
      </c>
      <c r="G241" s="13" t="s">
        <v>1425</v>
      </c>
      <c r="H241" s="13" t="s">
        <v>1426</v>
      </c>
      <c r="I241" s="13"/>
      <c r="J241" s="7"/>
      <c r="K241" s="7"/>
      <c r="L241" s="7" t="s">
        <v>93</v>
      </c>
      <c r="M241" s="7" t="s">
        <v>93</v>
      </c>
      <c r="N241" s="10"/>
      <c r="O241" s="9" t="str">
        <f t="shared" si="3"/>
        <v/>
      </c>
      <c r="P241" s="11"/>
      <c r="Q241" s="12"/>
      <c r="R241" s="11"/>
      <c r="S241" s="7"/>
    </row>
    <row r="242" spans="1:19" ht="14.4" x14ac:dyDescent="0.3">
      <c r="A242" s="6" t="s">
        <v>202</v>
      </c>
      <c r="B242" s="6" t="s">
        <v>1288</v>
      </c>
      <c r="C242" s="6" t="s">
        <v>1427</v>
      </c>
      <c r="D242" s="6" t="s">
        <v>1290</v>
      </c>
      <c r="E242" s="6" t="s">
        <v>1428</v>
      </c>
      <c r="F242" s="13" t="s">
        <v>311</v>
      </c>
      <c r="G242" s="13" t="s">
        <v>611</v>
      </c>
      <c r="H242" s="13" t="s">
        <v>1429</v>
      </c>
      <c r="I242" s="13"/>
      <c r="J242" s="7"/>
      <c r="K242" s="7"/>
      <c r="L242" s="7" t="s">
        <v>93</v>
      </c>
      <c r="M242" s="7" t="s">
        <v>93</v>
      </c>
      <c r="N242" s="10"/>
      <c r="O242" s="9" t="str">
        <f t="shared" si="3"/>
        <v/>
      </c>
      <c r="P242" s="11"/>
      <c r="Q242" s="12"/>
      <c r="R242" s="11"/>
      <c r="S242" s="7"/>
    </row>
    <row r="243" spans="1:19" ht="14.4" x14ac:dyDescent="0.3">
      <c r="A243" s="6" t="s">
        <v>202</v>
      </c>
      <c r="B243" s="6" t="s">
        <v>1288</v>
      </c>
      <c r="C243" s="6" t="s">
        <v>1430</v>
      </c>
      <c r="D243" s="6" t="s">
        <v>1290</v>
      </c>
      <c r="E243" s="6" t="s">
        <v>1431</v>
      </c>
      <c r="F243" s="13" t="s">
        <v>1432</v>
      </c>
      <c r="G243" s="13" t="s">
        <v>1433</v>
      </c>
      <c r="H243" s="13" t="s">
        <v>1434</v>
      </c>
      <c r="I243" s="13" t="s">
        <v>1435</v>
      </c>
      <c r="J243" s="7"/>
      <c r="K243" s="7"/>
      <c r="L243" s="7" t="s">
        <v>93</v>
      </c>
      <c r="M243" s="7" t="s">
        <v>93</v>
      </c>
      <c r="N243" s="10"/>
      <c r="O243" s="9" t="str">
        <f t="shared" si="3"/>
        <v/>
      </c>
      <c r="P243" s="11"/>
      <c r="Q243" s="12"/>
      <c r="R243" s="11"/>
      <c r="S243" s="7"/>
    </row>
    <row r="244" spans="1:19" ht="14.4" x14ac:dyDescent="0.3">
      <c r="A244" s="6" t="s">
        <v>202</v>
      </c>
      <c r="B244" s="6" t="s">
        <v>1288</v>
      </c>
      <c r="C244" s="6" t="s">
        <v>1436</v>
      </c>
      <c r="D244" s="6" t="s">
        <v>1290</v>
      </c>
      <c r="E244" s="6" t="s">
        <v>1437</v>
      </c>
      <c r="F244" s="13" t="s">
        <v>1438</v>
      </c>
      <c r="G244" s="13" t="s">
        <v>1439</v>
      </c>
      <c r="H244" s="13" t="s">
        <v>1440</v>
      </c>
      <c r="I244" s="13"/>
      <c r="J244" s="7"/>
      <c r="K244" s="7"/>
      <c r="L244" s="7" t="s">
        <v>93</v>
      </c>
      <c r="M244" s="7" t="s">
        <v>93</v>
      </c>
      <c r="N244" s="10"/>
      <c r="O244" s="9" t="str">
        <f t="shared" si="3"/>
        <v/>
      </c>
      <c r="P244" s="11"/>
      <c r="Q244" s="12"/>
      <c r="R244" s="11"/>
      <c r="S244" s="7"/>
    </row>
    <row r="245" spans="1:19" ht="14.4" x14ac:dyDescent="0.3">
      <c r="A245" s="6" t="s">
        <v>202</v>
      </c>
      <c r="B245" s="6" t="s">
        <v>1288</v>
      </c>
      <c r="C245" s="6" t="s">
        <v>1441</v>
      </c>
      <c r="D245" s="6" t="s">
        <v>1290</v>
      </c>
      <c r="E245" s="6" t="s">
        <v>1442</v>
      </c>
      <c r="F245" s="13" t="s">
        <v>1356</v>
      </c>
      <c r="G245" s="13" t="s">
        <v>1443</v>
      </c>
      <c r="H245" s="13" t="s">
        <v>1444</v>
      </c>
      <c r="I245" s="13"/>
      <c r="J245" s="7"/>
      <c r="K245" s="7"/>
      <c r="L245" s="7" t="s">
        <v>93</v>
      </c>
      <c r="M245" s="7" t="s">
        <v>93</v>
      </c>
      <c r="N245" s="10"/>
      <c r="O245" s="9" t="str">
        <f t="shared" si="3"/>
        <v/>
      </c>
      <c r="P245" s="11"/>
      <c r="Q245" s="12"/>
      <c r="R245" s="11"/>
      <c r="S245" s="7"/>
    </row>
    <row r="246" spans="1:19" ht="14.4" x14ac:dyDescent="0.3">
      <c r="A246" s="6" t="s">
        <v>202</v>
      </c>
      <c r="B246" s="6" t="s">
        <v>1288</v>
      </c>
      <c r="C246" s="6" t="s">
        <v>1445</v>
      </c>
      <c r="D246" s="6" t="s">
        <v>1290</v>
      </c>
      <c r="E246" s="6" t="s">
        <v>1446</v>
      </c>
      <c r="F246" s="13" t="s">
        <v>1447</v>
      </c>
      <c r="G246" s="13" t="s">
        <v>1448</v>
      </c>
      <c r="H246" s="13" t="s">
        <v>1449</v>
      </c>
      <c r="I246" s="13"/>
      <c r="J246" s="7"/>
      <c r="K246" s="7"/>
      <c r="L246" s="7" t="s">
        <v>93</v>
      </c>
      <c r="M246" s="7" t="s">
        <v>93</v>
      </c>
      <c r="N246" s="10"/>
      <c r="O246" s="9" t="str">
        <f t="shared" si="3"/>
        <v/>
      </c>
      <c r="P246" s="11"/>
      <c r="Q246" s="12"/>
      <c r="R246" s="11"/>
      <c r="S246" s="7"/>
    </row>
    <row r="247" spans="1:19" ht="14.4" x14ac:dyDescent="0.3">
      <c r="A247" s="6" t="s">
        <v>202</v>
      </c>
      <c r="B247" s="6" t="s">
        <v>1288</v>
      </c>
      <c r="C247" s="6" t="s">
        <v>1450</v>
      </c>
      <c r="D247" s="6" t="s">
        <v>1290</v>
      </c>
      <c r="E247" s="6" t="s">
        <v>1451</v>
      </c>
      <c r="F247" s="13" t="s">
        <v>1452</v>
      </c>
      <c r="G247" s="13" t="s">
        <v>808</v>
      </c>
      <c r="H247" s="13" t="s">
        <v>1453</v>
      </c>
      <c r="I247" s="13"/>
      <c r="J247" s="7"/>
      <c r="K247" s="7"/>
      <c r="L247" s="7" t="s">
        <v>93</v>
      </c>
      <c r="M247" s="7" t="s">
        <v>93</v>
      </c>
      <c r="N247" s="10"/>
      <c r="O247" s="9" t="str">
        <f t="shared" si="3"/>
        <v/>
      </c>
      <c r="P247" s="11"/>
      <c r="Q247" s="12"/>
      <c r="R247" s="11"/>
      <c r="S247" s="7"/>
    </row>
    <row r="248" spans="1:19" ht="14.4" x14ac:dyDescent="0.3">
      <c r="A248" s="6" t="s">
        <v>202</v>
      </c>
      <c r="B248" s="6" t="s">
        <v>1288</v>
      </c>
      <c r="C248" s="6" t="s">
        <v>1454</v>
      </c>
      <c r="D248" s="6" t="s">
        <v>1290</v>
      </c>
      <c r="E248" s="6" t="s">
        <v>1455</v>
      </c>
      <c r="F248" s="13" t="s">
        <v>1456</v>
      </c>
      <c r="G248" s="13" t="s">
        <v>1457</v>
      </c>
      <c r="H248" s="13" t="s">
        <v>1458</v>
      </c>
      <c r="I248" s="13"/>
      <c r="J248" s="7"/>
      <c r="K248" s="7"/>
      <c r="L248" s="7" t="s">
        <v>93</v>
      </c>
      <c r="M248" s="7" t="s">
        <v>93</v>
      </c>
      <c r="N248" s="10"/>
      <c r="O248" s="9" t="str">
        <f t="shared" si="3"/>
        <v/>
      </c>
      <c r="P248" s="11"/>
      <c r="Q248" s="12"/>
      <c r="R248" s="11"/>
      <c r="S248" s="7"/>
    </row>
    <row r="249" spans="1:19" ht="14.4" x14ac:dyDescent="0.3">
      <c r="A249" s="6" t="s">
        <v>202</v>
      </c>
      <c r="B249" s="6" t="s">
        <v>1288</v>
      </c>
      <c r="C249" s="6" t="s">
        <v>1459</v>
      </c>
      <c r="D249" s="6" t="s">
        <v>1290</v>
      </c>
      <c r="E249" s="6" t="s">
        <v>1460</v>
      </c>
      <c r="F249" s="13" t="s">
        <v>1461</v>
      </c>
      <c r="G249" s="13" t="s">
        <v>1462</v>
      </c>
      <c r="H249" s="13" t="s">
        <v>1463</v>
      </c>
      <c r="I249" s="13"/>
      <c r="J249" s="7"/>
      <c r="K249" s="7"/>
      <c r="L249" s="7" t="s">
        <v>93</v>
      </c>
      <c r="M249" s="7" t="s">
        <v>93</v>
      </c>
      <c r="N249" s="10"/>
      <c r="O249" s="9" t="str">
        <f t="shared" si="3"/>
        <v/>
      </c>
      <c r="P249" s="11"/>
      <c r="Q249" s="12"/>
      <c r="R249" s="11"/>
      <c r="S249" s="7"/>
    </row>
    <row r="250" spans="1:19" ht="14.4" x14ac:dyDescent="0.3">
      <c r="A250" s="6" t="s">
        <v>202</v>
      </c>
      <c r="B250" s="6" t="s">
        <v>1288</v>
      </c>
      <c r="C250" s="6" t="s">
        <v>1464</v>
      </c>
      <c r="D250" s="6" t="s">
        <v>1290</v>
      </c>
      <c r="E250" s="6" t="s">
        <v>1465</v>
      </c>
      <c r="F250" s="13" t="s">
        <v>272</v>
      </c>
      <c r="G250" s="13" t="s">
        <v>1466</v>
      </c>
      <c r="H250" s="13" t="s">
        <v>1467</v>
      </c>
      <c r="I250" s="13" t="s">
        <v>1468</v>
      </c>
      <c r="J250" s="7"/>
      <c r="K250" s="7"/>
      <c r="L250" s="7" t="s">
        <v>93</v>
      </c>
      <c r="M250" s="7" t="s">
        <v>93</v>
      </c>
      <c r="N250" s="10"/>
      <c r="O250" s="9" t="str">
        <f t="shared" si="3"/>
        <v/>
      </c>
      <c r="P250" s="11"/>
      <c r="Q250" s="12"/>
      <c r="R250" s="11"/>
      <c r="S250" s="7"/>
    </row>
    <row r="251" spans="1:19" ht="14.4" x14ac:dyDescent="0.3">
      <c r="A251" s="6" t="s">
        <v>202</v>
      </c>
      <c r="B251" s="6" t="s">
        <v>1288</v>
      </c>
      <c r="C251" s="6" t="s">
        <v>1469</v>
      </c>
      <c r="D251" s="6" t="s">
        <v>1290</v>
      </c>
      <c r="E251" s="6" t="s">
        <v>1470</v>
      </c>
      <c r="F251" s="13" t="s">
        <v>1432</v>
      </c>
      <c r="G251" s="13" t="s">
        <v>1471</v>
      </c>
      <c r="H251" s="13" t="s">
        <v>1434</v>
      </c>
      <c r="I251" s="13"/>
      <c r="J251" s="7"/>
      <c r="K251" s="7"/>
      <c r="L251" s="7" t="s">
        <v>93</v>
      </c>
      <c r="M251" s="7" t="s">
        <v>93</v>
      </c>
      <c r="N251" s="10"/>
      <c r="O251" s="9" t="str">
        <f t="shared" si="3"/>
        <v/>
      </c>
      <c r="P251" s="11"/>
      <c r="Q251" s="12"/>
      <c r="R251" s="11"/>
      <c r="S251" s="7"/>
    </row>
    <row r="252" spans="1:19" ht="14.4" x14ac:dyDescent="0.3">
      <c r="A252" s="6" t="s">
        <v>202</v>
      </c>
      <c r="B252" s="6" t="s">
        <v>1472</v>
      </c>
      <c r="C252" s="6" t="s">
        <v>1473</v>
      </c>
      <c r="D252" s="6" t="s">
        <v>1474</v>
      </c>
      <c r="E252" s="6" t="s">
        <v>1475</v>
      </c>
      <c r="F252" s="13" t="s">
        <v>1476</v>
      </c>
      <c r="G252" s="13" t="s">
        <v>1477</v>
      </c>
      <c r="H252" s="13" t="s">
        <v>1478</v>
      </c>
      <c r="I252" s="13" t="s">
        <v>1479</v>
      </c>
      <c r="J252" s="7"/>
      <c r="K252" s="7"/>
      <c r="L252" s="7" t="s">
        <v>93</v>
      </c>
      <c r="M252" s="7" t="s">
        <v>93</v>
      </c>
      <c r="N252" s="10"/>
      <c r="O252" s="9" t="str">
        <f t="shared" si="3"/>
        <v/>
      </c>
      <c r="P252" s="11"/>
      <c r="Q252" s="12"/>
      <c r="R252" s="11"/>
      <c r="S252" s="7"/>
    </row>
    <row r="253" spans="1:19" ht="14.4" x14ac:dyDescent="0.3">
      <c r="A253" s="6" t="s">
        <v>202</v>
      </c>
      <c r="B253" s="6" t="s">
        <v>1472</v>
      </c>
      <c r="C253" s="6" t="s">
        <v>1481</v>
      </c>
      <c r="D253" s="6" t="s">
        <v>1474</v>
      </c>
      <c r="E253" s="6" t="s">
        <v>1482</v>
      </c>
      <c r="F253" s="13" t="s">
        <v>1483</v>
      </c>
      <c r="G253" s="13" t="s">
        <v>1484</v>
      </c>
      <c r="H253" s="13" t="s">
        <v>1485</v>
      </c>
      <c r="I253" s="13"/>
      <c r="J253" s="7"/>
      <c r="K253" s="7"/>
      <c r="L253" s="7" t="s">
        <v>93</v>
      </c>
      <c r="M253" s="7" t="s">
        <v>93</v>
      </c>
      <c r="N253" s="10"/>
      <c r="O253" s="9" t="str">
        <f t="shared" si="3"/>
        <v/>
      </c>
      <c r="P253" s="11"/>
      <c r="Q253" s="12"/>
      <c r="R253" s="11"/>
      <c r="S253" s="7"/>
    </row>
    <row r="254" spans="1:19" ht="14.4" x14ac:dyDescent="0.3">
      <c r="A254" s="6" t="s">
        <v>202</v>
      </c>
      <c r="B254" s="6" t="s">
        <v>1472</v>
      </c>
      <c r="C254" s="6" t="s">
        <v>1486</v>
      </c>
      <c r="D254" s="6" t="s">
        <v>1474</v>
      </c>
      <c r="E254" s="6" t="s">
        <v>1487</v>
      </c>
      <c r="F254" s="13" t="s">
        <v>965</v>
      </c>
      <c r="G254" s="13" t="s">
        <v>1488</v>
      </c>
      <c r="H254" s="13" t="s">
        <v>1489</v>
      </c>
      <c r="I254" s="13"/>
      <c r="J254" s="7"/>
      <c r="K254" s="7"/>
      <c r="L254" s="7" t="s">
        <v>93</v>
      </c>
      <c r="M254" s="7" t="s">
        <v>93</v>
      </c>
      <c r="N254" s="10"/>
      <c r="O254" s="9" t="str">
        <f t="shared" si="3"/>
        <v/>
      </c>
      <c r="P254" s="11"/>
      <c r="Q254" s="12"/>
      <c r="R254" s="11"/>
      <c r="S254" s="7"/>
    </row>
    <row r="255" spans="1:19" ht="14.4" x14ac:dyDescent="0.3">
      <c r="A255" s="6" t="s">
        <v>202</v>
      </c>
      <c r="B255" s="6" t="s">
        <v>1472</v>
      </c>
      <c r="C255" s="6" t="s">
        <v>1490</v>
      </c>
      <c r="D255" s="6" t="s">
        <v>1474</v>
      </c>
      <c r="E255" s="6" t="s">
        <v>1491</v>
      </c>
      <c r="F255" s="13" t="s">
        <v>1314</v>
      </c>
      <c r="G255" s="13" t="s">
        <v>1492</v>
      </c>
      <c r="H255" s="13" t="s">
        <v>1493</v>
      </c>
      <c r="I255" s="13"/>
      <c r="J255" s="7"/>
      <c r="K255" s="7"/>
      <c r="L255" s="7" t="s">
        <v>93</v>
      </c>
      <c r="M255" s="7" t="s">
        <v>93</v>
      </c>
      <c r="N255" s="10"/>
      <c r="O255" s="9" t="str">
        <f t="shared" si="3"/>
        <v/>
      </c>
      <c r="P255" s="11"/>
      <c r="Q255" s="12"/>
      <c r="R255" s="11"/>
      <c r="S255" s="7"/>
    </row>
    <row r="256" spans="1:19" ht="14.4" x14ac:dyDescent="0.3">
      <c r="A256" s="6" t="s">
        <v>202</v>
      </c>
      <c r="B256" s="6" t="s">
        <v>1472</v>
      </c>
      <c r="C256" s="6" t="s">
        <v>1494</v>
      </c>
      <c r="D256" s="6" t="s">
        <v>1474</v>
      </c>
      <c r="E256" s="6" t="s">
        <v>1495</v>
      </c>
      <c r="F256" s="13" t="s">
        <v>567</v>
      </c>
      <c r="G256" s="13" t="s">
        <v>896</v>
      </c>
      <c r="H256" s="13" t="s">
        <v>1496</v>
      </c>
      <c r="I256" s="13"/>
      <c r="J256" s="7"/>
      <c r="K256" s="7"/>
      <c r="L256" s="7" t="s">
        <v>93</v>
      </c>
      <c r="M256" s="7" t="s">
        <v>93</v>
      </c>
      <c r="N256" s="10"/>
      <c r="O256" s="9" t="str">
        <f t="shared" si="3"/>
        <v/>
      </c>
      <c r="P256" s="11"/>
      <c r="Q256" s="12"/>
      <c r="R256" s="11"/>
      <c r="S256" s="7"/>
    </row>
    <row r="257" spans="1:19" ht="14.4" x14ac:dyDescent="0.3">
      <c r="A257" s="6" t="s">
        <v>202</v>
      </c>
      <c r="B257" s="6" t="s">
        <v>1472</v>
      </c>
      <c r="C257" s="6" t="s">
        <v>1497</v>
      </c>
      <c r="D257" s="6" t="s">
        <v>1474</v>
      </c>
      <c r="E257" s="6" t="s">
        <v>1498</v>
      </c>
      <c r="F257" s="13" t="s">
        <v>1499</v>
      </c>
      <c r="G257" s="13" t="s">
        <v>1500</v>
      </c>
      <c r="H257" s="13" t="s">
        <v>1501</v>
      </c>
      <c r="I257" s="13"/>
      <c r="J257" s="7"/>
      <c r="K257" s="7"/>
      <c r="L257" s="7" t="s">
        <v>93</v>
      </c>
      <c r="M257" s="7" t="s">
        <v>93</v>
      </c>
      <c r="N257" s="10"/>
      <c r="O257" s="9" t="str">
        <f t="shared" si="3"/>
        <v/>
      </c>
      <c r="P257" s="11"/>
      <c r="Q257" s="12"/>
      <c r="R257" s="11"/>
      <c r="S257" s="7"/>
    </row>
    <row r="258" spans="1:19" ht="14.4" x14ac:dyDescent="0.3">
      <c r="A258" s="6" t="s">
        <v>202</v>
      </c>
      <c r="B258" s="6" t="s">
        <v>1472</v>
      </c>
      <c r="C258" s="6" t="s">
        <v>1502</v>
      </c>
      <c r="D258" s="6" t="s">
        <v>1474</v>
      </c>
      <c r="E258" s="6" t="s">
        <v>1503</v>
      </c>
      <c r="F258" s="13" t="s">
        <v>1504</v>
      </c>
      <c r="G258" s="13" t="s">
        <v>1505</v>
      </c>
      <c r="H258" s="13" t="s">
        <v>1506</v>
      </c>
      <c r="I258" s="13"/>
      <c r="J258" s="7"/>
      <c r="K258" s="7"/>
      <c r="L258" s="7" t="s">
        <v>93</v>
      </c>
      <c r="M258" s="7" t="s">
        <v>93</v>
      </c>
      <c r="N258" s="10"/>
      <c r="O258" s="9" t="str">
        <f t="shared" ref="O258:O321" si="4">IF(L258="oui","incomplet",IF(OR(J258="non",K258="non"),"a_regulariser",IF(AND(J258="oui",K258="oui"),"ok","")))</f>
        <v/>
      </c>
      <c r="P258" s="11"/>
      <c r="Q258" s="12"/>
      <c r="R258" s="11"/>
      <c r="S258" s="7"/>
    </row>
    <row r="259" spans="1:19" ht="14.4" x14ac:dyDescent="0.3">
      <c r="A259" s="6" t="s">
        <v>202</v>
      </c>
      <c r="B259" s="6" t="s">
        <v>1472</v>
      </c>
      <c r="C259" s="6" t="s">
        <v>1507</v>
      </c>
      <c r="D259" s="6" t="s">
        <v>1474</v>
      </c>
      <c r="E259" s="6" t="s">
        <v>1508</v>
      </c>
      <c r="F259" s="13" t="s">
        <v>1509</v>
      </c>
      <c r="G259" s="13" t="s">
        <v>1510</v>
      </c>
      <c r="H259" s="13" t="s">
        <v>1511</v>
      </c>
      <c r="I259" s="13"/>
      <c r="J259" s="7"/>
      <c r="K259" s="7"/>
      <c r="L259" s="7" t="s">
        <v>93</v>
      </c>
      <c r="M259" s="7" t="s">
        <v>93</v>
      </c>
      <c r="N259" s="10"/>
      <c r="O259" s="9" t="str">
        <f t="shared" si="4"/>
        <v/>
      </c>
      <c r="P259" s="11"/>
      <c r="Q259" s="12"/>
      <c r="R259" s="11"/>
      <c r="S259" s="7"/>
    </row>
    <row r="260" spans="1:19" ht="14.4" x14ac:dyDescent="0.3">
      <c r="A260" s="6" t="s">
        <v>202</v>
      </c>
      <c r="B260" s="6" t="s">
        <v>1472</v>
      </c>
      <c r="C260" s="6" t="s">
        <v>1512</v>
      </c>
      <c r="D260" s="6" t="s">
        <v>1474</v>
      </c>
      <c r="E260" s="6" t="s">
        <v>1513</v>
      </c>
      <c r="F260" s="13" t="s">
        <v>1514</v>
      </c>
      <c r="G260" s="13" t="s">
        <v>1515</v>
      </c>
      <c r="H260" s="13" t="s">
        <v>1516</v>
      </c>
      <c r="I260" s="13"/>
      <c r="J260" s="7"/>
      <c r="K260" s="7"/>
      <c r="L260" s="7" t="s">
        <v>93</v>
      </c>
      <c r="M260" s="7" t="s">
        <v>93</v>
      </c>
      <c r="N260" s="10"/>
      <c r="O260" s="9" t="str">
        <f t="shared" si="4"/>
        <v/>
      </c>
      <c r="P260" s="11"/>
      <c r="Q260" s="12"/>
      <c r="R260" s="11"/>
      <c r="S260" s="7"/>
    </row>
    <row r="261" spans="1:19" ht="14.4" x14ac:dyDescent="0.3">
      <c r="A261" s="6" t="s">
        <v>202</v>
      </c>
      <c r="B261" s="6" t="s">
        <v>1472</v>
      </c>
      <c r="C261" s="6" t="s">
        <v>1517</v>
      </c>
      <c r="D261" s="6" t="s">
        <v>1474</v>
      </c>
      <c r="E261" s="6" t="s">
        <v>1518</v>
      </c>
      <c r="F261" s="13" t="s">
        <v>458</v>
      </c>
      <c r="G261" s="13" t="s">
        <v>1519</v>
      </c>
      <c r="H261" s="13" t="s">
        <v>1520</v>
      </c>
      <c r="I261" s="13"/>
      <c r="J261" s="7"/>
      <c r="K261" s="7"/>
      <c r="L261" s="7" t="s">
        <v>93</v>
      </c>
      <c r="M261" s="7" t="s">
        <v>93</v>
      </c>
      <c r="N261" s="10"/>
      <c r="O261" s="9" t="str">
        <f t="shared" si="4"/>
        <v/>
      </c>
      <c r="P261" s="11"/>
      <c r="Q261" s="12"/>
      <c r="R261" s="11"/>
      <c r="S261" s="7"/>
    </row>
    <row r="262" spans="1:19" ht="14.4" x14ac:dyDescent="0.3">
      <c r="A262" s="6" t="s">
        <v>202</v>
      </c>
      <c r="B262" s="6" t="s">
        <v>1472</v>
      </c>
      <c r="C262" s="6" t="s">
        <v>1521</v>
      </c>
      <c r="D262" s="6" t="s">
        <v>1474</v>
      </c>
      <c r="E262" s="6" t="s">
        <v>1522</v>
      </c>
      <c r="F262" s="13" t="s">
        <v>1523</v>
      </c>
      <c r="G262" s="13" t="s">
        <v>1524</v>
      </c>
      <c r="H262" s="13" t="s">
        <v>1525</v>
      </c>
      <c r="I262" s="13"/>
      <c r="J262" s="7"/>
      <c r="K262" s="7"/>
      <c r="L262" s="7" t="s">
        <v>93</v>
      </c>
      <c r="M262" s="7" t="s">
        <v>93</v>
      </c>
      <c r="N262" s="10"/>
      <c r="O262" s="9" t="str">
        <f t="shared" si="4"/>
        <v/>
      </c>
      <c r="P262" s="11"/>
      <c r="Q262" s="12"/>
      <c r="R262" s="11"/>
      <c r="S262" s="7"/>
    </row>
    <row r="263" spans="1:19" ht="14.4" x14ac:dyDescent="0.3">
      <c r="A263" s="6" t="s">
        <v>202</v>
      </c>
      <c r="B263" s="6" t="s">
        <v>1472</v>
      </c>
      <c r="C263" s="6" t="s">
        <v>1527</v>
      </c>
      <c r="D263" s="6" t="s">
        <v>1474</v>
      </c>
      <c r="E263" s="6" t="s">
        <v>1528</v>
      </c>
      <c r="F263" s="13" t="s">
        <v>1523</v>
      </c>
      <c r="G263" s="13" t="s">
        <v>1529</v>
      </c>
      <c r="H263" s="13"/>
      <c r="I263" s="13"/>
      <c r="J263" s="7"/>
      <c r="K263" s="7"/>
      <c r="L263" s="7" t="s">
        <v>93</v>
      </c>
      <c r="M263" s="7" t="s">
        <v>93</v>
      </c>
      <c r="N263" s="10"/>
      <c r="O263" s="9" t="str">
        <f t="shared" si="4"/>
        <v/>
      </c>
      <c r="P263" s="11"/>
      <c r="Q263" s="12"/>
      <c r="R263" s="11"/>
      <c r="S263" s="7"/>
    </row>
    <row r="264" spans="1:19" ht="14.4" x14ac:dyDescent="0.3">
      <c r="A264" s="6" t="s">
        <v>202</v>
      </c>
      <c r="B264" s="6" t="s">
        <v>1472</v>
      </c>
      <c r="C264" s="6" t="s">
        <v>1530</v>
      </c>
      <c r="D264" s="6" t="s">
        <v>1474</v>
      </c>
      <c r="E264" s="6" t="s">
        <v>1531</v>
      </c>
      <c r="F264" s="13" t="s">
        <v>1532</v>
      </c>
      <c r="G264" s="13" t="s">
        <v>1533</v>
      </c>
      <c r="H264" s="13" t="s">
        <v>1534</v>
      </c>
      <c r="I264" s="13"/>
      <c r="J264" s="7"/>
      <c r="K264" s="7"/>
      <c r="L264" s="7" t="s">
        <v>93</v>
      </c>
      <c r="M264" s="7" t="s">
        <v>93</v>
      </c>
      <c r="N264" s="10"/>
      <c r="O264" s="9" t="str">
        <f t="shared" si="4"/>
        <v/>
      </c>
      <c r="P264" s="11"/>
      <c r="Q264" s="12"/>
      <c r="R264" s="11"/>
      <c r="S264" s="7"/>
    </row>
    <row r="265" spans="1:19" ht="14.4" x14ac:dyDescent="0.3">
      <c r="A265" s="6" t="s">
        <v>202</v>
      </c>
      <c r="B265" s="6" t="s">
        <v>1472</v>
      </c>
      <c r="C265" s="6" t="s">
        <v>1535</v>
      </c>
      <c r="D265" s="6" t="s">
        <v>1474</v>
      </c>
      <c r="E265" s="6" t="s">
        <v>1536</v>
      </c>
      <c r="F265" s="13" t="s">
        <v>1537</v>
      </c>
      <c r="G265" s="13" t="s">
        <v>1538</v>
      </c>
      <c r="H265" s="13" t="s">
        <v>1539</v>
      </c>
      <c r="I265" s="13"/>
      <c r="J265" s="7"/>
      <c r="K265" s="7"/>
      <c r="L265" s="7" t="s">
        <v>93</v>
      </c>
      <c r="M265" s="7" t="s">
        <v>93</v>
      </c>
      <c r="N265" s="10"/>
      <c r="O265" s="9" t="str">
        <f t="shared" si="4"/>
        <v/>
      </c>
      <c r="P265" s="11"/>
      <c r="Q265" s="12"/>
      <c r="R265" s="11"/>
      <c r="S265" s="7"/>
    </row>
    <row r="266" spans="1:19" ht="14.4" x14ac:dyDescent="0.3">
      <c r="A266" s="6" t="s">
        <v>202</v>
      </c>
      <c r="B266" s="6" t="s">
        <v>1472</v>
      </c>
      <c r="C266" s="6" t="s">
        <v>1540</v>
      </c>
      <c r="D266" s="6" t="s">
        <v>1474</v>
      </c>
      <c r="E266" s="6" t="s">
        <v>1541</v>
      </c>
      <c r="F266" s="13" t="s">
        <v>272</v>
      </c>
      <c r="G266" s="13" t="s">
        <v>424</v>
      </c>
      <c r="H266" s="13" t="s">
        <v>1542</v>
      </c>
      <c r="I266" s="13" t="s">
        <v>1543</v>
      </c>
      <c r="J266" s="7"/>
      <c r="K266" s="7"/>
      <c r="L266" s="7" t="s">
        <v>93</v>
      </c>
      <c r="M266" s="7" t="s">
        <v>93</v>
      </c>
      <c r="N266" s="10"/>
      <c r="O266" s="9" t="str">
        <f t="shared" si="4"/>
        <v/>
      </c>
      <c r="P266" s="11"/>
      <c r="Q266" s="12"/>
      <c r="R266" s="11"/>
      <c r="S266" s="7"/>
    </row>
    <row r="267" spans="1:19" ht="14.4" x14ac:dyDescent="0.3">
      <c r="A267" s="6" t="s">
        <v>202</v>
      </c>
      <c r="B267" s="6" t="s">
        <v>1472</v>
      </c>
      <c r="C267" s="6" t="s">
        <v>1544</v>
      </c>
      <c r="D267" s="6" t="s">
        <v>1474</v>
      </c>
      <c r="E267" s="6" t="s">
        <v>1545</v>
      </c>
      <c r="F267" s="13" t="s">
        <v>1546</v>
      </c>
      <c r="G267" s="13" t="s">
        <v>1547</v>
      </c>
      <c r="H267" s="13" t="s">
        <v>1548</v>
      </c>
      <c r="I267" s="13" t="s">
        <v>1549</v>
      </c>
      <c r="J267" s="7"/>
      <c r="K267" s="7"/>
      <c r="L267" s="7" t="s">
        <v>93</v>
      </c>
      <c r="M267" s="7" t="s">
        <v>93</v>
      </c>
      <c r="N267" s="10"/>
      <c r="O267" s="9" t="str">
        <f t="shared" si="4"/>
        <v/>
      </c>
      <c r="P267" s="11"/>
      <c r="Q267" s="12"/>
      <c r="R267" s="11"/>
      <c r="S267" s="7"/>
    </row>
    <row r="268" spans="1:19" ht="14.4" x14ac:dyDescent="0.3">
      <c r="A268" s="6" t="s">
        <v>202</v>
      </c>
      <c r="B268" s="6" t="s">
        <v>1472</v>
      </c>
      <c r="C268" s="6" t="s">
        <v>1550</v>
      </c>
      <c r="D268" s="6" t="s">
        <v>1474</v>
      </c>
      <c r="E268" s="6" t="s">
        <v>1551</v>
      </c>
      <c r="F268" s="13" t="s">
        <v>1456</v>
      </c>
      <c r="G268" s="13" t="s">
        <v>1552</v>
      </c>
      <c r="H268" s="13" t="s">
        <v>1553</v>
      </c>
      <c r="I268" s="13"/>
      <c r="J268" s="7"/>
      <c r="K268" s="7"/>
      <c r="L268" s="7" t="s">
        <v>93</v>
      </c>
      <c r="M268" s="7" t="s">
        <v>93</v>
      </c>
      <c r="N268" s="10"/>
      <c r="O268" s="9" t="str">
        <f t="shared" si="4"/>
        <v/>
      </c>
      <c r="P268" s="11"/>
      <c r="Q268" s="12"/>
      <c r="R268" s="11"/>
      <c r="S268" s="7"/>
    </row>
    <row r="269" spans="1:19" ht="14.4" x14ac:dyDescent="0.3">
      <c r="A269" s="6" t="s">
        <v>202</v>
      </c>
      <c r="B269" s="6" t="s">
        <v>1472</v>
      </c>
      <c r="C269" s="6" t="s">
        <v>1554</v>
      </c>
      <c r="D269" s="6" t="s">
        <v>1474</v>
      </c>
      <c r="E269" s="6" t="s">
        <v>1555</v>
      </c>
      <c r="F269" s="13" t="s">
        <v>1456</v>
      </c>
      <c r="G269" s="13" t="s">
        <v>1556</v>
      </c>
      <c r="H269" s="13" t="s">
        <v>1557</v>
      </c>
      <c r="I269" s="13"/>
      <c r="J269" s="7"/>
      <c r="K269" s="7"/>
      <c r="L269" s="7" t="s">
        <v>93</v>
      </c>
      <c r="M269" s="7" t="s">
        <v>93</v>
      </c>
      <c r="N269" s="10"/>
      <c r="O269" s="9" t="str">
        <f t="shared" si="4"/>
        <v/>
      </c>
      <c r="P269" s="11"/>
      <c r="Q269" s="12"/>
      <c r="R269" s="11"/>
      <c r="S269" s="7"/>
    </row>
    <row r="270" spans="1:19" ht="14.4" x14ac:dyDescent="0.3">
      <c r="A270" s="6" t="s">
        <v>202</v>
      </c>
      <c r="B270" s="6" t="s">
        <v>1472</v>
      </c>
      <c r="C270" s="6" t="s">
        <v>1558</v>
      </c>
      <c r="D270" s="6" t="s">
        <v>1474</v>
      </c>
      <c r="E270" s="6" t="s">
        <v>1559</v>
      </c>
      <c r="F270" s="13"/>
      <c r="G270" s="13" t="s">
        <v>407</v>
      </c>
      <c r="H270" s="13"/>
      <c r="I270" s="13"/>
      <c r="J270" s="7"/>
      <c r="K270" s="7"/>
      <c r="L270" s="7" t="s">
        <v>93</v>
      </c>
      <c r="M270" s="7" t="s">
        <v>93</v>
      </c>
      <c r="N270" s="10"/>
      <c r="O270" s="9" t="str">
        <f t="shared" si="4"/>
        <v/>
      </c>
      <c r="P270" s="11"/>
      <c r="Q270" s="12"/>
      <c r="R270" s="11"/>
      <c r="S270" s="7"/>
    </row>
    <row r="271" spans="1:19" ht="14.4" x14ac:dyDescent="0.3">
      <c r="A271" s="6" t="s">
        <v>202</v>
      </c>
      <c r="B271" s="6" t="s">
        <v>1472</v>
      </c>
      <c r="C271" s="6" t="s">
        <v>1560</v>
      </c>
      <c r="D271" s="6" t="s">
        <v>1474</v>
      </c>
      <c r="E271" s="6" t="s">
        <v>1561</v>
      </c>
      <c r="F271" s="13" t="s">
        <v>1562</v>
      </c>
      <c r="G271" s="13" t="s">
        <v>1173</v>
      </c>
      <c r="H271" s="13" t="s">
        <v>1563</v>
      </c>
      <c r="I271" s="13"/>
      <c r="J271" s="7"/>
      <c r="K271" s="7"/>
      <c r="L271" s="7" t="s">
        <v>93</v>
      </c>
      <c r="M271" s="7" t="s">
        <v>93</v>
      </c>
      <c r="N271" s="10"/>
      <c r="O271" s="9" t="str">
        <f t="shared" si="4"/>
        <v/>
      </c>
      <c r="P271" s="11"/>
      <c r="Q271" s="12"/>
      <c r="R271" s="11"/>
      <c r="S271" s="7"/>
    </row>
    <row r="272" spans="1:19" ht="14.4" x14ac:dyDescent="0.3">
      <c r="A272" s="6" t="s">
        <v>202</v>
      </c>
      <c r="B272" s="6" t="s">
        <v>1564</v>
      </c>
      <c r="C272" s="6" t="s">
        <v>1565</v>
      </c>
      <c r="D272" s="6" t="s">
        <v>1566</v>
      </c>
      <c r="E272" s="6" t="s">
        <v>1567</v>
      </c>
      <c r="F272" s="13" t="s">
        <v>1568</v>
      </c>
      <c r="G272" s="13" t="s">
        <v>1569</v>
      </c>
      <c r="H272" s="13" t="s">
        <v>1570</v>
      </c>
      <c r="I272" s="13"/>
      <c r="J272" s="7"/>
      <c r="K272" s="7"/>
      <c r="L272" s="7" t="s">
        <v>93</v>
      </c>
      <c r="M272" s="7" t="s">
        <v>93</v>
      </c>
      <c r="N272" s="10"/>
      <c r="O272" s="9" t="str">
        <f t="shared" si="4"/>
        <v/>
      </c>
      <c r="P272" s="11"/>
      <c r="Q272" s="12"/>
      <c r="R272" s="11"/>
      <c r="S272" s="7"/>
    </row>
    <row r="273" spans="1:19" ht="14.4" x14ac:dyDescent="0.3">
      <c r="A273" s="6" t="s">
        <v>202</v>
      </c>
      <c r="B273" s="6" t="s">
        <v>1564</v>
      </c>
      <c r="C273" s="6" t="s">
        <v>1571</v>
      </c>
      <c r="D273" s="6" t="s">
        <v>1566</v>
      </c>
      <c r="E273" s="6" t="s">
        <v>1572</v>
      </c>
      <c r="F273" s="13" t="s">
        <v>1573</v>
      </c>
      <c r="G273" s="13" t="s">
        <v>1574</v>
      </c>
      <c r="H273" s="13" t="s">
        <v>1575</v>
      </c>
      <c r="I273" s="13"/>
      <c r="J273" s="7"/>
      <c r="K273" s="7"/>
      <c r="L273" s="7" t="s">
        <v>93</v>
      </c>
      <c r="M273" s="7" t="s">
        <v>93</v>
      </c>
      <c r="N273" s="10"/>
      <c r="O273" s="9" t="str">
        <f t="shared" si="4"/>
        <v/>
      </c>
      <c r="P273" s="11"/>
      <c r="Q273" s="12"/>
      <c r="R273" s="11"/>
      <c r="S273" s="7"/>
    </row>
    <row r="274" spans="1:19" ht="14.4" x14ac:dyDescent="0.3">
      <c r="A274" s="6" t="s">
        <v>202</v>
      </c>
      <c r="B274" s="6" t="s">
        <v>1564</v>
      </c>
      <c r="C274" s="6" t="s">
        <v>1576</v>
      </c>
      <c r="D274" s="6" t="s">
        <v>1566</v>
      </c>
      <c r="E274" s="6" t="s">
        <v>1577</v>
      </c>
      <c r="F274" s="13" t="s">
        <v>1578</v>
      </c>
      <c r="G274" s="13" t="s">
        <v>295</v>
      </c>
      <c r="H274" s="13" t="s">
        <v>1579</v>
      </c>
      <c r="I274" s="13" t="s">
        <v>1580</v>
      </c>
      <c r="J274" s="7"/>
      <c r="K274" s="7"/>
      <c r="L274" s="7" t="s">
        <v>93</v>
      </c>
      <c r="M274" s="7" t="s">
        <v>93</v>
      </c>
      <c r="N274" s="10"/>
      <c r="O274" s="9" t="str">
        <f t="shared" si="4"/>
        <v/>
      </c>
      <c r="P274" s="11"/>
      <c r="Q274" s="12"/>
      <c r="R274" s="11"/>
      <c r="S274" s="7"/>
    </row>
    <row r="275" spans="1:19" ht="14.4" x14ac:dyDescent="0.3">
      <c r="A275" s="6" t="s">
        <v>202</v>
      </c>
      <c r="B275" s="6" t="s">
        <v>1564</v>
      </c>
      <c r="C275" s="6" t="s">
        <v>1581</v>
      </c>
      <c r="D275" s="6" t="s">
        <v>1566</v>
      </c>
      <c r="E275" s="6" t="s">
        <v>1582</v>
      </c>
      <c r="F275" s="13" t="s">
        <v>334</v>
      </c>
      <c r="G275" s="13" t="s">
        <v>983</v>
      </c>
      <c r="H275" s="13" t="s">
        <v>1583</v>
      </c>
      <c r="I275" s="13" t="s">
        <v>1584</v>
      </c>
      <c r="J275" s="7"/>
      <c r="K275" s="7"/>
      <c r="L275" s="7" t="s">
        <v>93</v>
      </c>
      <c r="M275" s="7" t="s">
        <v>93</v>
      </c>
      <c r="N275" s="10"/>
      <c r="O275" s="9" t="str">
        <f t="shared" si="4"/>
        <v/>
      </c>
      <c r="P275" s="11"/>
      <c r="Q275" s="12"/>
      <c r="R275" s="11"/>
      <c r="S275" s="7"/>
    </row>
    <row r="276" spans="1:19" ht="14.4" x14ac:dyDescent="0.3">
      <c r="A276" s="6" t="s">
        <v>202</v>
      </c>
      <c r="B276" s="6" t="s">
        <v>1564</v>
      </c>
      <c r="C276" s="6" t="s">
        <v>1585</v>
      </c>
      <c r="D276" s="6" t="s">
        <v>1566</v>
      </c>
      <c r="E276" s="6" t="s">
        <v>1586</v>
      </c>
      <c r="F276" s="13" t="s">
        <v>1307</v>
      </c>
      <c r="G276" s="13" t="s">
        <v>1587</v>
      </c>
      <c r="H276" s="13" t="s">
        <v>1588</v>
      </c>
      <c r="I276" s="13"/>
      <c r="J276" s="7"/>
      <c r="K276" s="7"/>
      <c r="L276" s="7" t="s">
        <v>93</v>
      </c>
      <c r="M276" s="7" t="s">
        <v>93</v>
      </c>
      <c r="N276" s="10"/>
      <c r="O276" s="9" t="str">
        <f t="shared" si="4"/>
        <v/>
      </c>
      <c r="P276" s="11"/>
      <c r="Q276" s="12"/>
      <c r="R276" s="11"/>
      <c r="S276" s="7"/>
    </row>
    <row r="277" spans="1:19" ht="14.4" x14ac:dyDescent="0.3">
      <c r="A277" s="6" t="s">
        <v>202</v>
      </c>
      <c r="B277" s="6" t="s">
        <v>1564</v>
      </c>
      <c r="C277" s="6" t="s">
        <v>1589</v>
      </c>
      <c r="D277" s="6" t="s">
        <v>1566</v>
      </c>
      <c r="E277" s="6" t="s">
        <v>1590</v>
      </c>
      <c r="F277" s="13" t="s">
        <v>965</v>
      </c>
      <c r="G277" s="13" t="s">
        <v>1591</v>
      </c>
      <c r="H277" s="13" t="s">
        <v>1592</v>
      </c>
      <c r="I277" s="13"/>
      <c r="J277" s="7"/>
      <c r="K277" s="7"/>
      <c r="L277" s="7" t="s">
        <v>93</v>
      </c>
      <c r="M277" s="7" t="s">
        <v>93</v>
      </c>
      <c r="N277" s="10"/>
      <c r="O277" s="9" t="str">
        <f t="shared" si="4"/>
        <v/>
      </c>
      <c r="P277" s="11"/>
      <c r="Q277" s="12"/>
      <c r="R277" s="11"/>
      <c r="S277" s="7"/>
    </row>
    <row r="278" spans="1:19" ht="14.4" x14ac:dyDescent="0.3">
      <c r="A278" s="6" t="s">
        <v>202</v>
      </c>
      <c r="B278" s="6" t="s">
        <v>1564</v>
      </c>
      <c r="C278" s="6" t="s">
        <v>1593</v>
      </c>
      <c r="D278" s="6" t="s">
        <v>1566</v>
      </c>
      <c r="E278" s="6" t="s">
        <v>1594</v>
      </c>
      <c r="F278" s="13" t="s">
        <v>965</v>
      </c>
      <c r="G278" s="13" t="s">
        <v>1595</v>
      </c>
      <c r="H278" s="13" t="s">
        <v>1596</v>
      </c>
      <c r="I278" s="13"/>
      <c r="J278" s="7"/>
      <c r="K278" s="7"/>
      <c r="L278" s="7" t="s">
        <v>93</v>
      </c>
      <c r="M278" s="7" t="s">
        <v>93</v>
      </c>
      <c r="N278" s="10"/>
      <c r="O278" s="9" t="str">
        <f t="shared" si="4"/>
        <v/>
      </c>
      <c r="P278" s="11"/>
      <c r="Q278" s="12"/>
      <c r="R278" s="11"/>
      <c r="S278" s="7"/>
    </row>
    <row r="279" spans="1:19" ht="14.4" x14ac:dyDescent="0.3">
      <c r="A279" s="6" t="s">
        <v>202</v>
      </c>
      <c r="B279" s="6" t="s">
        <v>1564</v>
      </c>
      <c r="C279" s="6" t="s">
        <v>1597</v>
      </c>
      <c r="D279" s="6" t="s">
        <v>1566</v>
      </c>
      <c r="E279" s="6" t="s">
        <v>1598</v>
      </c>
      <c r="F279" s="13" t="s">
        <v>1599</v>
      </c>
      <c r="G279" s="13" t="s">
        <v>226</v>
      </c>
      <c r="H279" s="13" t="s">
        <v>1600</v>
      </c>
      <c r="I279" s="13" t="s">
        <v>1601</v>
      </c>
      <c r="J279" s="7"/>
      <c r="K279" s="7"/>
      <c r="L279" s="7" t="s">
        <v>93</v>
      </c>
      <c r="M279" s="7" t="s">
        <v>93</v>
      </c>
      <c r="N279" s="10"/>
      <c r="O279" s="9" t="str">
        <f t="shared" si="4"/>
        <v/>
      </c>
      <c r="P279" s="11"/>
      <c r="Q279" s="12"/>
      <c r="R279" s="11"/>
      <c r="S279" s="7"/>
    </row>
    <row r="280" spans="1:19" ht="14.4" x14ac:dyDescent="0.3">
      <c r="A280" s="6" t="s">
        <v>202</v>
      </c>
      <c r="B280" s="6" t="s">
        <v>1564</v>
      </c>
      <c r="C280" s="6" t="s">
        <v>1602</v>
      </c>
      <c r="D280" s="6" t="s">
        <v>1566</v>
      </c>
      <c r="E280" s="6" t="s">
        <v>1603</v>
      </c>
      <c r="F280" s="13" t="s">
        <v>1314</v>
      </c>
      <c r="G280" s="13" t="s">
        <v>1604</v>
      </c>
      <c r="H280" s="13"/>
      <c r="I280" s="13"/>
      <c r="J280" s="7"/>
      <c r="K280" s="7"/>
      <c r="L280" s="7" t="s">
        <v>93</v>
      </c>
      <c r="M280" s="7" t="s">
        <v>93</v>
      </c>
      <c r="N280" s="10"/>
      <c r="O280" s="9" t="str">
        <f t="shared" si="4"/>
        <v/>
      </c>
      <c r="P280" s="11"/>
      <c r="Q280" s="12"/>
      <c r="R280" s="11"/>
      <c r="S280" s="7"/>
    </row>
    <row r="281" spans="1:19" ht="14.4" x14ac:dyDescent="0.3">
      <c r="A281" s="6" t="s">
        <v>202</v>
      </c>
      <c r="B281" s="6" t="s">
        <v>1564</v>
      </c>
      <c r="C281" s="6" t="s">
        <v>1605</v>
      </c>
      <c r="D281" s="6" t="s">
        <v>1566</v>
      </c>
      <c r="E281" s="6" t="s">
        <v>1606</v>
      </c>
      <c r="F281" s="13" t="s">
        <v>1607</v>
      </c>
      <c r="G281" s="13" t="s">
        <v>1608</v>
      </c>
      <c r="H281" s="13" t="s">
        <v>1609</v>
      </c>
      <c r="I281" s="13"/>
      <c r="J281" s="7"/>
      <c r="K281" s="7"/>
      <c r="L281" s="7" t="s">
        <v>93</v>
      </c>
      <c r="M281" s="7" t="s">
        <v>93</v>
      </c>
      <c r="N281" s="10"/>
      <c r="O281" s="9" t="str">
        <f t="shared" si="4"/>
        <v/>
      </c>
      <c r="P281" s="11"/>
      <c r="Q281" s="12"/>
      <c r="R281" s="11"/>
      <c r="S281" s="7"/>
    </row>
    <row r="282" spans="1:19" ht="14.4" x14ac:dyDescent="0.3">
      <c r="A282" s="6" t="s">
        <v>202</v>
      </c>
      <c r="B282" s="6" t="s">
        <v>1564</v>
      </c>
      <c r="C282" s="6" t="s">
        <v>1610</v>
      </c>
      <c r="D282" s="6" t="s">
        <v>1566</v>
      </c>
      <c r="E282" s="6" t="s">
        <v>1611</v>
      </c>
      <c r="F282" s="13" t="s">
        <v>567</v>
      </c>
      <c r="G282" s="13" t="s">
        <v>1612</v>
      </c>
      <c r="H282" s="13" t="s">
        <v>1613</v>
      </c>
      <c r="I282" s="13"/>
      <c r="J282" s="7"/>
      <c r="K282" s="7"/>
      <c r="L282" s="7" t="s">
        <v>93</v>
      </c>
      <c r="M282" s="7" t="s">
        <v>93</v>
      </c>
      <c r="N282" s="10"/>
      <c r="O282" s="9" t="str">
        <f t="shared" si="4"/>
        <v/>
      </c>
      <c r="P282" s="11"/>
      <c r="Q282" s="12"/>
      <c r="R282" s="11"/>
      <c r="S282" s="7"/>
    </row>
    <row r="283" spans="1:19" ht="14.4" x14ac:dyDescent="0.3">
      <c r="A283" s="6" t="s">
        <v>202</v>
      </c>
      <c r="B283" s="6" t="s">
        <v>1564</v>
      </c>
      <c r="C283" s="6" t="s">
        <v>1614</v>
      </c>
      <c r="D283" s="6" t="s">
        <v>1566</v>
      </c>
      <c r="E283" s="6" t="s">
        <v>1615</v>
      </c>
      <c r="F283" s="13" t="s">
        <v>932</v>
      </c>
      <c r="G283" s="13" t="s">
        <v>939</v>
      </c>
      <c r="H283" s="13" t="s">
        <v>1616</v>
      </c>
      <c r="I283" s="13"/>
      <c r="J283" s="7"/>
      <c r="K283" s="7"/>
      <c r="L283" s="7" t="s">
        <v>93</v>
      </c>
      <c r="M283" s="7" t="s">
        <v>93</v>
      </c>
      <c r="N283" s="10"/>
      <c r="O283" s="9" t="str">
        <f t="shared" si="4"/>
        <v/>
      </c>
      <c r="P283" s="11"/>
      <c r="Q283" s="12"/>
      <c r="R283" s="11"/>
      <c r="S283" s="7"/>
    </row>
    <row r="284" spans="1:19" ht="14.4" x14ac:dyDescent="0.3">
      <c r="A284" s="6" t="s">
        <v>202</v>
      </c>
      <c r="B284" s="6" t="s">
        <v>1564</v>
      </c>
      <c r="C284" s="6" t="s">
        <v>1617</v>
      </c>
      <c r="D284" s="6" t="s">
        <v>1566</v>
      </c>
      <c r="E284" s="6" t="s">
        <v>1618</v>
      </c>
      <c r="F284" s="13" t="s">
        <v>1619</v>
      </c>
      <c r="G284" s="13" t="s">
        <v>1620</v>
      </c>
      <c r="H284" s="13" t="s">
        <v>1621</v>
      </c>
      <c r="I284" s="13" t="s">
        <v>1622</v>
      </c>
      <c r="J284" s="7"/>
      <c r="K284" s="7"/>
      <c r="L284" s="7" t="s">
        <v>93</v>
      </c>
      <c r="M284" s="7" t="s">
        <v>93</v>
      </c>
      <c r="N284" s="10"/>
      <c r="O284" s="9" t="str">
        <f t="shared" si="4"/>
        <v/>
      </c>
      <c r="P284" s="11"/>
      <c r="Q284" s="12"/>
      <c r="R284" s="11"/>
      <c r="S284" s="7"/>
    </row>
    <row r="285" spans="1:19" ht="14.4" x14ac:dyDescent="0.3">
      <c r="A285" s="6" t="s">
        <v>202</v>
      </c>
      <c r="B285" s="6" t="s">
        <v>1564</v>
      </c>
      <c r="C285" s="6" t="s">
        <v>1623</v>
      </c>
      <c r="D285" s="6" t="s">
        <v>1566</v>
      </c>
      <c r="E285" s="6" t="s">
        <v>1624</v>
      </c>
      <c r="F285" s="13" t="s">
        <v>687</v>
      </c>
      <c r="G285" s="13" t="s">
        <v>966</v>
      </c>
      <c r="H285" s="13" t="s">
        <v>1625</v>
      </c>
      <c r="I285" s="13"/>
      <c r="J285" s="7"/>
      <c r="K285" s="7"/>
      <c r="L285" s="7" t="s">
        <v>93</v>
      </c>
      <c r="M285" s="7" t="s">
        <v>93</v>
      </c>
      <c r="N285" s="10"/>
      <c r="O285" s="9" t="str">
        <f t="shared" si="4"/>
        <v/>
      </c>
      <c r="P285" s="11"/>
      <c r="Q285" s="12"/>
      <c r="R285" s="11"/>
      <c r="S285" s="7"/>
    </row>
    <row r="286" spans="1:19" ht="14.4" x14ac:dyDescent="0.3">
      <c r="A286" s="6" t="s">
        <v>202</v>
      </c>
      <c r="B286" s="6" t="s">
        <v>1564</v>
      </c>
      <c r="C286" s="6" t="s">
        <v>1626</v>
      </c>
      <c r="D286" s="6" t="s">
        <v>1566</v>
      </c>
      <c r="E286" s="6" t="s">
        <v>1627</v>
      </c>
      <c r="F286" s="13" t="s">
        <v>1628</v>
      </c>
      <c r="G286" s="13" t="s">
        <v>1629</v>
      </c>
      <c r="H286" s="13"/>
      <c r="I286" s="13"/>
      <c r="J286" s="7"/>
      <c r="K286" s="7"/>
      <c r="L286" s="7" t="s">
        <v>93</v>
      </c>
      <c r="M286" s="7" t="s">
        <v>93</v>
      </c>
      <c r="N286" s="10"/>
      <c r="O286" s="9" t="str">
        <f t="shared" si="4"/>
        <v/>
      </c>
      <c r="P286" s="11"/>
      <c r="Q286" s="12"/>
      <c r="R286" s="11"/>
      <c r="S286" s="7"/>
    </row>
    <row r="287" spans="1:19" ht="14.4" x14ac:dyDescent="0.3">
      <c r="A287" s="6" t="s">
        <v>202</v>
      </c>
      <c r="B287" s="6" t="s">
        <v>1564</v>
      </c>
      <c r="C287" s="6" t="s">
        <v>1630</v>
      </c>
      <c r="D287" s="6" t="s">
        <v>1566</v>
      </c>
      <c r="E287" s="6" t="s">
        <v>1631</v>
      </c>
      <c r="F287" s="13" t="s">
        <v>1632</v>
      </c>
      <c r="G287" s="13" t="s">
        <v>1633</v>
      </c>
      <c r="H287" s="13" t="s">
        <v>1634</v>
      </c>
      <c r="I287" s="13" t="s">
        <v>1635</v>
      </c>
      <c r="J287" s="7"/>
      <c r="K287" s="7"/>
      <c r="L287" s="7" t="s">
        <v>93</v>
      </c>
      <c r="M287" s="7" t="s">
        <v>93</v>
      </c>
      <c r="N287" s="10"/>
      <c r="O287" s="9" t="str">
        <f t="shared" si="4"/>
        <v/>
      </c>
      <c r="P287" s="11"/>
      <c r="Q287" s="12"/>
      <c r="R287" s="11"/>
      <c r="S287" s="7"/>
    </row>
    <row r="288" spans="1:19" ht="14.4" x14ac:dyDescent="0.3">
      <c r="A288" s="6" t="s">
        <v>202</v>
      </c>
      <c r="B288" s="6" t="s">
        <v>1564</v>
      </c>
      <c r="C288" s="6" t="s">
        <v>1636</v>
      </c>
      <c r="D288" s="6" t="s">
        <v>1566</v>
      </c>
      <c r="E288" s="6" t="s">
        <v>1637</v>
      </c>
      <c r="F288" s="13" t="s">
        <v>1638</v>
      </c>
      <c r="G288" s="13" t="s">
        <v>1639</v>
      </c>
      <c r="H288" s="13" t="s">
        <v>1640</v>
      </c>
      <c r="I288" s="13"/>
      <c r="J288" s="7"/>
      <c r="K288" s="7"/>
      <c r="L288" s="7" t="s">
        <v>93</v>
      </c>
      <c r="M288" s="7" t="s">
        <v>93</v>
      </c>
      <c r="N288" s="10"/>
      <c r="O288" s="9" t="str">
        <f t="shared" si="4"/>
        <v/>
      </c>
      <c r="P288" s="11"/>
      <c r="Q288" s="12"/>
      <c r="R288" s="11"/>
      <c r="S288" s="7"/>
    </row>
    <row r="289" spans="1:19" ht="14.4" x14ac:dyDescent="0.3">
      <c r="A289" s="6" t="s">
        <v>202</v>
      </c>
      <c r="B289" s="6" t="s">
        <v>1564</v>
      </c>
      <c r="C289" s="6" t="s">
        <v>1641</v>
      </c>
      <c r="D289" s="6" t="s">
        <v>1566</v>
      </c>
      <c r="E289" s="6" t="s">
        <v>1642</v>
      </c>
      <c r="F289" s="13" t="s">
        <v>1643</v>
      </c>
      <c r="G289" s="13" t="s">
        <v>312</v>
      </c>
      <c r="H289" s="13" t="s">
        <v>1644</v>
      </c>
      <c r="I289" s="13"/>
      <c r="J289" s="7"/>
      <c r="K289" s="7"/>
      <c r="L289" s="7" t="s">
        <v>93</v>
      </c>
      <c r="M289" s="7" t="s">
        <v>93</v>
      </c>
      <c r="N289" s="10"/>
      <c r="O289" s="9" t="str">
        <f t="shared" si="4"/>
        <v/>
      </c>
      <c r="P289" s="11"/>
      <c r="Q289" s="12"/>
      <c r="R289" s="11"/>
      <c r="S289" s="7"/>
    </row>
    <row r="290" spans="1:19" ht="14.4" x14ac:dyDescent="0.3">
      <c r="A290" s="6" t="s">
        <v>202</v>
      </c>
      <c r="B290" s="6" t="s">
        <v>1564</v>
      </c>
      <c r="C290" s="6" t="s">
        <v>1645</v>
      </c>
      <c r="D290" s="6" t="s">
        <v>1566</v>
      </c>
      <c r="E290" s="6" t="s">
        <v>1646</v>
      </c>
      <c r="F290" s="13" t="s">
        <v>1647</v>
      </c>
      <c r="G290" s="13" t="s">
        <v>1648</v>
      </c>
      <c r="H290" s="13" t="s">
        <v>1649</v>
      </c>
      <c r="I290" s="13"/>
      <c r="J290" s="7"/>
      <c r="K290" s="7"/>
      <c r="L290" s="7" t="s">
        <v>93</v>
      </c>
      <c r="M290" s="7" t="s">
        <v>93</v>
      </c>
      <c r="N290" s="10"/>
      <c r="O290" s="9" t="str">
        <f t="shared" si="4"/>
        <v/>
      </c>
      <c r="P290" s="11"/>
      <c r="Q290" s="12"/>
      <c r="R290" s="11"/>
      <c r="S290" s="7"/>
    </row>
    <row r="291" spans="1:19" ht="14.4" x14ac:dyDescent="0.3">
      <c r="A291" s="6" t="s">
        <v>202</v>
      </c>
      <c r="B291" s="6" t="s">
        <v>1564</v>
      </c>
      <c r="C291" s="6" t="s">
        <v>1651</v>
      </c>
      <c r="D291" s="6" t="s">
        <v>1566</v>
      </c>
      <c r="E291" s="6" t="s">
        <v>1652</v>
      </c>
      <c r="F291" s="13" t="s">
        <v>1016</v>
      </c>
      <c r="G291" s="13" t="s">
        <v>1653</v>
      </c>
      <c r="H291" s="13" t="s">
        <v>1654</v>
      </c>
      <c r="I291" s="13"/>
      <c r="J291" s="7"/>
      <c r="K291" s="7"/>
      <c r="L291" s="7" t="s">
        <v>93</v>
      </c>
      <c r="M291" s="7" t="s">
        <v>93</v>
      </c>
      <c r="N291" s="10"/>
      <c r="O291" s="9" t="str">
        <f t="shared" si="4"/>
        <v/>
      </c>
      <c r="P291" s="11"/>
      <c r="Q291" s="12"/>
      <c r="R291" s="11"/>
      <c r="S291" s="7"/>
    </row>
    <row r="292" spans="1:19" ht="14.4" x14ac:dyDescent="0.3">
      <c r="A292" s="6" t="s">
        <v>202</v>
      </c>
      <c r="B292" s="6" t="s">
        <v>1564</v>
      </c>
      <c r="C292" s="6" t="s">
        <v>1655</v>
      </c>
      <c r="D292" s="6" t="s">
        <v>1566</v>
      </c>
      <c r="E292" s="6" t="s">
        <v>1656</v>
      </c>
      <c r="F292" s="13" t="s">
        <v>1657</v>
      </c>
      <c r="G292" s="13" t="s">
        <v>424</v>
      </c>
      <c r="H292" s="13" t="s">
        <v>1658</v>
      </c>
      <c r="I292" s="13"/>
      <c r="J292" s="7"/>
      <c r="K292" s="7"/>
      <c r="L292" s="7" t="s">
        <v>93</v>
      </c>
      <c r="M292" s="7" t="s">
        <v>93</v>
      </c>
      <c r="N292" s="10"/>
      <c r="O292" s="9" t="str">
        <f t="shared" si="4"/>
        <v/>
      </c>
      <c r="P292" s="11"/>
      <c r="Q292" s="12"/>
      <c r="R292" s="11"/>
      <c r="S292" s="7"/>
    </row>
    <row r="293" spans="1:19" ht="14.4" x14ac:dyDescent="0.3">
      <c r="A293" s="6" t="s">
        <v>202</v>
      </c>
      <c r="B293" s="6" t="s">
        <v>1564</v>
      </c>
      <c r="C293" s="6" t="s">
        <v>1659</v>
      </c>
      <c r="D293" s="6" t="s">
        <v>1566</v>
      </c>
      <c r="E293" s="6" t="s">
        <v>1660</v>
      </c>
      <c r="F293" s="13" t="s">
        <v>1661</v>
      </c>
      <c r="G293" s="13" t="s">
        <v>1662</v>
      </c>
      <c r="H293" s="13" t="s">
        <v>1663</v>
      </c>
      <c r="I293" s="13" t="s">
        <v>1664</v>
      </c>
      <c r="J293" s="7"/>
      <c r="K293" s="7"/>
      <c r="L293" s="7" t="s">
        <v>93</v>
      </c>
      <c r="M293" s="7" t="s">
        <v>93</v>
      </c>
      <c r="N293" s="10"/>
      <c r="O293" s="9" t="str">
        <f t="shared" si="4"/>
        <v/>
      </c>
      <c r="P293" s="11"/>
      <c r="Q293" s="12"/>
      <c r="R293" s="11"/>
      <c r="S293" s="7"/>
    </row>
    <row r="294" spans="1:19" ht="14.4" x14ac:dyDescent="0.3">
      <c r="A294" s="6" t="s">
        <v>202</v>
      </c>
      <c r="B294" s="6" t="s">
        <v>1564</v>
      </c>
      <c r="C294" s="6" t="s">
        <v>1665</v>
      </c>
      <c r="D294" s="6" t="s">
        <v>1566</v>
      </c>
      <c r="E294" s="6" t="s">
        <v>1666</v>
      </c>
      <c r="F294" s="13" t="s">
        <v>458</v>
      </c>
      <c r="G294" s="13" t="s">
        <v>1667</v>
      </c>
      <c r="H294" s="13" t="s">
        <v>1668</v>
      </c>
      <c r="I294" s="13" t="s">
        <v>1669</v>
      </c>
      <c r="J294" s="7"/>
      <c r="K294" s="7"/>
      <c r="L294" s="7" t="s">
        <v>93</v>
      </c>
      <c r="M294" s="7" t="s">
        <v>93</v>
      </c>
      <c r="N294" s="10"/>
      <c r="O294" s="9" t="str">
        <f t="shared" si="4"/>
        <v/>
      </c>
      <c r="P294" s="11"/>
      <c r="Q294" s="12"/>
      <c r="R294" s="11"/>
      <c r="S294" s="7"/>
    </row>
    <row r="295" spans="1:19" ht="14.4" x14ac:dyDescent="0.3">
      <c r="A295" s="6" t="s">
        <v>202</v>
      </c>
      <c r="B295" s="6" t="s">
        <v>1564</v>
      </c>
      <c r="C295" s="6" t="s">
        <v>1670</v>
      </c>
      <c r="D295" s="6" t="s">
        <v>1566</v>
      </c>
      <c r="E295" s="6" t="s">
        <v>1671</v>
      </c>
      <c r="F295" s="13" t="s">
        <v>1672</v>
      </c>
      <c r="G295" s="13" t="s">
        <v>1673</v>
      </c>
      <c r="H295" s="13" t="s">
        <v>1674</v>
      </c>
      <c r="I295" s="13"/>
      <c r="J295" s="7"/>
      <c r="K295" s="7"/>
      <c r="L295" s="7" t="s">
        <v>93</v>
      </c>
      <c r="M295" s="7" t="s">
        <v>93</v>
      </c>
      <c r="N295" s="10"/>
      <c r="O295" s="9" t="str">
        <f t="shared" si="4"/>
        <v/>
      </c>
      <c r="P295" s="11"/>
      <c r="Q295" s="12"/>
      <c r="R295" s="11"/>
      <c r="S295" s="7"/>
    </row>
    <row r="296" spans="1:19" ht="14.4" x14ac:dyDescent="0.3">
      <c r="A296" s="6" t="s">
        <v>202</v>
      </c>
      <c r="B296" s="6" t="s">
        <v>1564</v>
      </c>
      <c r="C296" s="6" t="s">
        <v>1675</v>
      </c>
      <c r="D296" s="6" t="s">
        <v>1566</v>
      </c>
      <c r="E296" s="6" t="s">
        <v>1676</v>
      </c>
      <c r="F296" s="13" t="s">
        <v>1356</v>
      </c>
      <c r="G296" s="13" t="s">
        <v>1677</v>
      </c>
      <c r="H296" s="13" t="s">
        <v>1678</v>
      </c>
      <c r="I296" s="13" t="s">
        <v>1679</v>
      </c>
      <c r="J296" s="7"/>
      <c r="K296" s="7"/>
      <c r="L296" s="7" t="s">
        <v>93</v>
      </c>
      <c r="M296" s="7" t="s">
        <v>93</v>
      </c>
      <c r="N296" s="10"/>
      <c r="O296" s="9" t="str">
        <f t="shared" si="4"/>
        <v/>
      </c>
      <c r="P296" s="11"/>
      <c r="Q296" s="12"/>
      <c r="R296" s="11"/>
      <c r="S296" s="7"/>
    </row>
    <row r="297" spans="1:19" ht="14.4" x14ac:dyDescent="0.3">
      <c r="A297" s="6" t="s">
        <v>202</v>
      </c>
      <c r="B297" s="6" t="s">
        <v>1564</v>
      </c>
      <c r="C297" s="6" t="s">
        <v>1681</v>
      </c>
      <c r="D297" s="6" t="s">
        <v>1566</v>
      </c>
      <c r="E297" s="6" t="s">
        <v>1682</v>
      </c>
      <c r="F297" s="13" t="s">
        <v>1683</v>
      </c>
      <c r="G297" s="13" t="s">
        <v>1684</v>
      </c>
      <c r="H297" s="13" t="s">
        <v>1685</v>
      </c>
      <c r="I297" s="13"/>
      <c r="J297" s="7"/>
      <c r="K297" s="7"/>
      <c r="L297" s="7" t="s">
        <v>93</v>
      </c>
      <c r="M297" s="7" t="s">
        <v>93</v>
      </c>
      <c r="N297" s="10"/>
      <c r="O297" s="9" t="str">
        <f t="shared" si="4"/>
        <v/>
      </c>
      <c r="P297" s="11"/>
      <c r="Q297" s="12"/>
      <c r="R297" s="11"/>
      <c r="S297" s="7"/>
    </row>
    <row r="298" spans="1:19" ht="14.4" x14ac:dyDescent="0.3">
      <c r="A298" s="6" t="s">
        <v>202</v>
      </c>
      <c r="B298" s="6" t="s">
        <v>1564</v>
      </c>
      <c r="C298" s="6" t="s">
        <v>1686</v>
      </c>
      <c r="D298" s="6" t="s">
        <v>1566</v>
      </c>
      <c r="E298" s="6" t="s">
        <v>1687</v>
      </c>
      <c r="F298" s="13" t="s">
        <v>1688</v>
      </c>
      <c r="G298" s="13" t="s">
        <v>1689</v>
      </c>
      <c r="H298" s="13" t="s">
        <v>1690</v>
      </c>
      <c r="I298" s="13" t="s">
        <v>1691</v>
      </c>
      <c r="J298" s="7"/>
      <c r="K298" s="7"/>
      <c r="L298" s="7" t="s">
        <v>93</v>
      </c>
      <c r="M298" s="7" t="s">
        <v>93</v>
      </c>
      <c r="N298" s="10"/>
      <c r="O298" s="9" t="str">
        <f t="shared" si="4"/>
        <v/>
      </c>
      <c r="P298" s="11"/>
      <c r="Q298" s="12"/>
      <c r="R298" s="11"/>
      <c r="S298" s="7"/>
    </row>
    <row r="299" spans="1:19" ht="14.4" x14ac:dyDescent="0.3">
      <c r="A299" s="6" t="s">
        <v>202</v>
      </c>
      <c r="B299" s="6" t="s">
        <v>1564</v>
      </c>
      <c r="C299" s="6" t="s">
        <v>1692</v>
      </c>
      <c r="D299" s="6" t="s">
        <v>1566</v>
      </c>
      <c r="E299" s="6" t="s">
        <v>1693</v>
      </c>
      <c r="F299" s="13" t="s">
        <v>1694</v>
      </c>
      <c r="G299" s="13" t="s">
        <v>1695</v>
      </c>
      <c r="H299" s="13" t="s">
        <v>1696</v>
      </c>
      <c r="I299" s="13"/>
      <c r="J299" s="7"/>
      <c r="K299" s="7"/>
      <c r="L299" s="7" t="s">
        <v>93</v>
      </c>
      <c r="M299" s="7" t="s">
        <v>93</v>
      </c>
      <c r="N299" s="10"/>
      <c r="O299" s="9" t="str">
        <f t="shared" si="4"/>
        <v/>
      </c>
      <c r="P299" s="11"/>
      <c r="Q299" s="12"/>
      <c r="R299" s="11"/>
      <c r="S299" s="7"/>
    </row>
    <row r="300" spans="1:19" ht="14.4" x14ac:dyDescent="0.3">
      <c r="A300" s="6" t="s">
        <v>202</v>
      </c>
      <c r="B300" s="6" t="s">
        <v>1564</v>
      </c>
      <c r="C300" s="6" t="s">
        <v>1697</v>
      </c>
      <c r="D300" s="6" t="s">
        <v>1566</v>
      </c>
      <c r="E300" s="6" t="s">
        <v>1698</v>
      </c>
      <c r="F300" s="13" t="s">
        <v>1699</v>
      </c>
      <c r="G300" s="13" t="s">
        <v>754</v>
      </c>
      <c r="H300" s="13"/>
      <c r="I300" s="13"/>
      <c r="J300" s="7"/>
      <c r="K300" s="7"/>
      <c r="L300" s="7" t="s">
        <v>93</v>
      </c>
      <c r="M300" s="7" t="s">
        <v>93</v>
      </c>
      <c r="N300" s="10"/>
      <c r="O300" s="9" t="str">
        <f t="shared" si="4"/>
        <v/>
      </c>
      <c r="P300" s="11"/>
      <c r="Q300" s="12"/>
      <c r="R300" s="11"/>
      <c r="S300" s="7"/>
    </row>
    <row r="301" spans="1:19" ht="14.4" x14ac:dyDescent="0.3">
      <c r="A301" s="6" t="s">
        <v>202</v>
      </c>
      <c r="B301" s="6" t="s">
        <v>1564</v>
      </c>
      <c r="C301" s="6" t="s">
        <v>1700</v>
      </c>
      <c r="D301" s="6" t="s">
        <v>1566</v>
      </c>
      <c r="E301" s="6" t="s">
        <v>1701</v>
      </c>
      <c r="F301" s="13" t="s">
        <v>284</v>
      </c>
      <c r="G301" s="13" t="s">
        <v>1064</v>
      </c>
      <c r="H301" s="13" t="s">
        <v>1702</v>
      </c>
      <c r="I301" s="13"/>
      <c r="J301" s="7"/>
      <c r="K301" s="7"/>
      <c r="L301" s="7" t="s">
        <v>93</v>
      </c>
      <c r="M301" s="7" t="s">
        <v>93</v>
      </c>
      <c r="N301" s="10"/>
      <c r="O301" s="9" t="str">
        <f t="shared" si="4"/>
        <v/>
      </c>
      <c r="P301" s="11"/>
      <c r="Q301" s="12"/>
      <c r="R301" s="11"/>
      <c r="S301" s="7"/>
    </row>
    <row r="302" spans="1:19" ht="14.4" x14ac:dyDescent="0.3">
      <c r="A302" s="6" t="s">
        <v>202</v>
      </c>
      <c r="B302" s="6" t="s">
        <v>1564</v>
      </c>
      <c r="C302" s="6" t="s">
        <v>1703</v>
      </c>
      <c r="D302" s="6" t="s">
        <v>1566</v>
      </c>
      <c r="E302" s="6" t="s">
        <v>1704</v>
      </c>
      <c r="F302" s="13" t="s">
        <v>1705</v>
      </c>
      <c r="G302" s="13" t="s">
        <v>1706</v>
      </c>
      <c r="H302" s="13"/>
      <c r="I302" s="13"/>
      <c r="J302" s="7"/>
      <c r="K302" s="7"/>
      <c r="L302" s="7" t="s">
        <v>93</v>
      </c>
      <c r="M302" s="7" t="s">
        <v>93</v>
      </c>
      <c r="N302" s="10"/>
      <c r="O302" s="9" t="str">
        <f t="shared" si="4"/>
        <v/>
      </c>
      <c r="P302" s="11"/>
      <c r="Q302" s="12"/>
      <c r="R302" s="11"/>
      <c r="S302" s="7"/>
    </row>
    <row r="303" spans="1:19" ht="14.4" x14ac:dyDescent="0.3">
      <c r="A303" s="6" t="s">
        <v>202</v>
      </c>
      <c r="B303" s="6" t="s">
        <v>1564</v>
      </c>
      <c r="C303" s="6" t="s">
        <v>1707</v>
      </c>
      <c r="D303" s="6" t="s">
        <v>1566</v>
      </c>
      <c r="E303" s="6" t="s">
        <v>1708</v>
      </c>
      <c r="F303" s="13" t="s">
        <v>1709</v>
      </c>
      <c r="G303" s="13" t="s">
        <v>1710</v>
      </c>
      <c r="H303" s="13" t="s">
        <v>1711</v>
      </c>
      <c r="I303" s="13"/>
      <c r="J303" s="7"/>
      <c r="K303" s="7"/>
      <c r="L303" s="7" t="s">
        <v>93</v>
      </c>
      <c r="M303" s="7" t="s">
        <v>93</v>
      </c>
      <c r="N303" s="10"/>
      <c r="O303" s="9" t="str">
        <f t="shared" si="4"/>
        <v/>
      </c>
      <c r="P303" s="11"/>
      <c r="Q303" s="12"/>
      <c r="R303" s="11"/>
      <c r="S303" s="7"/>
    </row>
    <row r="304" spans="1:19" ht="14.4" x14ac:dyDescent="0.3">
      <c r="A304" s="6" t="s">
        <v>202</v>
      </c>
      <c r="B304" s="6" t="s">
        <v>1564</v>
      </c>
      <c r="C304" s="6" t="s">
        <v>1713</v>
      </c>
      <c r="D304" s="6" t="s">
        <v>1566</v>
      </c>
      <c r="E304" s="6" t="s">
        <v>1714</v>
      </c>
      <c r="F304" s="13" t="s">
        <v>1715</v>
      </c>
      <c r="G304" s="13" t="s">
        <v>1716</v>
      </c>
      <c r="H304" s="13" t="s">
        <v>1717</v>
      </c>
      <c r="I304" s="13" t="s">
        <v>1718</v>
      </c>
      <c r="J304" s="7"/>
      <c r="K304" s="7"/>
      <c r="L304" s="7" t="s">
        <v>93</v>
      </c>
      <c r="M304" s="7" t="s">
        <v>93</v>
      </c>
      <c r="N304" s="10"/>
      <c r="O304" s="9" t="str">
        <f t="shared" si="4"/>
        <v/>
      </c>
      <c r="P304" s="11"/>
      <c r="Q304" s="12"/>
      <c r="R304" s="11"/>
      <c r="S304" s="7"/>
    </row>
    <row r="305" spans="1:19" ht="14.4" x14ac:dyDescent="0.3">
      <c r="A305" s="6" t="s">
        <v>202</v>
      </c>
      <c r="B305" s="6" t="s">
        <v>1564</v>
      </c>
      <c r="C305" s="6" t="s">
        <v>1719</v>
      </c>
      <c r="D305" s="6" t="s">
        <v>1566</v>
      </c>
      <c r="E305" s="6" t="s">
        <v>1720</v>
      </c>
      <c r="F305" s="13" t="s">
        <v>235</v>
      </c>
      <c r="G305" s="13" t="s">
        <v>1721</v>
      </c>
      <c r="H305" s="13" t="s">
        <v>1722</v>
      </c>
      <c r="I305" s="13"/>
      <c r="J305" s="7"/>
      <c r="K305" s="7"/>
      <c r="L305" s="7" t="s">
        <v>93</v>
      </c>
      <c r="M305" s="7" t="s">
        <v>93</v>
      </c>
      <c r="N305" s="10"/>
      <c r="O305" s="9" t="str">
        <f t="shared" si="4"/>
        <v/>
      </c>
      <c r="P305" s="11"/>
      <c r="Q305" s="12"/>
      <c r="R305" s="11"/>
      <c r="S305" s="7"/>
    </row>
    <row r="306" spans="1:19" ht="14.4" x14ac:dyDescent="0.3">
      <c r="A306" s="6" t="s">
        <v>202</v>
      </c>
      <c r="B306" s="6" t="s">
        <v>1564</v>
      </c>
      <c r="C306" s="6" t="s">
        <v>1723</v>
      </c>
      <c r="D306" s="6" t="s">
        <v>1566</v>
      </c>
      <c r="E306" s="6" t="s">
        <v>1724</v>
      </c>
      <c r="F306" s="13" t="s">
        <v>1232</v>
      </c>
      <c r="G306" s="13" t="s">
        <v>1725</v>
      </c>
      <c r="H306" s="13"/>
      <c r="I306" s="13"/>
      <c r="J306" s="7"/>
      <c r="K306" s="7"/>
      <c r="L306" s="7" t="s">
        <v>93</v>
      </c>
      <c r="M306" s="7" t="s">
        <v>93</v>
      </c>
      <c r="N306" s="10"/>
      <c r="O306" s="9" t="str">
        <f t="shared" si="4"/>
        <v/>
      </c>
      <c r="P306" s="11"/>
      <c r="Q306" s="12"/>
      <c r="R306" s="11"/>
      <c r="S306" s="7"/>
    </row>
    <row r="307" spans="1:19" ht="14.4" x14ac:dyDescent="0.3">
      <c r="A307" s="6" t="s">
        <v>202</v>
      </c>
      <c r="B307" s="6" t="s">
        <v>1564</v>
      </c>
      <c r="C307" s="6" t="s">
        <v>1726</v>
      </c>
      <c r="D307" s="6" t="s">
        <v>1566</v>
      </c>
      <c r="E307" s="6" t="s">
        <v>1727</v>
      </c>
      <c r="F307" s="13" t="s">
        <v>1728</v>
      </c>
      <c r="G307" s="13" t="s">
        <v>1729</v>
      </c>
      <c r="H307" s="13" t="s">
        <v>1730</v>
      </c>
      <c r="I307" s="13" t="s">
        <v>1731</v>
      </c>
      <c r="J307" s="7"/>
      <c r="K307" s="7"/>
      <c r="L307" s="7" t="s">
        <v>93</v>
      </c>
      <c r="M307" s="7" t="s">
        <v>93</v>
      </c>
      <c r="N307" s="10"/>
      <c r="O307" s="9" t="str">
        <f t="shared" si="4"/>
        <v/>
      </c>
      <c r="P307" s="11"/>
      <c r="Q307" s="12"/>
      <c r="R307" s="11"/>
      <c r="S307" s="7"/>
    </row>
    <row r="308" spans="1:19" ht="14.4" x14ac:dyDescent="0.3">
      <c r="A308" s="6" t="s">
        <v>202</v>
      </c>
      <c r="B308" s="6" t="s">
        <v>1564</v>
      </c>
      <c r="C308" s="6" t="s">
        <v>1732</v>
      </c>
      <c r="D308" s="6" t="s">
        <v>1566</v>
      </c>
      <c r="E308" s="6" t="s">
        <v>1733</v>
      </c>
      <c r="F308" s="13" t="s">
        <v>1734</v>
      </c>
      <c r="G308" s="13" t="s">
        <v>1735</v>
      </c>
      <c r="H308" s="13" t="s">
        <v>1736</v>
      </c>
      <c r="I308" s="13"/>
      <c r="J308" s="7"/>
      <c r="K308" s="7"/>
      <c r="L308" s="7" t="s">
        <v>93</v>
      </c>
      <c r="M308" s="7" t="s">
        <v>93</v>
      </c>
      <c r="N308" s="10"/>
      <c r="O308" s="9" t="str">
        <f t="shared" si="4"/>
        <v/>
      </c>
      <c r="P308" s="11"/>
      <c r="Q308" s="12"/>
      <c r="R308" s="11"/>
      <c r="S308" s="7"/>
    </row>
    <row r="309" spans="1:19" ht="14.4" x14ac:dyDescent="0.3">
      <c r="A309" s="6" t="s">
        <v>202</v>
      </c>
      <c r="B309" s="6" t="s">
        <v>1564</v>
      </c>
      <c r="C309" s="6" t="s">
        <v>1737</v>
      </c>
      <c r="D309" s="6" t="s">
        <v>1566</v>
      </c>
      <c r="E309" s="6" t="s">
        <v>1738</v>
      </c>
      <c r="F309" s="13" t="s">
        <v>1406</v>
      </c>
      <c r="G309" s="13" t="s">
        <v>754</v>
      </c>
      <c r="H309" s="13" t="s">
        <v>1739</v>
      </c>
      <c r="I309" s="13"/>
      <c r="J309" s="7"/>
      <c r="K309" s="7"/>
      <c r="L309" s="7" t="s">
        <v>93</v>
      </c>
      <c r="M309" s="7" t="s">
        <v>93</v>
      </c>
      <c r="N309" s="10"/>
      <c r="O309" s="9" t="str">
        <f t="shared" si="4"/>
        <v/>
      </c>
      <c r="P309" s="11"/>
      <c r="Q309" s="12"/>
      <c r="R309" s="11"/>
      <c r="S309" s="7"/>
    </row>
    <row r="310" spans="1:19" ht="14.4" x14ac:dyDescent="0.3">
      <c r="A310" s="6" t="s">
        <v>202</v>
      </c>
      <c r="B310" s="6" t="s">
        <v>1564</v>
      </c>
      <c r="C310" s="6" t="s">
        <v>1740</v>
      </c>
      <c r="D310" s="6" t="s">
        <v>1566</v>
      </c>
      <c r="E310" s="6" t="s">
        <v>1741</v>
      </c>
      <c r="F310" s="13" t="s">
        <v>1742</v>
      </c>
      <c r="G310" s="13" t="s">
        <v>1330</v>
      </c>
      <c r="H310" s="13" t="s">
        <v>1743</v>
      </c>
      <c r="I310" s="13"/>
      <c r="J310" s="7"/>
      <c r="K310" s="7"/>
      <c r="L310" s="7" t="s">
        <v>93</v>
      </c>
      <c r="M310" s="7" t="s">
        <v>93</v>
      </c>
      <c r="N310" s="10"/>
      <c r="O310" s="9" t="str">
        <f t="shared" si="4"/>
        <v/>
      </c>
      <c r="P310" s="11"/>
      <c r="Q310" s="12"/>
      <c r="R310" s="11"/>
      <c r="S310" s="7"/>
    </row>
    <row r="311" spans="1:19" ht="14.4" x14ac:dyDescent="0.3">
      <c r="A311" s="6" t="s">
        <v>202</v>
      </c>
      <c r="B311" s="6" t="s">
        <v>1564</v>
      </c>
      <c r="C311" s="6" t="s">
        <v>1744</v>
      </c>
      <c r="D311" s="6" t="s">
        <v>1566</v>
      </c>
      <c r="E311" s="6" t="s">
        <v>1745</v>
      </c>
      <c r="F311" s="13" t="s">
        <v>1746</v>
      </c>
      <c r="G311" s="13" t="s">
        <v>1747</v>
      </c>
      <c r="H311" s="13" t="s">
        <v>1748</v>
      </c>
      <c r="I311" s="13"/>
      <c r="J311" s="7"/>
      <c r="K311" s="7"/>
      <c r="L311" s="7" t="s">
        <v>93</v>
      </c>
      <c r="M311" s="7" t="s">
        <v>93</v>
      </c>
      <c r="N311" s="10"/>
      <c r="O311" s="9" t="str">
        <f t="shared" si="4"/>
        <v/>
      </c>
      <c r="P311" s="11"/>
      <c r="Q311" s="12"/>
      <c r="R311" s="11"/>
      <c r="S311" s="7"/>
    </row>
    <row r="312" spans="1:19" ht="14.4" x14ac:dyDescent="0.3">
      <c r="A312" s="6" t="s">
        <v>202</v>
      </c>
      <c r="B312" s="6" t="s">
        <v>1564</v>
      </c>
      <c r="C312" s="6" t="s">
        <v>1749</v>
      </c>
      <c r="D312" s="6" t="s">
        <v>1566</v>
      </c>
      <c r="E312" s="6" t="s">
        <v>1750</v>
      </c>
      <c r="F312" s="13" t="s">
        <v>416</v>
      </c>
      <c r="G312" s="13" t="s">
        <v>1751</v>
      </c>
      <c r="H312" s="13" t="s">
        <v>1752</v>
      </c>
      <c r="I312" s="13" t="s">
        <v>1753</v>
      </c>
      <c r="J312" s="7"/>
      <c r="K312" s="7"/>
      <c r="L312" s="7" t="s">
        <v>93</v>
      </c>
      <c r="M312" s="7" t="s">
        <v>93</v>
      </c>
      <c r="N312" s="10"/>
      <c r="O312" s="9" t="str">
        <f t="shared" si="4"/>
        <v/>
      </c>
      <c r="P312" s="11"/>
      <c r="Q312" s="12"/>
      <c r="R312" s="11"/>
      <c r="S312" s="7"/>
    </row>
    <row r="313" spans="1:19" ht="14.4" x14ac:dyDescent="0.3">
      <c r="A313" s="6" t="s">
        <v>202</v>
      </c>
      <c r="B313" s="6" t="s">
        <v>1564</v>
      </c>
      <c r="C313" s="6" t="s">
        <v>1754</v>
      </c>
      <c r="D313" s="6" t="s">
        <v>1566</v>
      </c>
      <c r="E313" s="6" t="s">
        <v>1755</v>
      </c>
      <c r="F313" s="13" t="s">
        <v>1756</v>
      </c>
      <c r="G313" s="13" t="s">
        <v>1757</v>
      </c>
      <c r="H313" s="13" t="s">
        <v>1758</v>
      </c>
      <c r="I313" s="13"/>
      <c r="J313" s="7"/>
      <c r="K313" s="7"/>
      <c r="L313" s="7" t="s">
        <v>93</v>
      </c>
      <c r="M313" s="7" t="s">
        <v>93</v>
      </c>
      <c r="N313" s="10"/>
      <c r="O313" s="9" t="str">
        <f t="shared" si="4"/>
        <v/>
      </c>
      <c r="P313" s="11"/>
      <c r="Q313" s="12"/>
      <c r="R313" s="11"/>
      <c r="S313" s="7"/>
    </row>
    <row r="314" spans="1:19" ht="14.4" x14ac:dyDescent="0.3">
      <c r="A314" s="6" t="s">
        <v>202</v>
      </c>
      <c r="B314" s="6" t="s">
        <v>1564</v>
      </c>
      <c r="C314" s="6" t="s">
        <v>1759</v>
      </c>
      <c r="D314" s="6" t="s">
        <v>1566</v>
      </c>
      <c r="E314" s="6" t="s">
        <v>1760</v>
      </c>
      <c r="F314" s="13" t="s">
        <v>299</v>
      </c>
      <c r="G314" s="13" t="s">
        <v>1761</v>
      </c>
      <c r="H314" s="13" t="s">
        <v>1762</v>
      </c>
      <c r="I314" s="13"/>
      <c r="J314" s="7"/>
      <c r="K314" s="7"/>
      <c r="L314" s="7" t="s">
        <v>93</v>
      </c>
      <c r="M314" s="7" t="s">
        <v>93</v>
      </c>
      <c r="N314" s="10"/>
      <c r="O314" s="9" t="str">
        <f t="shared" si="4"/>
        <v/>
      </c>
      <c r="P314" s="11"/>
      <c r="Q314" s="12"/>
      <c r="R314" s="11"/>
      <c r="S314" s="7"/>
    </row>
    <row r="315" spans="1:19" ht="14.4" x14ac:dyDescent="0.3">
      <c r="A315" s="6" t="s">
        <v>202</v>
      </c>
      <c r="B315" s="6" t="s">
        <v>1564</v>
      </c>
      <c r="C315" s="6" t="s">
        <v>1763</v>
      </c>
      <c r="D315" s="6" t="s">
        <v>1566</v>
      </c>
      <c r="E315" s="6" t="s">
        <v>1764</v>
      </c>
      <c r="F315" s="13" t="s">
        <v>272</v>
      </c>
      <c r="G315" s="13" t="s">
        <v>1765</v>
      </c>
      <c r="H315" s="13" t="s">
        <v>1766</v>
      </c>
      <c r="I315" s="13"/>
      <c r="J315" s="7"/>
      <c r="K315" s="7"/>
      <c r="L315" s="7" t="s">
        <v>93</v>
      </c>
      <c r="M315" s="7" t="s">
        <v>93</v>
      </c>
      <c r="N315" s="10"/>
      <c r="O315" s="9" t="str">
        <f t="shared" si="4"/>
        <v/>
      </c>
      <c r="P315" s="11"/>
      <c r="Q315" s="12"/>
      <c r="R315" s="11"/>
      <c r="S315" s="7"/>
    </row>
    <row r="316" spans="1:19" ht="14.4" x14ac:dyDescent="0.3">
      <c r="A316" s="6" t="s">
        <v>202</v>
      </c>
      <c r="B316" s="6" t="s">
        <v>1564</v>
      </c>
      <c r="C316" s="6" t="s">
        <v>1767</v>
      </c>
      <c r="D316" s="6" t="s">
        <v>1566</v>
      </c>
      <c r="E316" s="6" t="s">
        <v>1768</v>
      </c>
      <c r="F316" s="13" t="s">
        <v>272</v>
      </c>
      <c r="G316" s="13" t="s">
        <v>1769</v>
      </c>
      <c r="H316" s="13" t="s">
        <v>1770</v>
      </c>
      <c r="I316" s="13"/>
      <c r="J316" s="7"/>
      <c r="K316" s="7"/>
      <c r="L316" s="7" t="s">
        <v>93</v>
      </c>
      <c r="M316" s="7" t="s">
        <v>93</v>
      </c>
      <c r="N316" s="10"/>
      <c r="O316" s="9" t="str">
        <f t="shared" si="4"/>
        <v/>
      </c>
      <c r="P316" s="11"/>
      <c r="Q316" s="12"/>
      <c r="R316" s="11"/>
      <c r="S316" s="7"/>
    </row>
    <row r="317" spans="1:19" ht="14.4" x14ac:dyDescent="0.3">
      <c r="A317" s="6" t="s">
        <v>202</v>
      </c>
      <c r="B317" s="6" t="s">
        <v>1564</v>
      </c>
      <c r="C317" s="6" t="s">
        <v>1772</v>
      </c>
      <c r="D317" s="6" t="s">
        <v>1566</v>
      </c>
      <c r="E317" s="6" t="s">
        <v>1773</v>
      </c>
      <c r="F317" s="13" t="s">
        <v>932</v>
      </c>
      <c r="G317" s="13" t="s">
        <v>1774</v>
      </c>
      <c r="H317" s="13" t="s">
        <v>1775</v>
      </c>
      <c r="I317" s="13"/>
      <c r="J317" s="7"/>
      <c r="K317" s="7"/>
      <c r="L317" s="7" t="s">
        <v>93</v>
      </c>
      <c r="M317" s="7" t="s">
        <v>93</v>
      </c>
      <c r="N317" s="10"/>
      <c r="O317" s="9" t="str">
        <f t="shared" si="4"/>
        <v/>
      </c>
      <c r="P317" s="11"/>
      <c r="Q317" s="12"/>
      <c r="R317" s="11"/>
      <c r="S317" s="7"/>
    </row>
    <row r="318" spans="1:19" ht="14.4" x14ac:dyDescent="0.3">
      <c r="A318" s="6" t="s">
        <v>202</v>
      </c>
      <c r="B318" s="6" t="s">
        <v>1564</v>
      </c>
      <c r="C318" s="6" t="s">
        <v>1776</v>
      </c>
      <c r="D318" s="6" t="s">
        <v>1566</v>
      </c>
      <c r="E318" s="6" t="s">
        <v>1777</v>
      </c>
      <c r="F318" s="13" t="s">
        <v>1778</v>
      </c>
      <c r="G318" s="13" t="s">
        <v>1779</v>
      </c>
      <c r="H318" s="13" t="s">
        <v>1780</v>
      </c>
      <c r="I318" s="13"/>
      <c r="J318" s="7"/>
      <c r="K318" s="7"/>
      <c r="L318" s="7" t="s">
        <v>93</v>
      </c>
      <c r="M318" s="7" t="s">
        <v>93</v>
      </c>
      <c r="N318" s="10"/>
      <c r="O318" s="9" t="str">
        <f t="shared" si="4"/>
        <v/>
      </c>
      <c r="P318" s="11"/>
      <c r="Q318" s="12"/>
      <c r="R318" s="11"/>
      <c r="S318" s="7"/>
    </row>
    <row r="319" spans="1:19" ht="14.4" x14ac:dyDescent="0.3">
      <c r="A319" s="6" t="s">
        <v>202</v>
      </c>
      <c r="B319" s="6" t="s">
        <v>1564</v>
      </c>
      <c r="C319" s="6" t="s">
        <v>1781</v>
      </c>
      <c r="D319" s="6" t="s">
        <v>1566</v>
      </c>
      <c r="E319" s="6" t="s">
        <v>1782</v>
      </c>
      <c r="F319" s="13" t="s">
        <v>1783</v>
      </c>
      <c r="G319" s="13" t="s">
        <v>1784</v>
      </c>
      <c r="H319" s="13" t="s">
        <v>1785</v>
      </c>
      <c r="I319" s="13" t="s">
        <v>1786</v>
      </c>
      <c r="J319" s="7"/>
      <c r="K319" s="7"/>
      <c r="L319" s="7" t="s">
        <v>93</v>
      </c>
      <c r="M319" s="7" t="s">
        <v>93</v>
      </c>
      <c r="N319" s="10"/>
      <c r="O319" s="9" t="str">
        <f t="shared" si="4"/>
        <v/>
      </c>
      <c r="P319" s="11"/>
      <c r="Q319" s="12"/>
      <c r="R319" s="11"/>
      <c r="S319" s="7"/>
    </row>
    <row r="320" spans="1:19" ht="14.4" x14ac:dyDescent="0.3">
      <c r="A320" s="6" t="s">
        <v>202</v>
      </c>
      <c r="B320" s="6" t="s">
        <v>1564</v>
      </c>
      <c r="C320" s="6" t="s">
        <v>1787</v>
      </c>
      <c r="D320" s="6" t="s">
        <v>1566</v>
      </c>
      <c r="E320" s="6" t="s">
        <v>1788</v>
      </c>
      <c r="F320" s="13" t="s">
        <v>1789</v>
      </c>
      <c r="G320" s="13" t="s">
        <v>285</v>
      </c>
      <c r="H320" s="13" t="s">
        <v>1790</v>
      </c>
      <c r="I320" s="13"/>
      <c r="J320" s="7"/>
      <c r="K320" s="7"/>
      <c r="L320" s="7" t="s">
        <v>93</v>
      </c>
      <c r="M320" s="7" t="s">
        <v>93</v>
      </c>
      <c r="N320" s="10"/>
      <c r="O320" s="9" t="str">
        <f t="shared" si="4"/>
        <v/>
      </c>
      <c r="P320" s="11"/>
      <c r="Q320" s="12"/>
      <c r="R320" s="11"/>
      <c r="S320" s="7"/>
    </row>
    <row r="321" spans="1:19" ht="14.4" x14ac:dyDescent="0.3">
      <c r="A321" s="6" t="s">
        <v>202</v>
      </c>
      <c r="B321" s="6" t="s">
        <v>1564</v>
      </c>
      <c r="C321" s="6" t="s">
        <v>1791</v>
      </c>
      <c r="D321" s="6" t="s">
        <v>1566</v>
      </c>
      <c r="E321" s="6" t="s">
        <v>1792</v>
      </c>
      <c r="F321" s="13" t="s">
        <v>1793</v>
      </c>
      <c r="G321" s="13" t="s">
        <v>1794</v>
      </c>
      <c r="H321" s="13"/>
      <c r="I321" s="13"/>
      <c r="J321" s="7"/>
      <c r="K321" s="7"/>
      <c r="L321" s="7" t="s">
        <v>93</v>
      </c>
      <c r="M321" s="7" t="s">
        <v>93</v>
      </c>
      <c r="N321" s="10"/>
      <c r="O321" s="9" t="str">
        <f t="shared" si="4"/>
        <v/>
      </c>
      <c r="P321" s="11"/>
      <c r="Q321" s="12"/>
      <c r="R321" s="11"/>
      <c r="S321" s="7"/>
    </row>
    <row r="322" spans="1:19" ht="14.4" x14ac:dyDescent="0.3">
      <c r="A322" s="6" t="s">
        <v>202</v>
      </c>
      <c r="B322" s="6" t="s">
        <v>1564</v>
      </c>
      <c r="C322" s="6" t="s">
        <v>1796</v>
      </c>
      <c r="D322" s="6" t="s">
        <v>1566</v>
      </c>
      <c r="E322" s="6" t="s">
        <v>1797</v>
      </c>
      <c r="F322" s="13" t="s">
        <v>1672</v>
      </c>
      <c r="G322" s="13" t="s">
        <v>1798</v>
      </c>
      <c r="H322" s="13" t="s">
        <v>1799</v>
      </c>
      <c r="I322" s="13" t="s">
        <v>1800</v>
      </c>
      <c r="J322" s="7"/>
      <c r="K322" s="7"/>
      <c r="L322" s="7" t="s">
        <v>93</v>
      </c>
      <c r="M322" s="7" t="s">
        <v>93</v>
      </c>
      <c r="N322" s="10"/>
      <c r="O322" s="9" t="str">
        <f t="shared" ref="O322:O385" si="5">IF(L322="oui","incomplet",IF(OR(J322="non",K322="non"),"a_regulariser",IF(AND(J322="oui",K322="oui"),"ok","")))</f>
        <v/>
      </c>
      <c r="P322" s="11"/>
      <c r="Q322" s="12"/>
      <c r="R322" s="11"/>
      <c r="S322" s="7"/>
    </row>
    <row r="323" spans="1:19" ht="14.4" x14ac:dyDescent="0.3">
      <c r="A323" s="6" t="s">
        <v>202</v>
      </c>
      <c r="B323" s="6" t="s">
        <v>1564</v>
      </c>
      <c r="C323" s="6" t="s">
        <v>1802</v>
      </c>
      <c r="D323" s="6" t="s">
        <v>1566</v>
      </c>
      <c r="E323" s="6" t="s">
        <v>1803</v>
      </c>
      <c r="F323" s="13" t="s">
        <v>1804</v>
      </c>
      <c r="G323" s="13" t="s">
        <v>1805</v>
      </c>
      <c r="H323" s="13" t="s">
        <v>1806</v>
      </c>
      <c r="I323" s="13"/>
      <c r="J323" s="7"/>
      <c r="K323" s="7"/>
      <c r="L323" s="7" t="s">
        <v>93</v>
      </c>
      <c r="M323" s="7" t="s">
        <v>93</v>
      </c>
      <c r="N323" s="10"/>
      <c r="O323" s="9" t="str">
        <f t="shared" si="5"/>
        <v/>
      </c>
      <c r="P323" s="11"/>
      <c r="Q323" s="12"/>
      <c r="R323" s="11"/>
      <c r="S323" s="7"/>
    </row>
    <row r="324" spans="1:19" ht="14.4" x14ac:dyDescent="0.3">
      <c r="A324" s="6" t="s">
        <v>202</v>
      </c>
      <c r="B324" s="6" t="s">
        <v>1564</v>
      </c>
      <c r="C324" s="6" t="s">
        <v>1807</v>
      </c>
      <c r="D324" s="6" t="s">
        <v>1566</v>
      </c>
      <c r="E324" s="6" t="s">
        <v>1808</v>
      </c>
      <c r="F324" s="13" t="s">
        <v>1809</v>
      </c>
      <c r="G324" s="13" t="s">
        <v>1810</v>
      </c>
      <c r="H324" s="13" t="s">
        <v>1811</v>
      </c>
      <c r="I324" s="13"/>
      <c r="J324" s="7"/>
      <c r="K324" s="7"/>
      <c r="L324" s="7" t="s">
        <v>93</v>
      </c>
      <c r="M324" s="7" t="s">
        <v>93</v>
      </c>
      <c r="N324" s="10"/>
      <c r="O324" s="9" t="str">
        <f t="shared" si="5"/>
        <v/>
      </c>
      <c r="P324" s="11"/>
      <c r="Q324" s="12"/>
      <c r="R324" s="11"/>
      <c r="S324" s="7"/>
    </row>
    <row r="325" spans="1:19" ht="14.4" x14ac:dyDescent="0.3">
      <c r="A325" s="6" t="s">
        <v>202</v>
      </c>
      <c r="B325" s="6" t="s">
        <v>1564</v>
      </c>
      <c r="C325" s="6" t="s">
        <v>1812</v>
      </c>
      <c r="D325" s="6" t="s">
        <v>1566</v>
      </c>
      <c r="E325" s="6" t="s">
        <v>1813</v>
      </c>
      <c r="F325" s="13" t="s">
        <v>1814</v>
      </c>
      <c r="G325" s="13" t="s">
        <v>1815</v>
      </c>
      <c r="H325" s="13" t="s">
        <v>1816</v>
      </c>
      <c r="I325" s="13" t="s">
        <v>1817</v>
      </c>
      <c r="J325" s="7"/>
      <c r="K325" s="7"/>
      <c r="L325" s="7" t="s">
        <v>93</v>
      </c>
      <c r="M325" s="7" t="s">
        <v>93</v>
      </c>
      <c r="N325" s="10"/>
      <c r="O325" s="9" t="str">
        <f t="shared" si="5"/>
        <v/>
      </c>
      <c r="P325" s="11"/>
      <c r="Q325" s="12"/>
      <c r="R325" s="11"/>
      <c r="S325" s="7"/>
    </row>
    <row r="326" spans="1:19" ht="14.4" x14ac:dyDescent="0.3">
      <c r="A326" s="6" t="s">
        <v>270</v>
      </c>
      <c r="B326" s="6" t="s">
        <v>1818</v>
      </c>
      <c r="C326" s="6" t="s">
        <v>1819</v>
      </c>
      <c r="D326" s="6" t="s">
        <v>1820</v>
      </c>
      <c r="E326" s="6" t="s">
        <v>1821</v>
      </c>
      <c r="F326" s="13" t="s">
        <v>1822</v>
      </c>
      <c r="G326" s="13" t="s">
        <v>1823</v>
      </c>
      <c r="H326" s="13" t="s">
        <v>1824</v>
      </c>
      <c r="I326" s="13"/>
      <c r="J326" s="7"/>
      <c r="K326" s="7"/>
      <c r="L326" s="7" t="s">
        <v>93</v>
      </c>
      <c r="M326" s="7" t="s">
        <v>93</v>
      </c>
      <c r="N326" s="10"/>
      <c r="O326" s="9" t="str">
        <f t="shared" si="5"/>
        <v/>
      </c>
      <c r="P326" s="11"/>
      <c r="Q326" s="12"/>
      <c r="R326" s="11"/>
      <c r="S326" s="7"/>
    </row>
    <row r="327" spans="1:19" ht="14.4" x14ac:dyDescent="0.3">
      <c r="A327" s="6" t="s">
        <v>270</v>
      </c>
      <c r="B327" s="6" t="s">
        <v>1818</v>
      </c>
      <c r="C327" s="6" t="s">
        <v>1825</v>
      </c>
      <c r="D327" s="6" t="s">
        <v>1820</v>
      </c>
      <c r="E327" s="6" t="s">
        <v>1826</v>
      </c>
      <c r="F327" s="13" t="s">
        <v>1827</v>
      </c>
      <c r="G327" s="13" t="s">
        <v>1828</v>
      </c>
      <c r="H327" s="13" t="s">
        <v>1829</v>
      </c>
      <c r="I327" s="13" t="s">
        <v>1830</v>
      </c>
      <c r="J327" s="7"/>
      <c r="K327" s="7"/>
      <c r="L327" s="7" t="s">
        <v>93</v>
      </c>
      <c r="M327" s="7" t="s">
        <v>93</v>
      </c>
      <c r="N327" s="10"/>
      <c r="O327" s="9" t="str">
        <f t="shared" si="5"/>
        <v/>
      </c>
      <c r="P327" s="11"/>
      <c r="Q327" s="12"/>
      <c r="R327" s="11"/>
      <c r="S327" s="7"/>
    </row>
    <row r="328" spans="1:19" ht="14.4" x14ac:dyDescent="0.3">
      <c r="A328" s="6" t="s">
        <v>270</v>
      </c>
      <c r="B328" s="6" t="s">
        <v>1818</v>
      </c>
      <c r="C328" s="6" t="s">
        <v>1831</v>
      </c>
      <c r="D328" s="6" t="s">
        <v>1820</v>
      </c>
      <c r="E328" s="6" t="s">
        <v>1832</v>
      </c>
      <c r="F328" s="13" t="s">
        <v>1833</v>
      </c>
      <c r="G328" s="13" t="s">
        <v>1834</v>
      </c>
      <c r="H328" s="13" t="s">
        <v>1835</v>
      </c>
      <c r="I328" s="13"/>
      <c r="J328" s="7"/>
      <c r="K328" s="7"/>
      <c r="L328" s="7" t="s">
        <v>93</v>
      </c>
      <c r="M328" s="7" t="s">
        <v>93</v>
      </c>
      <c r="N328" s="10"/>
      <c r="O328" s="9" t="str">
        <f t="shared" si="5"/>
        <v/>
      </c>
      <c r="P328" s="11"/>
      <c r="Q328" s="12"/>
      <c r="R328" s="11"/>
      <c r="S328" s="7"/>
    </row>
    <row r="329" spans="1:19" ht="14.4" x14ac:dyDescent="0.3">
      <c r="A329" s="6" t="s">
        <v>270</v>
      </c>
      <c r="B329" s="6" t="s">
        <v>1818</v>
      </c>
      <c r="C329" s="6" t="s">
        <v>1836</v>
      </c>
      <c r="D329" s="6" t="s">
        <v>1820</v>
      </c>
      <c r="E329" s="6" t="s">
        <v>1837</v>
      </c>
      <c r="F329" s="13" t="s">
        <v>1838</v>
      </c>
      <c r="G329" s="13" t="s">
        <v>1839</v>
      </c>
      <c r="H329" s="13" t="s">
        <v>1840</v>
      </c>
      <c r="I329" s="13"/>
      <c r="J329" s="7"/>
      <c r="K329" s="7"/>
      <c r="L329" s="7" t="s">
        <v>93</v>
      </c>
      <c r="M329" s="7" t="s">
        <v>93</v>
      </c>
      <c r="N329" s="10"/>
      <c r="O329" s="9" t="str">
        <f t="shared" si="5"/>
        <v/>
      </c>
      <c r="P329" s="11"/>
      <c r="Q329" s="12"/>
      <c r="R329" s="11"/>
      <c r="S329" s="7"/>
    </row>
    <row r="330" spans="1:19" ht="14.4" x14ac:dyDescent="0.3">
      <c r="A330" s="6" t="s">
        <v>270</v>
      </c>
      <c r="B330" s="6" t="s">
        <v>1818</v>
      </c>
      <c r="C330" s="6" t="s">
        <v>1841</v>
      </c>
      <c r="D330" s="6" t="s">
        <v>1820</v>
      </c>
      <c r="E330" s="6" t="s">
        <v>1842</v>
      </c>
      <c r="F330" s="13" t="s">
        <v>1843</v>
      </c>
      <c r="G330" s="13" t="s">
        <v>1844</v>
      </c>
      <c r="H330" s="13" t="s">
        <v>1845</v>
      </c>
      <c r="I330" s="13" t="s">
        <v>1846</v>
      </c>
      <c r="J330" s="7"/>
      <c r="K330" s="7"/>
      <c r="L330" s="7" t="s">
        <v>93</v>
      </c>
      <c r="M330" s="7" t="s">
        <v>93</v>
      </c>
      <c r="N330" s="10"/>
      <c r="O330" s="9" t="str">
        <f t="shared" si="5"/>
        <v/>
      </c>
      <c r="P330" s="11"/>
      <c r="Q330" s="12"/>
      <c r="R330" s="11"/>
      <c r="S330" s="7"/>
    </row>
    <row r="331" spans="1:19" ht="14.4" x14ac:dyDescent="0.3">
      <c r="A331" s="6" t="s">
        <v>270</v>
      </c>
      <c r="B331" s="6" t="s">
        <v>1818</v>
      </c>
      <c r="C331" s="6" t="s">
        <v>1847</v>
      </c>
      <c r="D331" s="6" t="s">
        <v>1820</v>
      </c>
      <c r="E331" s="6" t="s">
        <v>1848</v>
      </c>
      <c r="F331" s="13" t="s">
        <v>1849</v>
      </c>
      <c r="G331" s="13" t="s">
        <v>1850</v>
      </c>
      <c r="H331" s="13" t="s">
        <v>1851</v>
      </c>
      <c r="I331" s="13"/>
      <c r="J331" s="7"/>
      <c r="K331" s="7"/>
      <c r="L331" s="7" t="s">
        <v>93</v>
      </c>
      <c r="M331" s="7" t="s">
        <v>93</v>
      </c>
      <c r="N331" s="10"/>
      <c r="O331" s="9" t="str">
        <f t="shared" si="5"/>
        <v/>
      </c>
      <c r="P331" s="11"/>
      <c r="Q331" s="12"/>
      <c r="R331" s="11"/>
      <c r="S331" s="7"/>
    </row>
    <row r="332" spans="1:19" ht="14.4" x14ac:dyDescent="0.3">
      <c r="A332" s="6" t="s">
        <v>270</v>
      </c>
      <c r="B332" s="6" t="s">
        <v>1818</v>
      </c>
      <c r="C332" s="6" t="s">
        <v>1852</v>
      </c>
      <c r="D332" s="6" t="s">
        <v>1820</v>
      </c>
      <c r="E332" s="6" t="s">
        <v>1853</v>
      </c>
      <c r="F332" s="13" t="s">
        <v>1838</v>
      </c>
      <c r="G332" s="13" t="s">
        <v>1854</v>
      </c>
      <c r="H332" s="13" t="s">
        <v>1855</v>
      </c>
      <c r="I332" s="13"/>
      <c r="J332" s="7"/>
      <c r="K332" s="7"/>
      <c r="L332" s="7" t="s">
        <v>93</v>
      </c>
      <c r="M332" s="7" t="s">
        <v>93</v>
      </c>
      <c r="N332" s="10"/>
      <c r="O332" s="9" t="str">
        <f t="shared" si="5"/>
        <v/>
      </c>
      <c r="P332" s="11"/>
      <c r="Q332" s="12"/>
      <c r="R332" s="11"/>
      <c r="S332" s="7"/>
    </row>
    <row r="333" spans="1:19" ht="14.4" x14ac:dyDescent="0.3">
      <c r="A333" s="6" t="s">
        <v>270</v>
      </c>
      <c r="B333" s="6" t="s">
        <v>1818</v>
      </c>
      <c r="C333" s="6" t="s">
        <v>1857</v>
      </c>
      <c r="D333" s="6" t="s">
        <v>1820</v>
      </c>
      <c r="E333" s="6" t="s">
        <v>1858</v>
      </c>
      <c r="F333" s="13" t="s">
        <v>1859</v>
      </c>
      <c r="G333" s="13" t="s">
        <v>1860</v>
      </c>
      <c r="H333" s="13" t="s">
        <v>1861</v>
      </c>
      <c r="I333" s="13"/>
      <c r="J333" s="7"/>
      <c r="K333" s="7"/>
      <c r="L333" s="7" t="s">
        <v>93</v>
      </c>
      <c r="M333" s="7" t="s">
        <v>93</v>
      </c>
      <c r="N333" s="10"/>
      <c r="O333" s="9" t="str">
        <f t="shared" si="5"/>
        <v/>
      </c>
      <c r="P333" s="11"/>
      <c r="Q333" s="12"/>
      <c r="R333" s="11"/>
      <c r="S333" s="7"/>
    </row>
    <row r="334" spans="1:19" ht="14.4" x14ac:dyDescent="0.3">
      <c r="A334" s="6" t="s">
        <v>270</v>
      </c>
      <c r="B334" s="6" t="s">
        <v>1818</v>
      </c>
      <c r="C334" s="6" t="s">
        <v>1862</v>
      </c>
      <c r="D334" s="6" t="s">
        <v>1820</v>
      </c>
      <c r="E334" s="6" t="s">
        <v>1863</v>
      </c>
      <c r="F334" s="13" t="s">
        <v>1864</v>
      </c>
      <c r="G334" s="13" t="s">
        <v>1865</v>
      </c>
      <c r="H334" s="13" t="s">
        <v>1866</v>
      </c>
      <c r="I334" s="13" t="s">
        <v>1867</v>
      </c>
      <c r="J334" s="7"/>
      <c r="K334" s="7"/>
      <c r="L334" s="7" t="s">
        <v>93</v>
      </c>
      <c r="M334" s="7" t="s">
        <v>93</v>
      </c>
      <c r="N334" s="10"/>
      <c r="O334" s="9" t="str">
        <f t="shared" si="5"/>
        <v/>
      </c>
      <c r="P334" s="11"/>
      <c r="Q334" s="12"/>
      <c r="R334" s="11"/>
      <c r="S334" s="7"/>
    </row>
    <row r="335" spans="1:19" ht="14.4" x14ac:dyDescent="0.3">
      <c r="A335" s="6" t="s">
        <v>270</v>
      </c>
      <c r="B335" s="6" t="s">
        <v>1818</v>
      </c>
      <c r="C335" s="6" t="s">
        <v>1868</v>
      </c>
      <c r="D335" s="6" t="s">
        <v>1820</v>
      </c>
      <c r="E335" s="6" t="s">
        <v>1869</v>
      </c>
      <c r="F335" s="13" t="s">
        <v>439</v>
      </c>
      <c r="G335" s="13" t="s">
        <v>1870</v>
      </c>
      <c r="H335" s="13" t="s">
        <v>1871</v>
      </c>
      <c r="I335" s="13"/>
      <c r="J335" s="7"/>
      <c r="K335" s="7"/>
      <c r="L335" s="7" t="s">
        <v>93</v>
      </c>
      <c r="M335" s="7" t="s">
        <v>93</v>
      </c>
      <c r="N335" s="10"/>
      <c r="O335" s="9" t="str">
        <f t="shared" si="5"/>
        <v/>
      </c>
      <c r="P335" s="11"/>
      <c r="Q335" s="12"/>
      <c r="R335" s="11"/>
      <c r="S335" s="7"/>
    </row>
    <row r="336" spans="1:19" ht="14.4" x14ac:dyDescent="0.3">
      <c r="A336" s="6" t="s">
        <v>270</v>
      </c>
      <c r="B336" s="6" t="s">
        <v>1818</v>
      </c>
      <c r="C336" s="6" t="s">
        <v>1872</v>
      </c>
      <c r="D336" s="6" t="s">
        <v>1820</v>
      </c>
      <c r="E336" s="6" t="s">
        <v>1873</v>
      </c>
      <c r="F336" s="13" t="s">
        <v>1874</v>
      </c>
      <c r="G336" s="13" t="s">
        <v>1875</v>
      </c>
      <c r="H336" s="13"/>
      <c r="I336" s="13"/>
      <c r="J336" s="7"/>
      <c r="K336" s="7"/>
      <c r="L336" s="7" t="s">
        <v>93</v>
      </c>
      <c r="M336" s="7" t="s">
        <v>93</v>
      </c>
      <c r="N336" s="10"/>
      <c r="O336" s="9" t="str">
        <f t="shared" si="5"/>
        <v/>
      </c>
      <c r="P336" s="11"/>
      <c r="Q336" s="12"/>
      <c r="R336" s="11"/>
      <c r="S336" s="7"/>
    </row>
    <row r="337" spans="1:19" ht="14.4" x14ac:dyDescent="0.3">
      <c r="A337" s="6" t="s">
        <v>270</v>
      </c>
      <c r="B337" s="6" t="s">
        <v>1818</v>
      </c>
      <c r="C337" s="6" t="s">
        <v>1876</v>
      </c>
      <c r="D337" s="6" t="s">
        <v>1820</v>
      </c>
      <c r="E337" s="6" t="s">
        <v>1877</v>
      </c>
      <c r="F337" s="13" t="s">
        <v>1016</v>
      </c>
      <c r="G337" s="13" t="s">
        <v>1878</v>
      </c>
      <c r="H337" s="13" t="s">
        <v>1879</v>
      </c>
      <c r="I337" s="13" t="s">
        <v>1880</v>
      </c>
      <c r="J337" s="7"/>
      <c r="K337" s="7"/>
      <c r="L337" s="7" t="s">
        <v>93</v>
      </c>
      <c r="M337" s="7" t="s">
        <v>93</v>
      </c>
      <c r="N337" s="10"/>
      <c r="O337" s="9" t="str">
        <f t="shared" si="5"/>
        <v/>
      </c>
      <c r="P337" s="11"/>
      <c r="Q337" s="12"/>
      <c r="R337" s="11"/>
      <c r="S337" s="7"/>
    </row>
    <row r="338" spans="1:19" ht="14.4" x14ac:dyDescent="0.3">
      <c r="A338" s="6" t="s">
        <v>270</v>
      </c>
      <c r="B338" s="6" t="s">
        <v>1818</v>
      </c>
      <c r="C338" s="6" t="s">
        <v>1882</v>
      </c>
      <c r="D338" s="6" t="s">
        <v>1820</v>
      </c>
      <c r="E338" s="6" t="s">
        <v>1883</v>
      </c>
      <c r="F338" s="13" t="s">
        <v>1884</v>
      </c>
      <c r="G338" s="13" t="s">
        <v>1885</v>
      </c>
      <c r="H338" s="13" t="s">
        <v>1886</v>
      </c>
      <c r="I338" s="13"/>
      <c r="J338" s="7"/>
      <c r="K338" s="7"/>
      <c r="L338" s="7" t="s">
        <v>93</v>
      </c>
      <c r="M338" s="7" t="s">
        <v>93</v>
      </c>
      <c r="N338" s="10"/>
      <c r="O338" s="9" t="str">
        <f t="shared" si="5"/>
        <v/>
      </c>
      <c r="P338" s="11"/>
      <c r="Q338" s="12"/>
      <c r="R338" s="11"/>
      <c r="S338" s="7"/>
    </row>
    <row r="339" spans="1:19" ht="14.4" x14ac:dyDescent="0.3">
      <c r="A339" s="6" t="s">
        <v>262</v>
      </c>
      <c r="B339" s="6" t="s">
        <v>1887</v>
      </c>
      <c r="C339" s="6" t="s">
        <v>1888</v>
      </c>
      <c r="D339" s="6" t="s">
        <v>1889</v>
      </c>
      <c r="E339" s="6" t="s">
        <v>1890</v>
      </c>
      <c r="F339" s="13" t="s">
        <v>1891</v>
      </c>
      <c r="G339" s="13" t="s">
        <v>1892</v>
      </c>
      <c r="H339" s="13" t="s">
        <v>1893</v>
      </c>
      <c r="I339" s="13"/>
      <c r="J339" s="7"/>
      <c r="K339" s="7"/>
      <c r="L339" s="7" t="s">
        <v>93</v>
      </c>
      <c r="M339" s="7" t="s">
        <v>93</v>
      </c>
      <c r="N339" s="10"/>
      <c r="O339" s="9" t="str">
        <f t="shared" si="5"/>
        <v/>
      </c>
      <c r="P339" s="11"/>
      <c r="Q339" s="12"/>
      <c r="R339" s="11"/>
      <c r="S339" s="7"/>
    </row>
    <row r="340" spans="1:19" ht="14.4" x14ac:dyDescent="0.3">
      <c r="A340" s="6" t="s">
        <v>262</v>
      </c>
      <c r="B340" s="6" t="s">
        <v>1887</v>
      </c>
      <c r="C340" s="6" t="s">
        <v>1894</v>
      </c>
      <c r="D340" s="6" t="s">
        <v>1889</v>
      </c>
      <c r="E340" s="6" t="s">
        <v>1895</v>
      </c>
      <c r="F340" s="13" t="s">
        <v>1896</v>
      </c>
      <c r="G340" s="13" t="s">
        <v>1897</v>
      </c>
      <c r="H340" s="13" t="s">
        <v>1898</v>
      </c>
      <c r="I340" s="13"/>
      <c r="J340" s="7"/>
      <c r="K340" s="7"/>
      <c r="L340" s="7" t="s">
        <v>93</v>
      </c>
      <c r="M340" s="7" t="s">
        <v>93</v>
      </c>
      <c r="N340" s="10"/>
      <c r="O340" s="9" t="str">
        <f t="shared" si="5"/>
        <v/>
      </c>
      <c r="P340" s="11"/>
      <c r="Q340" s="12"/>
      <c r="R340" s="11"/>
      <c r="S340" s="7"/>
    </row>
    <row r="341" spans="1:19" ht="14.4" x14ac:dyDescent="0.3">
      <c r="A341" s="6" t="s">
        <v>262</v>
      </c>
      <c r="B341" s="6" t="s">
        <v>1887</v>
      </c>
      <c r="C341" s="6" t="s">
        <v>1899</v>
      </c>
      <c r="D341" s="6" t="s">
        <v>1889</v>
      </c>
      <c r="E341" s="6" t="s">
        <v>1900</v>
      </c>
      <c r="F341" s="13" t="s">
        <v>1901</v>
      </c>
      <c r="G341" s="13" t="s">
        <v>972</v>
      </c>
      <c r="H341" s="13" t="s">
        <v>1902</v>
      </c>
      <c r="I341" s="13"/>
      <c r="J341" s="7"/>
      <c r="K341" s="7"/>
      <c r="L341" s="7" t="s">
        <v>93</v>
      </c>
      <c r="M341" s="7" t="s">
        <v>93</v>
      </c>
      <c r="N341" s="10"/>
      <c r="O341" s="9" t="str">
        <f t="shared" si="5"/>
        <v/>
      </c>
      <c r="P341" s="11"/>
      <c r="Q341" s="12"/>
      <c r="R341" s="11"/>
      <c r="S341" s="7"/>
    </row>
    <row r="342" spans="1:19" ht="14.4" x14ac:dyDescent="0.3">
      <c r="A342" s="6" t="s">
        <v>262</v>
      </c>
      <c r="B342" s="6" t="s">
        <v>1887</v>
      </c>
      <c r="C342" s="6" t="s">
        <v>1903</v>
      </c>
      <c r="D342" s="6" t="s">
        <v>1889</v>
      </c>
      <c r="E342" s="6" t="s">
        <v>1904</v>
      </c>
      <c r="F342" s="13" t="s">
        <v>349</v>
      </c>
      <c r="G342" s="13" t="s">
        <v>826</v>
      </c>
      <c r="H342" s="13" t="s">
        <v>1905</v>
      </c>
      <c r="I342" s="13"/>
      <c r="J342" s="7"/>
      <c r="K342" s="7"/>
      <c r="L342" s="7" t="s">
        <v>93</v>
      </c>
      <c r="M342" s="7" t="s">
        <v>93</v>
      </c>
      <c r="N342" s="10"/>
      <c r="O342" s="9" t="str">
        <f t="shared" si="5"/>
        <v/>
      </c>
      <c r="P342" s="11"/>
      <c r="Q342" s="12"/>
      <c r="R342" s="11"/>
      <c r="S342" s="7"/>
    </row>
    <row r="343" spans="1:19" ht="14.4" x14ac:dyDescent="0.3">
      <c r="A343" s="6" t="s">
        <v>262</v>
      </c>
      <c r="B343" s="6" t="s">
        <v>1887</v>
      </c>
      <c r="C343" s="6" t="s">
        <v>1906</v>
      </c>
      <c r="D343" s="6" t="s">
        <v>1889</v>
      </c>
      <c r="E343" s="6" t="s">
        <v>1907</v>
      </c>
      <c r="F343" s="13" t="s">
        <v>1908</v>
      </c>
      <c r="G343" s="13" t="s">
        <v>1909</v>
      </c>
      <c r="H343" s="13" t="s">
        <v>1910</v>
      </c>
      <c r="I343" s="13"/>
      <c r="J343" s="7"/>
      <c r="K343" s="7"/>
      <c r="L343" s="7" t="s">
        <v>93</v>
      </c>
      <c r="M343" s="7" t="s">
        <v>93</v>
      </c>
      <c r="N343" s="10"/>
      <c r="O343" s="9" t="str">
        <f t="shared" si="5"/>
        <v/>
      </c>
      <c r="P343" s="11"/>
      <c r="Q343" s="12"/>
      <c r="R343" s="11"/>
      <c r="S343" s="7"/>
    </row>
    <row r="344" spans="1:19" ht="14.4" x14ac:dyDescent="0.3">
      <c r="A344" s="6" t="s">
        <v>262</v>
      </c>
      <c r="B344" s="6" t="s">
        <v>1887</v>
      </c>
      <c r="C344" s="6" t="s">
        <v>1911</v>
      </c>
      <c r="D344" s="6" t="s">
        <v>1889</v>
      </c>
      <c r="E344" s="6" t="s">
        <v>1912</v>
      </c>
      <c r="F344" s="13" t="s">
        <v>1913</v>
      </c>
      <c r="G344" s="13" t="s">
        <v>1834</v>
      </c>
      <c r="H344" s="13" t="s">
        <v>1914</v>
      </c>
      <c r="I344" s="13"/>
      <c r="J344" s="7"/>
      <c r="K344" s="7"/>
      <c r="L344" s="7" t="s">
        <v>93</v>
      </c>
      <c r="M344" s="7" t="s">
        <v>93</v>
      </c>
      <c r="N344" s="10"/>
      <c r="O344" s="9" t="str">
        <f t="shared" si="5"/>
        <v/>
      </c>
      <c r="P344" s="11"/>
      <c r="Q344" s="12"/>
      <c r="R344" s="11"/>
      <c r="S344" s="7"/>
    </row>
    <row r="345" spans="1:19" ht="14.4" x14ac:dyDescent="0.3">
      <c r="A345" s="6" t="s">
        <v>262</v>
      </c>
      <c r="B345" s="6" t="s">
        <v>1887</v>
      </c>
      <c r="C345" s="6" t="s">
        <v>1915</v>
      </c>
      <c r="D345" s="6" t="s">
        <v>1889</v>
      </c>
      <c r="E345" s="6" t="s">
        <v>1916</v>
      </c>
      <c r="F345" s="13" t="s">
        <v>458</v>
      </c>
      <c r="G345" s="13" t="s">
        <v>1457</v>
      </c>
      <c r="H345" s="13" t="s">
        <v>1917</v>
      </c>
      <c r="I345" s="13"/>
      <c r="J345" s="7"/>
      <c r="K345" s="7"/>
      <c r="L345" s="7" t="s">
        <v>93</v>
      </c>
      <c r="M345" s="7" t="s">
        <v>93</v>
      </c>
      <c r="N345" s="10"/>
      <c r="O345" s="9" t="str">
        <f t="shared" si="5"/>
        <v/>
      </c>
      <c r="P345" s="11"/>
      <c r="Q345" s="12"/>
      <c r="R345" s="11"/>
      <c r="S345" s="7"/>
    </row>
    <row r="346" spans="1:19" ht="14.4" x14ac:dyDescent="0.3">
      <c r="A346" s="6" t="s">
        <v>262</v>
      </c>
      <c r="B346" s="6" t="s">
        <v>1887</v>
      </c>
      <c r="C346" s="6" t="s">
        <v>1918</v>
      </c>
      <c r="D346" s="6" t="s">
        <v>1889</v>
      </c>
      <c r="E346" s="6" t="s">
        <v>1919</v>
      </c>
      <c r="F346" s="13" t="s">
        <v>697</v>
      </c>
      <c r="G346" s="13" t="s">
        <v>226</v>
      </c>
      <c r="H346" s="13" t="s">
        <v>1920</v>
      </c>
      <c r="I346" s="13" t="s">
        <v>1921</v>
      </c>
      <c r="J346" s="7"/>
      <c r="K346" s="7"/>
      <c r="L346" s="7" t="s">
        <v>93</v>
      </c>
      <c r="M346" s="7" t="s">
        <v>93</v>
      </c>
      <c r="N346" s="10"/>
      <c r="O346" s="9" t="str">
        <f t="shared" si="5"/>
        <v/>
      </c>
      <c r="P346" s="11"/>
      <c r="Q346" s="12"/>
      <c r="R346" s="11"/>
      <c r="S346" s="7"/>
    </row>
    <row r="347" spans="1:19" ht="14.4" x14ac:dyDescent="0.3">
      <c r="A347" s="6" t="s">
        <v>262</v>
      </c>
      <c r="B347" s="6" t="s">
        <v>1887</v>
      </c>
      <c r="C347" s="6" t="s">
        <v>1922</v>
      </c>
      <c r="D347" s="6" t="s">
        <v>1889</v>
      </c>
      <c r="E347" s="6" t="s">
        <v>1923</v>
      </c>
      <c r="F347" s="13" t="s">
        <v>1924</v>
      </c>
      <c r="G347" s="13" t="s">
        <v>939</v>
      </c>
      <c r="H347" s="13" t="s">
        <v>1925</v>
      </c>
      <c r="I347" s="13"/>
      <c r="J347" s="7"/>
      <c r="K347" s="7"/>
      <c r="L347" s="7" t="s">
        <v>93</v>
      </c>
      <c r="M347" s="7" t="s">
        <v>93</v>
      </c>
      <c r="N347" s="10"/>
      <c r="O347" s="9" t="str">
        <f t="shared" si="5"/>
        <v/>
      </c>
      <c r="P347" s="11"/>
      <c r="Q347" s="12"/>
      <c r="R347" s="11"/>
      <c r="S347" s="7"/>
    </row>
    <row r="348" spans="1:19" ht="14.4" x14ac:dyDescent="0.3">
      <c r="A348" s="6" t="s">
        <v>262</v>
      </c>
      <c r="B348" s="6" t="s">
        <v>1887</v>
      </c>
      <c r="C348" s="6" t="s">
        <v>1926</v>
      </c>
      <c r="D348" s="6" t="s">
        <v>1889</v>
      </c>
      <c r="E348" s="6" t="s">
        <v>1927</v>
      </c>
      <c r="F348" s="13" t="s">
        <v>1928</v>
      </c>
      <c r="G348" s="13" t="s">
        <v>1929</v>
      </c>
      <c r="H348" s="13" t="s">
        <v>1930</v>
      </c>
      <c r="I348" s="13"/>
      <c r="J348" s="7"/>
      <c r="K348" s="7"/>
      <c r="L348" s="7" t="s">
        <v>93</v>
      </c>
      <c r="M348" s="7" t="s">
        <v>93</v>
      </c>
      <c r="N348" s="10"/>
      <c r="O348" s="9" t="str">
        <f t="shared" si="5"/>
        <v/>
      </c>
      <c r="P348" s="11"/>
      <c r="Q348" s="12"/>
      <c r="R348" s="11"/>
      <c r="S348" s="7"/>
    </row>
    <row r="349" spans="1:19" ht="14.4" x14ac:dyDescent="0.3">
      <c r="A349" s="6" t="s">
        <v>262</v>
      </c>
      <c r="B349" s="6" t="s">
        <v>1887</v>
      </c>
      <c r="C349" s="6" t="s">
        <v>1931</v>
      </c>
      <c r="D349" s="6" t="s">
        <v>1889</v>
      </c>
      <c r="E349" s="6" t="s">
        <v>1932</v>
      </c>
      <c r="F349" s="13" t="s">
        <v>1933</v>
      </c>
      <c r="G349" s="13" t="s">
        <v>1934</v>
      </c>
      <c r="H349" s="13" t="s">
        <v>1935</v>
      </c>
      <c r="I349" s="13" t="s">
        <v>1936</v>
      </c>
      <c r="J349" s="7"/>
      <c r="K349" s="7"/>
      <c r="L349" s="7" t="s">
        <v>93</v>
      </c>
      <c r="M349" s="7" t="s">
        <v>93</v>
      </c>
      <c r="N349" s="10"/>
      <c r="O349" s="9" t="str">
        <f t="shared" si="5"/>
        <v/>
      </c>
      <c r="P349" s="11"/>
      <c r="Q349" s="12"/>
      <c r="R349" s="11"/>
      <c r="S349" s="7"/>
    </row>
    <row r="350" spans="1:19" ht="14.4" x14ac:dyDescent="0.3">
      <c r="A350" s="6" t="s">
        <v>262</v>
      </c>
      <c r="B350" s="6" t="s">
        <v>1887</v>
      </c>
      <c r="C350" s="6" t="s">
        <v>1937</v>
      </c>
      <c r="D350" s="6" t="s">
        <v>1889</v>
      </c>
      <c r="E350" s="6" t="s">
        <v>1938</v>
      </c>
      <c r="F350" s="13" t="s">
        <v>1933</v>
      </c>
      <c r="G350" s="13" t="s">
        <v>259</v>
      </c>
      <c r="H350" s="13" t="s">
        <v>1939</v>
      </c>
      <c r="I350" s="13"/>
      <c r="J350" s="7"/>
      <c r="K350" s="7"/>
      <c r="L350" s="7" t="s">
        <v>93</v>
      </c>
      <c r="M350" s="7" t="s">
        <v>93</v>
      </c>
      <c r="N350" s="10"/>
      <c r="O350" s="9" t="str">
        <f t="shared" si="5"/>
        <v/>
      </c>
      <c r="P350" s="11"/>
      <c r="Q350" s="12"/>
      <c r="R350" s="11"/>
      <c r="S350" s="7"/>
    </row>
    <row r="351" spans="1:19" ht="14.4" x14ac:dyDescent="0.3">
      <c r="A351" s="6" t="s">
        <v>262</v>
      </c>
      <c r="B351" s="6" t="s">
        <v>1887</v>
      </c>
      <c r="C351" s="6" t="s">
        <v>1940</v>
      </c>
      <c r="D351" s="6" t="s">
        <v>1889</v>
      </c>
      <c r="E351" s="6" t="s">
        <v>1941</v>
      </c>
      <c r="F351" s="13" t="s">
        <v>334</v>
      </c>
      <c r="G351" s="13" t="s">
        <v>1942</v>
      </c>
      <c r="H351" s="13" t="s">
        <v>1943</v>
      </c>
      <c r="I351" s="13"/>
      <c r="J351" s="7"/>
      <c r="K351" s="7"/>
      <c r="L351" s="7" t="s">
        <v>93</v>
      </c>
      <c r="M351" s="7" t="s">
        <v>93</v>
      </c>
      <c r="N351" s="10"/>
      <c r="O351" s="9" t="str">
        <f t="shared" si="5"/>
        <v/>
      </c>
      <c r="P351" s="11"/>
      <c r="Q351" s="12"/>
      <c r="R351" s="11"/>
      <c r="S351" s="7"/>
    </row>
    <row r="352" spans="1:19" ht="14.4" x14ac:dyDescent="0.3">
      <c r="A352" s="6" t="s">
        <v>262</v>
      </c>
      <c r="B352" s="6" t="s">
        <v>1887</v>
      </c>
      <c r="C352" s="6" t="s">
        <v>1944</v>
      </c>
      <c r="D352" s="6" t="s">
        <v>1889</v>
      </c>
      <c r="E352" s="6" t="s">
        <v>1945</v>
      </c>
      <c r="F352" s="13" t="s">
        <v>1946</v>
      </c>
      <c r="G352" s="13" t="s">
        <v>1457</v>
      </c>
      <c r="H352" s="13" t="s">
        <v>1947</v>
      </c>
      <c r="I352" s="13"/>
      <c r="J352" s="7"/>
      <c r="K352" s="7"/>
      <c r="L352" s="7" t="s">
        <v>93</v>
      </c>
      <c r="M352" s="7" t="s">
        <v>93</v>
      </c>
      <c r="N352" s="10"/>
      <c r="O352" s="9" t="str">
        <f t="shared" si="5"/>
        <v/>
      </c>
      <c r="P352" s="11"/>
      <c r="Q352" s="12"/>
      <c r="R352" s="11"/>
      <c r="S352" s="7"/>
    </row>
    <row r="353" spans="1:19" ht="14.4" x14ac:dyDescent="0.3">
      <c r="A353" s="6" t="s">
        <v>262</v>
      </c>
      <c r="B353" s="6" t="s">
        <v>1887</v>
      </c>
      <c r="C353" s="6" t="s">
        <v>1948</v>
      </c>
      <c r="D353" s="6" t="s">
        <v>1889</v>
      </c>
      <c r="E353" s="6" t="s">
        <v>1949</v>
      </c>
      <c r="F353" s="13" t="s">
        <v>1950</v>
      </c>
      <c r="G353" s="13" t="s">
        <v>1951</v>
      </c>
      <c r="H353" s="13" t="s">
        <v>1952</v>
      </c>
      <c r="I353" s="13"/>
      <c r="J353" s="7"/>
      <c r="K353" s="7"/>
      <c r="L353" s="7" t="s">
        <v>93</v>
      </c>
      <c r="M353" s="7" t="s">
        <v>93</v>
      </c>
      <c r="N353" s="10"/>
      <c r="O353" s="9" t="str">
        <f t="shared" si="5"/>
        <v/>
      </c>
      <c r="P353" s="11"/>
      <c r="Q353" s="12"/>
      <c r="R353" s="11"/>
      <c r="S353" s="7"/>
    </row>
    <row r="354" spans="1:19" ht="14.4" x14ac:dyDescent="0.3">
      <c r="A354" s="6" t="s">
        <v>270</v>
      </c>
      <c r="B354" s="6" t="s">
        <v>1953</v>
      </c>
      <c r="C354" s="6" t="s">
        <v>1954</v>
      </c>
      <c r="D354" s="6" t="s">
        <v>1955</v>
      </c>
      <c r="E354" s="6" t="s">
        <v>1956</v>
      </c>
      <c r="F354" s="13" t="s">
        <v>1573</v>
      </c>
      <c r="G354" s="13" t="s">
        <v>1834</v>
      </c>
      <c r="H354" s="13" t="s">
        <v>1957</v>
      </c>
      <c r="I354" s="13"/>
      <c r="J354" s="7"/>
      <c r="K354" s="7"/>
      <c r="L354" s="7" t="s">
        <v>93</v>
      </c>
      <c r="M354" s="7" t="s">
        <v>93</v>
      </c>
      <c r="N354" s="10"/>
      <c r="O354" s="9" t="str">
        <f t="shared" si="5"/>
        <v/>
      </c>
      <c r="P354" s="11"/>
      <c r="Q354" s="12"/>
      <c r="R354" s="11"/>
      <c r="S354" s="7"/>
    </row>
    <row r="355" spans="1:19" ht="14.4" x14ac:dyDescent="0.3">
      <c r="A355" s="6" t="s">
        <v>270</v>
      </c>
      <c r="B355" s="6" t="s">
        <v>1953</v>
      </c>
      <c r="C355" s="6" t="s">
        <v>1958</v>
      </c>
      <c r="D355" s="6" t="s">
        <v>1955</v>
      </c>
      <c r="E355" s="6" t="s">
        <v>1959</v>
      </c>
      <c r="F355" s="13" t="s">
        <v>1960</v>
      </c>
      <c r="G355" s="13" t="s">
        <v>1961</v>
      </c>
      <c r="H355" s="13" t="s">
        <v>1962</v>
      </c>
      <c r="I355" s="13"/>
      <c r="J355" s="7"/>
      <c r="K355" s="7"/>
      <c r="L355" s="7" t="s">
        <v>93</v>
      </c>
      <c r="M355" s="7" t="s">
        <v>93</v>
      </c>
      <c r="N355" s="10"/>
      <c r="O355" s="9" t="str">
        <f t="shared" si="5"/>
        <v/>
      </c>
      <c r="P355" s="11"/>
      <c r="Q355" s="12"/>
      <c r="R355" s="11"/>
      <c r="S355" s="7"/>
    </row>
    <row r="356" spans="1:19" ht="14.4" x14ac:dyDescent="0.3">
      <c r="A356" s="6" t="s">
        <v>270</v>
      </c>
      <c r="B356" s="6" t="s">
        <v>1953</v>
      </c>
      <c r="C356" s="6" t="s">
        <v>1963</v>
      </c>
      <c r="D356" s="6" t="s">
        <v>1955</v>
      </c>
      <c r="E356" s="6" t="s">
        <v>1964</v>
      </c>
      <c r="F356" s="13" t="s">
        <v>687</v>
      </c>
      <c r="G356" s="13" t="s">
        <v>1965</v>
      </c>
      <c r="H356" s="13" t="s">
        <v>1966</v>
      </c>
      <c r="I356" s="13"/>
      <c r="J356" s="7"/>
      <c r="K356" s="7"/>
      <c r="L356" s="7" t="s">
        <v>93</v>
      </c>
      <c r="M356" s="7" t="s">
        <v>93</v>
      </c>
      <c r="N356" s="10"/>
      <c r="O356" s="9" t="str">
        <f t="shared" si="5"/>
        <v/>
      </c>
      <c r="P356" s="11"/>
      <c r="Q356" s="12"/>
      <c r="R356" s="11"/>
      <c r="S356" s="7"/>
    </row>
    <row r="357" spans="1:19" ht="14.4" x14ac:dyDescent="0.3">
      <c r="A357" s="6" t="s">
        <v>270</v>
      </c>
      <c r="B357" s="6" t="s">
        <v>1953</v>
      </c>
      <c r="C357" s="6" t="s">
        <v>1967</v>
      </c>
      <c r="D357" s="6" t="s">
        <v>1955</v>
      </c>
      <c r="E357" s="6" t="s">
        <v>1968</v>
      </c>
      <c r="F357" s="13" t="s">
        <v>1969</v>
      </c>
      <c r="G357" s="13" t="s">
        <v>772</v>
      </c>
      <c r="H357" s="13" t="s">
        <v>1970</v>
      </c>
      <c r="I357" s="13"/>
      <c r="J357" s="7"/>
      <c r="K357" s="7"/>
      <c r="L357" s="7" t="s">
        <v>93</v>
      </c>
      <c r="M357" s="7" t="s">
        <v>93</v>
      </c>
      <c r="N357" s="10"/>
      <c r="O357" s="9" t="str">
        <f t="shared" si="5"/>
        <v/>
      </c>
      <c r="P357" s="11"/>
      <c r="Q357" s="12"/>
      <c r="R357" s="11"/>
      <c r="S357" s="7"/>
    </row>
    <row r="358" spans="1:19" ht="14.4" x14ac:dyDescent="0.3">
      <c r="A358" s="6" t="s">
        <v>270</v>
      </c>
      <c r="B358" s="6" t="s">
        <v>1953</v>
      </c>
      <c r="C358" s="6" t="s">
        <v>1971</v>
      </c>
      <c r="D358" s="6" t="s">
        <v>1955</v>
      </c>
      <c r="E358" s="6" t="s">
        <v>1972</v>
      </c>
      <c r="F358" s="13" t="s">
        <v>587</v>
      </c>
      <c r="G358" s="13" t="s">
        <v>1973</v>
      </c>
      <c r="H358" s="13" t="s">
        <v>1974</v>
      </c>
      <c r="I358" s="13" t="s">
        <v>1975</v>
      </c>
      <c r="J358" s="7"/>
      <c r="K358" s="7"/>
      <c r="L358" s="7" t="s">
        <v>93</v>
      </c>
      <c r="M358" s="7" t="s">
        <v>93</v>
      </c>
      <c r="N358" s="10"/>
      <c r="O358" s="9" t="str">
        <f t="shared" si="5"/>
        <v/>
      </c>
      <c r="P358" s="11"/>
      <c r="Q358" s="12"/>
      <c r="R358" s="11"/>
      <c r="S358" s="7"/>
    </row>
    <row r="359" spans="1:19" ht="14.4" x14ac:dyDescent="0.3">
      <c r="A359" s="6" t="s">
        <v>270</v>
      </c>
      <c r="B359" s="6" t="s">
        <v>1953</v>
      </c>
      <c r="C359" s="6" t="s">
        <v>1976</v>
      </c>
      <c r="D359" s="6" t="s">
        <v>1955</v>
      </c>
      <c r="E359" s="6" t="s">
        <v>1977</v>
      </c>
      <c r="F359" s="13" t="s">
        <v>658</v>
      </c>
      <c r="G359" s="13" t="s">
        <v>335</v>
      </c>
      <c r="H359" s="13" t="s">
        <v>1978</v>
      </c>
      <c r="I359" s="13"/>
      <c r="J359" s="7"/>
      <c r="K359" s="7"/>
      <c r="L359" s="7" t="s">
        <v>93</v>
      </c>
      <c r="M359" s="7" t="s">
        <v>93</v>
      </c>
      <c r="N359" s="10"/>
      <c r="O359" s="9" t="str">
        <f t="shared" si="5"/>
        <v/>
      </c>
      <c r="P359" s="11"/>
      <c r="Q359" s="12"/>
      <c r="R359" s="11"/>
      <c r="S359" s="7"/>
    </row>
    <row r="360" spans="1:19" ht="14.4" x14ac:dyDescent="0.3">
      <c r="A360" s="6" t="s">
        <v>270</v>
      </c>
      <c r="B360" s="6" t="s">
        <v>1953</v>
      </c>
      <c r="C360" s="6" t="s">
        <v>1979</v>
      </c>
      <c r="D360" s="6" t="s">
        <v>1955</v>
      </c>
      <c r="E360" s="6" t="s">
        <v>1980</v>
      </c>
      <c r="F360" s="13" t="s">
        <v>1981</v>
      </c>
      <c r="G360" s="13" t="s">
        <v>892</v>
      </c>
      <c r="H360" s="13" t="s">
        <v>1982</v>
      </c>
      <c r="I360" s="13"/>
      <c r="J360" s="7"/>
      <c r="K360" s="7"/>
      <c r="L360" s="7" t="s">
        <v>93</v>
      </c>
      <c r="M360" s="7" t="s">
        <v>93</v>
      </c>
      <c r="N360" s="10"/>
      <c r="O360" s="9" t="str">
        <f t="shared" si="5"/>
        <v/>
      </c>
      <c r="P360" s="11"/>
      <c r="Q360" s="12"/>
      <c r="R360" s="11"/>
      <c r="S360" s="7"/>
    </row>
    <row r="361" spans="1:19" ht="14.4" x14ac:dyDescent="0.3">
      <c r="A361" s="6" t="s">
        <v>202</v>
      </c>
      <c r="B361" s="6" t="s">
        <v>1983</v>
      </c>
      <c r="C361" s="6" t="s">
        <v>1984</v>
      </c>
      <c r="D361" s="6" t="s">
        <v>1985</v>
      </c>
      <c r="E361" s="6" t="s">
        <v>1986</v>
      </c>
      <c r="F361" s="13" t="s">
        <v>1987</v>
      </c>
      <c r="G361" s="13" t="s">
        <v>534</v>
      </c>
      <c r="H361" s="13" t="s">
        <v>1988</v>
      </c>
      <c r="I361" s="13"/>
      <c r="J361" s="7"/>
      <c r="K361" s="7"/>
      <c r="L361" s="7" t="s">
        <v>93</v>
      </c>
      <c r="M361" s="7" t="s">
        <v>93</v>
      </c>
      <c r="N361" s="10"/>
      <c r="O361" s="9" t="str">
        <f t="shared" si="5"/>
        <v/>
      </c>
      <c r="P361" s="11"/>
      <c r="Q361" s="12"/>
      <c r="R361" s="11"/>
      <c r="S361" s="7"/>
    </row>
    <row r="362" spans="1:19" ht="14.4" x14ac:dyDescent="0.3">
      <c r="A362" s="6" t="s">
        <v>202</v>
      </c>
      <c r="B362" s="6" t="s">
        <v>1983</v>
      </c>
      <c r="C362" s="6" t="s">
        <v>1989</v>
      </c>
      <c r="D362" s="6" t="s">
        <v>1985</v>
      </c>
      <c r="E362" s="6" t="s">
        <v>1990</v>
      </c>
      <c r="F362" s="13" t="s">
        <v>1991</v>
      </c>
      <c r="G362" s="13" t="s">
        <v>1992</v>
      </c>
      <c r="H362" s="13" t="s">
        <v>1993</v>
      </c>
      <c r="I362" s="13" t="s">
        <v>1994</v>
      </c>
      <c r="J362" s="7"/>
      <c r="K362" s="7"/>
      <c r="L362" s="7" t="s">
        <v>93</v>
      </c>
      <c r="M362" s="7" t="s">
        <v>93</v>
      </c>
      <c r="N362" s="10"/>
      <c r="O362" s="9" t="str">
        <f t="shared" si="5"/>
        <v/>
      </c>
      <c r="P362" s="11"/>
      <c r="Q362" s="12"/>
      <c r="R362" s="11"/>
      <c r="S362" s="7"/>
    </row>
    <row r="363" spans="1:19" ht="14.4" x14ac:dyDescent="0.3">
      <c r="A363" s="6" t="s">
        <v>202</v>
      </c>
      <c r="B363" s="6" t="s">
        <v>1983</v>
      </c>
      <c r="C363" s="6" t="s">
        <v>1995</v>
      </c>
      <c r="D363" s="6" t="s">
        <v>1985</v>
      </c>
      <c r="E363" s="6" t="s">
        <v>1996</v>
      </c>
      <c r="F363" s="13" t="s">
        <v>379</v>
      </c>
      <c r="G363" s="13" t="s">
        <v>1997</v>
      </c>
      <c r="H363" s="13" t="s">
        <v>1998</v>
      </c>
      <c r="I363" s="13"/>
      <c r="J363" s="7"/>
      <c r="K363" s="7"/>
      <c r="L363" s="7" t="s">
        <v>93</v>
      </c>
      <c r="M363" s="7" t="s">
        <v>93</v>
      </c>
      <c r="N363" s="10"/>
      <c r="O363" s="9" t="str">
        <f t="shared" si="5"/>
        <v/>
      </c>
      <c r="P363" s="11"/>
      <c r="Q363" s="12"/>
      <c r="R363" s="11"/>
      <c r="S363" s="7"/>
    </row>
    <row r="364" spans="1:19" ht="14.4" x14ac:dyDescent="0.3">
      <c r="A364" s="6" t="s">
        <v>202</v>
      </c>
      <c r="B364" s="6" t="s">
        <v>1983</v>
      </c>
      <c r="C364" s="6" t="s">
        <v>1999</v>
      </c>
      <c r="D364" s="6" t="s">
        <v>1985</v>
      </c>
      <c r="E364" s="6" t="s">
        <v>2000</v>
      </c>
      <c r="F364" s="13" t="s">
        <v>2001</v>
      </c>
      <c r="G364" s="13" t="s">
        <v>546</v>
      </c>
      <c r="H364" s="13" t="s">
        <v>2002</v>
      </c>
      <c r="I364" s="13"/>
      <c r="J364" s="7"/>
      <c r="K364" s="7"/>
      <c r="L364" s="7" t="s">
        <v>93</v>
      </c>
      <c r="M364" s="7" t="s">
        <v>93</v>
      </c>
      <c r="N364" s="10"/>
      <c r="O364" s="9" t="str">
        <f t="shared" si="5"/>
        <v/>
      </c>
      <c r="P364" s="11"/>
      <c r="Q364" s="12"/>
      <c r="R364" s="11"/>
      <c r="S364" s="7"/>
    </row>
    <row r="365" spans="1:19" ht="14.4" x14ac:dyDescent="0.3">
      <c r="A365" s="6" t="s">
        <v>202</v>
      </c>
      <c r="B365" s="6" t="s">
        <v>1983</v>
      </c>
      <c r="C365" s="6" t="s">
        <v>2003</v>
      </c>
      <c r="D365" s="6" t="s">
        <v>1985</v>
      </c>
      <c r="E365" s="6" t="s">
        <v>2004</v>
      </c>
      <c r="F365" s="13" t="s">
        <v>2005</v>
      </c>
      <c r="G365" s="13" t="s">
        <v>1934</v>
      </c>
      <c r="H365" s="13" t="s">
        <v>2006</v>
      </c>
      <c r="I365" s="13"/>
      <c r="J365" s="7"/>
      <c r="K365" s="7"/>
      <c r="L365" s="7" t="s">
        <v>93</v>
      </c>
      <c r="M365" s="7" t="s">
        <v>93</v>
      </c>
      <c r="N365" s="10"/>
      <c r="O365" s="9" t="str">
        <f t="shared" si="5"/>
        <v/>
      </c>
      <c r="P365" s="11"/>
      <c r="Q365" s="12"/>
      <c r="R365" s="11"/>
      <c r="S365" s="7"/>
    </row>
    <row r="366" spans="1:19" ht="14.4" x14ac:dyDescent="0.3">
      <c r="A366" s="6" t="s">
        <v>202</v>
      </c>
      <c r="B366" s="6" t="s">
        <v>1983</v>
      </c>
      <c r="C366" s="6" t="s">
        <v>2007</v>
      </c>
      <c r="D366" s="6" t="s">
        <v>1985</v>
      </c>
      <c r="E366" s="6" t="s">
        <v>2008</v>
      </c>
      <c r="F366" s="13" t="s">
        <v>2009</v>
      </c>
      <c r="G366" s="13" t="s">
        <v>1384</v>
      </c>
      <c r="H366" s="13" t="s">
        <v>2010</v>
      </c>
      <c r="I366" s="13"/>
      <c r="J366" s="7"/>
      <c r="K366" s="7"/>
      <c r="L366" s="7" t="s">
        <v>93</v>
      </c>
      <c r="M366" s="7" t="s">
        <v>93</v>
      </c>
      <c r="N366" s="10"/>
      <c r="O366" s="9" t="str">
        <f t="shared" si="5"/>
        <v/>
      </c>
      <c r="P366" s="11"/>
      <c r="Q366" s="12"/>
      <c r="R366" s="11"/>
      <c r="S366" s="7"/>
    </row>
    <row r="367" spans="1:19" ht="14.4" x14ac:dyDescent="0.3">
      <c r="A367" s="6" t="s">
        <v>202</v>
      </c>
      <c r="B367" s="6" t="s">
        <v>1983</v>
      </c>
      <c r="C367" s="6" t="s">
        <v>2011</v>
      </c>
      <c r="D367" s="6" t="s">
        <v>1985</v>
      </c>
      <c r="E367" s="6" t="s">
        <v>2012</v>
      </c>
      <c r="F367" s="13" t="s">
        <v>2013</v>
      </c>
      <c r="G367" s="13" t="s">
        <v>2014</v>
      </c>
      <c r="H367" s="13" t="s">
        <v>2015</v>
      </c>
      <c r="I367" s="13"/>
      <c r="J367" s="7"/>
      <c r="K367" s="7"/>
      <c r="L367" s="7" t="s">
        <v>93</v>
      </c>
      <c r="M367" s="7" t="s">
        <v>93</v>
      </c>
      <c r="N367" s="10"/>
      <c r="O367" s="9" t="str">
        <f t="shared" si="5"/>
        <v/>
      </c>
      <c r="P367" s="11"/>
      <c r="Q367" s="12"/>
      <c r="R367" s="11"/>
      <c r="S367" s="7"/>
    </row>
    <row r="368" spans="1:19" ht="14.4" x14ac:dyDescent="0.3">
      <c r="A368" s="6" t="s">
        <v>202</v>
      </c>
      <c r="B368" s="6" t="s">
        <v>1983</v>
      </c>
      <c r="C368" s="6" t="s">
        <v>2016</v>
      </c>
      <c r="D368" s="6" t="s">
        <v>1985</v>
      </c>
      <c r="E368" s="6" t="s">
        <v>2017</v>
      </c>
      <c r="F368" s="13" t="s">
        <v>2018</v>
      </c>
      <c r="G368" s="13" t="s">
        <v>2019</v>
      </c>
      <c r="H368" s="13" t="s">
        <v>2020</v>
      </c>
      <c r="I368" s="13"/>
      <c r="J368" s="7"/>
      <c r="K368" s="7"/>
      <c r="L368" s="7" t="s">
        <v>93</v>
      </c>
      <c r="M368" s="7" t="s">
        <v>93</v>
      </c>
      <c r="N368" s="10"/>
      <c r="O368" s="9" t="str">
        <f t="shared" si="5"/>
        <v/>
      </c>
      <c r="P368" s="11"/>
      <c r="Q368" s="12"/>
      <c r="R368" s="11"/>
      <c r="S368" s="7"/>
    </row>
    <row r="369" spans="1:19" ht="14.4" x14ac:dyDescent="0.3">
      <c r="A369" s="6" t="s">
        <v>202</v>
      </c>
      <c r="B369" s="6" t="s">
        <v>1983</v>
      </c>
      <c r="C369" s="6" t="s">
        <v>2021</v>
      </c>
      <c r="D369" s="6" t="s">
        <v>1985</v>
      </c>
      <c r="E369" s="6" t="s">
        <v>2022</v>
      </c>
      <c r="F369" s="13" t="s">
        <v>2023</v>
      </c>
      <c r="G369" s="13" t="s">
        <v>2024</v>
      </c>
      <c r="H369" s="13" t="s">
        <v>2025</v>
      </c>
      <c r="I369" s="13"/>
      <c r="J369" s="7"/>
      <c r="K369" s="7"/>
      <c r="L369" s="7" t="s">
        <v>93</v>
      </c>
      <c r="M369" s="7" t="s">
        <v>93</v>
      </c>
      <c r="N369" s="10"/>
      <c r="O369" s="9" t="str">
        <f t="shared" si="5"/>
        <v/>
      </c>
      <c r="P369" s="11"/>
      <c r="Q369" s="12"/>
      <c r="R369" s="11"/>
      <c r="S369" s="7"/>
    </row>
    <row r="370" spans="1:19" ht="14.4" x14ac:dyDescent="0.3">
      <c r="A370" s="6" t="s">
        <v>202</v>
      </c>
      <c r="B370" s="6" t="s">
        <v>1983</v>
      </c>
      <c r="C370" s="6" t="s">
        <v>2026</v>
      </c>
      <c r="D370" s="6" t="s">
        <v>1985</v>
      </c>
      <c r="E370" s="6" t="s">
        <v>2027</v>
      </c>
      <c r="F370" s="13" t="s">
        <v>2023</v>
      </c>
      <c r="G370" s="13" t="s">
        <v>2028</v>
      </c>
      <c r="H370" s="13" t="s">
        <v>2029</v>
      </c>
      <c r="I370" s="13"/>
      <c r="J370" s="7"/>
      <c r="K370" s="7"/>
      <c r="L370" s="7" t="s">
        <v>93</v>
      </c>
      <c r="M370" s="7" t="s">
        <v>93</v>
      </c>
      <c r="N370" s="10"/>
      <c r="O370" s="9" t="str">
        <f t="shared" si="5"/>
        <v/>
      </c>
      <c r="P370" s="11"/>
      <c r="Q370" s="12"/>
      <c r="R370" s="11"/>
      <c r="S370" s="7"/>
    </row>
    <row r="371" spans="1:19" ht="14.4" x14ac:dyDescent="0.3">
      <c r="A371" s="6" t="s">
        <v>202</v>
      </c>
      <c r="B371" s="6" t="s">
        <v>1983</v>
      </c>
      <c r="C371" s="6" t="s">
        <v>2030</v>
      </c>
      <c r="D371" s="6" t="s">
        <v>1985</v>
      </c>
      <c r="E371" s="6" t="s">
        <v>2031</v>
      </c>
      <c r="F371" s="13" t="s">
        <v>2032</v>
      </c>
      <c r="G371" s="13" t="s">
        <v>373</v>
      </c>
      <c r="H371" s="13" t="s">
        <v>2033</v>
      </c>
      <c r="I371" s="13"/>
      <c r="J371" s="7"/>
      <c r="K371" s="7"/>
      <c r="L371" s="7" t="s">
        <v>93</v>
      </c>
      <c r="M371" s="7" t="s">
        <v>93</v>
      </c>
      <c r="N371" s="10"/>
      <c r="O371" s="9" t="str">
        <f t="shared" si="5"/>
        <v/>
      </c>
      <c r="P371" s="11"/>
      <c r="Q371" s="12"/>
      <c r="R371" s="11"/>
      <c r="S371" s="7"/>
    </row>
    <row r="372" spans="1:19" ht="14.4" x14ac:dyDescent="0.3">
      <c r="A372" s="6" t="s">
        <v>202</v>
      </c>
      <c r="B372" s="6" t="s">
        <v>1983</v>
      </c>
      <c r="C372" s="6" t="s">
        <v>2034</v>
      </c>
      <c r="D372" s="6" t="s">
        <v>1985</v>
      </c>
      <c r="E372" s="6" t="s">
        <v>2035</v>
      </c>
      <c r="F372" s="13" t="s">
        <v>2036</v>
      </c>
      <c r="G372" s="13" t="s">
        <v>2037</v>
      </c>
      <c r="H372" s="13" t="s">
        <v>2038</v>
      </c>
      <c r="I372" s="13" t="s">
        <v>2039</v>
      </c>
      <c r="J372" s="7"/>
      <c r="K372" s="7"/>
      <c r="L372" s="7" t="s">
        <v>93</v>
      </c>
      <c r="M372" s="7" t="s">
        <v>93</v>
      </c>
      <c r="N372" s="10"/>
      <c r="O372" s="9" t="str">
        <f t="shared" si="5"/>
        <v/>
      </c>
      <c r="P372" s="11"/>
      <c r="Q372" s="12"/>
      <c r="R372" s="11"/>
      <c r="S372" s="7"/>
    </row>
    <row r="373" spans="1:19" ht="14.4" x14ac:dyDescent="0.3">
      <c r="A373" s="6" t="s">
        <v>202</v>
      </c>
      <c r="B373" s="6" t="s">
        <v>1983</v>
      </c>
      <c r="C373" s="6" t="s">
        <v>2040</v>
      </c>
      <c r="D373" s="6" t="s">
        <v>1985</v>
      </c>
      <c r="E373" s="6" t="s">
        <v>2041</v>
      </c>
      <c r="F373" s="13" t="s">
        <v>2042</v>
      </c>
      <c r="G373" s="13" t="s">
        <v>2043</v>
      </c>
      <c r="H373" s="13" t="s">
        <v>2044</v>
      </c>
      <c r="I373" s="13" t="s">
        <v>2045</v>
      </c>
      <c r="J373" s="7"/>
      <c r="K373" s="7"/>
      <c r="L373" s="7" t="s">
        <v>93</v>
      </c>
      <c r="M373" s="7" t="s">
        <v>93</v>
      </c>
      <c r="N373" s="10"/>
      <c r="O373" s="9" t="str">
        <f t="shared" si="5"/>
        <v/>
      </c>
      <c r="P373" s="11"/>
      <c r="Q373" s="12"/>
      <c r="R373" s="11"/>
      <c r="S373" s="7"/>
    </row>
    <row r="374" spans="1:19" ht="14.4" x14ac:dyDescent="0.3">
      <c r="A374" s="6" t="s">
        <v>262</v>
      </c>
      <c r="B374" s="6" t="s">
        <v>2046</v>
      </c>
      <c r="C374" s="6" t="s">
        <v>2047</v>
      </c>
      <c r="D374" s="6" t="s">
        <v>2048</v>
      </c>
      <c r="E374" s="6" t="s">
        <v>2049</v>
      </c>
      <c r="F374" s="13" t="s">
        <v>567</v>
      </c>
      <c r="G374" s="13" t="s">
        <v>2050</v>
      </c>
      <c r="H374" s="13" t="s">
        <v>2051</v>
      </c>
      <c r="I374" s="13"/>
      <c r="J374" s="7"/>
      <c r="K374" s="7"/>
      <c r="L374" s="7" t="s">
        <v>93</v>
      </c>
      <c r="M374" s="7" t="s">
        <v>93</v>
      </c>
      <c r="N374" s="10"/>
      <c r="O374" s="9" t="str">
        <f t="shared" si="5"/>
        <v/>
      </c>
      <c r="P374" s="11"/>
      <c r="Q374" s="12"/>
      <c r="R374" s="11"/>
      <c r="S374" s="7"/>
    </row>
    <row r="375" spans="1:19" ht="14.4" x14ac:dyDescent="0.3">
      <c r="A375" s="6" t="s">
        <v>262</v>
      </c>
      <c r="B375" s="6" t="s">
        <v>2046</v>
      </c>
      <c r="C375" s="6" t="s">
        <v>2052</v>
      </c>
      <c r="D375" s="6" t="s">
        <v>2048</v>
      </c>
      <c r="E375" s="6" t="s">
        <v>2053</v>
      </c>
      <c r="F375" s="13" t="s">
        <v>2054</v>
      </c>
      <c r="G375" s="13" t="s">
        <v>312</v>
      </c>
      <c r="H375" s="13" t="s">
        <v>2055</v>
      </c>
      <c r="I375" s="13"/>
      <c r="J375" s="7"/>
      <c r="K375" s="7"/>
      <c r="L375" s="7" t="s">
        <v>93</v>
      </c>
      <c r="M375" s="7" t="s">
        <v>93</v>
      </c>
      <c r="N375" s="10"/>
      <c r="O375" s="9" t="str">
        <f t="shared" si="5"/>
        <v/>
      </c>
      <c r="P375" s="11"/>
      <c r="Q375" s="12"/>
      <c r="R375" s="11"/>
      <c r="S375" s="7"/>
    </row>
    <row r="376" spans="1:19" ht="14.4" x14ac:dyDescent="0.3">
      <c r="A376" s="6" t="s">
        <v>262</v>
      </c>
      <c r="B376" s="6" t="s">
        <v>2046</v>
      </c>
      <c r="C376" s="6" t="s">
        <v>2056</v>
      </c>
      <c r="D376" s="6" t="s">
        <v>2048</v>
      </c>
      <c r="E376" s="6" t="s">
        <v>2057</v>
      </c>
      <c r="F376" s="13" t="s">
        <v>2058</v>
      </c>
      <c r="G376" s="13" t="s">
        <v>2059</v>
      </c>
      <c r="H376" s="13" t="s">
        <v>2060</v>
      </c>
      <c r="I376" s="13"/>
      <c r="J376" s="7"/>
      <c r="K376" s="7"/>
      <c r="L376" s="7" t="s">
        <v>93</v>
      </c>
      <c r="M376" s="7" t="s">
        <v>93</v>
      </c>
      <c r="N376" s="10"/>
      <c r="O376" s="9" t="str">
        <f t="shared" si="5"/>
        <v/>
      </c>
      <c r="P376" s="11"/>
      <c r="Q376" s="12"/>
      <c r="R376" s="11"/>
      <c r="S376" s="7"/>
    </row>
    <row r="377" spans="1:19" ht="14.4" x14ac:dyDescent="0.3">
      <c r="A377" s="6" t="s">
        <v>262</v>
      </c>
      <c r="B377" s="6" t="s">
        <v>2046</v>
      </c>
      <c r="C377" s="6" t="s">
        <v>2061</v>
      </c>
      <c r="D377" s="6" t="s">
        <v>2048</v>
      </c>
      <c r="E377" s="6" t="s">
        <v>2062</v>
      </c>
      <c r="F377" s="13" t="s">
        <v>2063</v>
      </c>
      <c r="G377" s="13" t="s">
        <v>2064</v>
      </c>
      <c r="H377" s="13" t="s">
        <v>2065</v>
      </c>
      <c r="I377" s="13"/>
      <c r="J377" s="7"/>
      <c r="K377" s="7"/>
      <c r="L377" s="7" t="s">
        <v>93</v>
      </c>
      <c r="M377" s="7" t="s">
        <v>93</v>
      </c>
      <c r="N377" s="10"/>
      <c r="O377" s="9" t="str">
        <f t="shared" si="5"/>
        <v/>
      </c>
      <c r="P377" s="11"/>
      <c r="Q377" s="12"/>
      <c r="R377" s="11"/>
      <c r="S377" s="7"/>
    </row>
    <row r="378" spans="1:19" ht="14.4" x14ac:dyDescent="0.3">
      <c r="A378" s="6" t="s">
        <v>262</v>
      </c>
      <c r="B378" s="6" t="s">
        <v>2046</v>
      </c>
      <c r="C378" s="6" t="s">
        <v>2066</v>
      </c>
      <c r="D378" s="6" t="s">
        <v>2048</v>
      </c>
      <c r="E378" s="6" t="s">
        <v>2067</v>
      </c>
      <c r="F378" s="13" t="s">
        <v>620</v>
      </c>
      <c r="G378" s="13" t="s">
        <v>2068</v>
      </c>
      <c r="H378" s="13" t="s">
        <v>2069</v>
      </c>
      <c r="I378" s="13"/>
      <c r="J378" s="7"/>
      <c r="K378" s="7"/>
      <c r="L378" s="7" t="s">
        <v>93</v>
      </c>
      <c r="M378" s="7" t="s">
        <v>93</v>
      </c>
      <c r="N378" s="10"/>
      <c r="O378" s="9" t="str">
        <f t="shared" si="5"/>
        <v/>
      </c>
      <c r="P378" s="11"/>
      <c r="Q378" s="12"/>
      <c r="R378" s="11"/>
      <c r="S378" s="7"/>
    </row>
    <row r="379" spans="1:19" ht="14.4" x14ac:dyDescent="0.3">
      <c r="A379" s="6" t="s">
        <v>262</v>
      </c>
      <c r="B379" s="6" t="s">
        <v>2046</v>
      </c>
      <c r="C379" s="6" t="s">
        <v>2070</v>
      </c>
      <c r="D379" s="6" t="s">
        <v>2048</v>
      </c>
      <c r="E379" s="6" t="s">
        <v>2071</v>
      </c>
      <c r="F379" s="13" t="s">
        <v>2072</v>
      </c>
      <c r="G379" s="13" t="s">
        <v>2073</v>
      </c>
      <c r="H379" s="13" t="s">
        <v>2069</v>
      </c>
      <c r="I379" s="13" t="s">
        <v>2074</v>
      </c>
      <c r="J379" s="7"/>
      <c r="K379" s="7"/>
      <c r="L379" s="7" t="s">
        <v>93</v>
      </c>
      <c r="M379" s="7" t="s">
        <v>93</v>
      </c>
      <c r="N379" s="10"/>
      <c r="O379" s="9" t="str">
        <f t="shared" si="5"/>
        <v/>
      </c>
      <c r="P379" s="11"/>
      <c r="Q379" s="12"/>
      <c r="R379" s="11"/>
      <c r="S379" s="7"/>
    </row>
    <row r="380" spans="1:19" ht="14.4" x14ac:dyDescent="0.3">
      <c r="A380" s="6" t="s">
        <v>262</v>
      </c>
      <c r="B380" s="6" t="s">
        <v>2046</v>
      </c>
      <c r="C380" s="6" t="s">
        <v>2075</v>
      </c>
      <c r="D380" s="6" t="s">
        <v>2048</v>
      </c>
      <c r="E380" s="6" t="s">
        <v>2076</v>
      </c>
      <c r="F380" s="13" t="s">
        <v>284</v>
      </c>
      <c r="G380" s="13" t="s">
        <v>524</v>
      </c>
      <c r="H380" s="13" t="s">
        <v>2077</v>
      </c>
      <c r="I380" s="13"/>
      <c r="J380" s="7"/>
      <c r="K380" s="7"/>
      <c r="L380" s="7" t="s">
        <v>93</v>
      </c>
      <c r="M380" s="7" t="s">
        <v>93</v>
      </c>
      <c r="N380" s="10"/>
      <c r="O380" s="9" t="str">
        <f t="shared" si="5"/>
        <v/>
      </c>
      <c r="P380" s="11"/>
      <c r="Q380" s="12"/>
      <c r="R380" s="11"/>
      <c r="S380" s="7"/>
    </row>
    <row r="381" spans="1:19" ht="14.4" x14ac:dyDescent="0.3">
      <c r="A381" s="6" t="s">
        <v>262</v>
      </c>
      <c r="B381" s="6" t="s">
        <v>2046</v>
      </c>
      <c r="C381" s="6" t="s">
        <v>2078</v>
      </c>
      <c r="D381" s="6" t="s">
        <v>2048</v>
      </c>
      <c r="E381" s="6" t="s">
        <v>2079</v>
      </c>
      <c r="F381" s="13" t="s">
        <v>2080</v>
      </c>
      <c r="G381" s="13" t="s">
        <v>2081</v>
      </c>
      <c r="H381" s="13"/>
      <c r="I381" s="13"/>
      <c r="J381" s="7"/>
      <c r="K381" s="7"/>
      <c r="L381" s="7" t="s">
        <v>93</v>
      </c>
      <c r="M381" s="7" t="s">
        <v>93</v>
      </c>
      <c r="N381" s="10"/>
      <c r="O381" s="9" t="str">
        <f t="shared" si="5"/>
        <v/>
      </c>
      <c r="P381" s="11"/>
      <c r="Q381" s="12"/>
      <c r="R381" s="11"/>
      <c r="S381" s="7"/>
    </row>
    <row r="382" spans="1:19" ht="14.4" x14ac:dyDescent="0.3">
      <c r="A382" s="6" t="s">
        <v>262</v>
      </c>
      <c r="B382" s="6" t="s">
        <v>2046</v>
      </c>
      <c r="C382" s="6" t="s">
        <v>2082</v>
      </c>
      <c r="D382" s="6" t="s">
        <v>2048</v>
      </c>
      <c r="E382" s="6" t="s">
        <v>2083</v>
      </c>
      <c r="F382" s="13" t="s">
        <v>2080</v>
      </c>
      <c r="G382" s="13" t="s">
        <v>2084</v>
      </c>
      <c r="H382" s="13" t="s">
        <v>2085</v>
      </c>
      <c r="I382" s="13"/>
      <c r="J382" s="7"/>
      <c r="K382" s="7"/>
      <c r="L382" s="7" t="s">
        <v>93</v>
      </c>
      <c r="M382" s="7" t="s">
        <v>93</v>
      </c>
      <c r="N382" s="10"/>
      <c r="O382" s="9" t="str">
        <f t="shared" si="5"/>
        <v/>
      </c>
      <c r="P382" s="11"/>
      <c r="Q382" s="12"/>
      <c r="R382" s="11"/>
      <c r="S382" s="7"/>
    </row>
    <row r="383" spans="1:19" ht="14.4" x14ac:dyDescent="0.3">
      <c r="A383" s="6" t="s">
        <v>262</v>
      </c>
      <c r="B383" s="6" t="s">
        <v>2046</v>
      </c>
      <c r="C383" s="6" t="s">
        <v>2086</v>
      </c>
      <c r="D383" s="6" t="s">
        <v>2048</v>
      </c>
      <c r="E383" s="6" t="s">
        <v>2087</v>
      </c>
      <c r="F383" s="13" t="s">
        <v>2088</v>
      </c>
      <c r="G383" s="13" t="s">
        <v>2089</v>
      </c>
      <c r="H383" s="13" t="s">
        <v>2090</v>
      </c>
      <c r="I383" s="13"/>
      <c r="J383" s="7"/>
      <c r="K383" s="7"/>
      <c r="L383" s="7" t="s">
        <v>93</v>
      </c>
      <c r="M383" s="7" t="s">
        <v>93</v>
      </c>
      <c r="N383" s="10"/>
      <c r="O383" s="9" t="str">
        <f t="shared" si="5"/>
        <v/>
      </c>
      <c r="P383" s="11"/>
      <c r="Q383" s="12"/>
      <c r="R383" s="11"/>
      <c r="S383" s="7"/>
    </row>
    <row r="384" spans="1:19" ht="14.4" x14ac:dyDescent="0.3">
      <c r="A384" s="6" t="s">
        <v>262</v>
      </c>
      <c r="B384" s="6" t="s">
        <v>2046</v>
      </c>
      <c r="C384" s="6" t="s">
        <v>2091</v>
      </c>
      <c r="D384" s="6" t="s">
        <v>2048</v>
      </c>
      <c r="E384" s="6" t="s">
        <v>2092</v>
      </c>
      <c r="F384" s="13" t="s">
        <v>311</v>
      </c>
      <c r="G384" s="13" t="s">
        <v>2093</v>
      </c>
      <c r="H384" s="13" t="s">
        <v>2094</v>
      </c>
      <c r="I384" s="13"/>
      <c r="J384" s="7"/>
      <c r="K384" s="7"/>
      <c r="L384" s="7" t="s">
        <v>93</v>
      </c>
      <c r="M384" s="7" t="s">
        <v>93</v>
      </c>
      <c r="N384" s="10"/>
      <c r="O384" s="9" t="str">
        <f t="shared" si="5"/>
        <v/>
      </c>
      <c r="P384" s="11"/>
      <c r="Q384" s="12"/>
      <c r="R384" s="11"/>
      <c r="S384" s="7"/>
    </row>
    <row r="385" spans="1:19" ht="14.4" x14ac:dyDescent="0.3">
      <c r="A385" s="6" t="s">
        <v>262</v>
      </c>
      <c r="B385" s="6" t="s">
        <v>2046</v>
      </c>
      <c r="C385" s="6" t="s">
        <v>2095</v>
      </c>
      <c r="D385" s="6" t="s">
        <v>2048</v>
      </c>
      <c r="E385" s="6" t="s">
        <v>2096</v>
      </c>
      <c r="F385" s="13" t="s">
        <v>311</v>
      </c>
      <c r="G385" s="13" t="s">
        <v>2097</v>
      </c>
      <c r="H385" s="13" t="s">
        <v>2098</v>
      </c>
      <c r="I385" s="13"/>
      <c r="J385" s="7"/>
      <c r="K385" s="7"/>
      <c r="L385" s="7" t="s">
        <v>93</v>
      </c>
      <c r="M385" s="7" t="s">
        <v>93</v>
      </c>
      <c r="N385" s="10"/>
      <c r="O385" s="9" t="str">
        <f t="shared" si="5"/>
        <v/>
      </c>
      <c r="P385" s="11"/>
      <c r="Q385" s="12"/>
      <c r="R385" s="11"/>
      <c r="S385" s="7"/>
    </row>
    <row r="386" spans="1:19" ht="14.4" x14ac:dyDescent="0.3">
      <c r="A386" s="6" t="s">
        <v>262</v>
      </c>
      <c r="B386" s="6" t="s">
        <v>2046</v>
      </c>
      <c r="C386" s="6" t="s">
        <v>2099</v>
      </c>
      <c r="D386" s="6" t="s">
        <v>2048</v>
      </c>
      <c r="E386" s="6" t="s">
        <v>2100</v>
      </c>
      <c r="F386" s="13" t="s">
        <v>2101</v>
      </c>
      <c r="G386" s="13" t="s">
        <v>1973</v>
      </c>
      <c r="H386" s="13" t="s">
        <v>2102</v>
      </c>
      <c r="I386" s="13"/>
      <c r="J386" s="7"/>
      <c r="K386" s="7"/>
      <c r="L386" s="7" t="s">
        <v>93</v>
      </c>
      <c r="M386" s="7" t="s">
        <v>93</v>
      </c>
      <c r="N386" s="10"/>
      <c r="O386" s="9" t="str">
        <f t="shared" ref="O386:O449" si="6">IF(L386="oui","incomplet",IF(OR(J386="non",K386="non"),"a_regulariser",IF(AND(J386="oui",K386="oui"),"ok","")))</f>
        <v/>
      </c>
      <c r="P386" s="11"/>
      <c r="Q386" s="12"/>
      <c r="R386" s="11"/>
      <c r="S386" s="7"/>
    </row>
    <row r="387" spans="1:19" ht="14.4" x14ac:dyDescent="0.3">
      <c r="A387" s="6" t="s">
        <v>262</v>
      </c>
      <c r="B387" s="6" t="s">
        <v>2046</v>
      </c>
      <c r="C387" s="6" t="s">
        <v>2103</v>
      </c>
      <c r="D387" s="6" t="s">
        <v>2048</v>
      </c>
      <c r="E387" s="6" t="s">
        <v>2104</v>
      </c>
      <c r="F387" s="13" t="s">
        <v>2105</v>
      </c>
      <c r="G387" s="13" t="s">
        <v>2106</v>
      </c>
      <c r="H387" s="13" t="s">
        <v>2107</v>
      </c>
      <c r="I387" s="13" t="s">
        <v>2108</v>
      </c>
      <c r="J387" s="7"/>
      <c r="K387" s="7"/>
      <c r="L387" s="7" t="s">
        <v>93</v>
      </c>
      <c r="M387" s="7" t="s">
        <v>93</v>
      </c>
      <c r="N387" s="10"/>
      <c r="O387" s="9" t="str">
        <f t="shared" si="6"/>
        <v/>
      </c>
      <c r="P387" s="11"/>
      <c r="Q387" s="12"/>
      <c r="R387" s="11"/>
      <c r="S387" s="7"/>
    </row>
    <row r="388" spans="1:19" ht="14.4" x14ac:dyDescent="0.3">
      <c r="A388" s="6" t="s">
        <v>262</v>
      </c>
      <c r="B388" s="6" t="s">
        <v>2046</v>
      </c>
      <c r="C388" s="6" t="s">
        <v>2110</v>
      </c>
      <c r="D388" s="6" t="s">
        <v>2048</v>
      </c>
      <c r="E388" s="6" t="s">
        <v>2111</v>
      </c>
      <c r="F388" s="13" t="s">
        <v>2112</v>
      </c>
      <c r="G388" s="13" t="s">
        <v>1850</v>
      </c>
      <c r="H388" s="13" t="s">
        <v>2113</v>
      </c>
      <c r="I388" s="13"/>
      <c r="J388" s="7"/>
      <c r="K388" s="7"/>
      <c r="L388" s="7" t="s">
        <v>93</v>
      </c>
      <c r="M388" s="7" t="s">
        <v>93</v>
      </c>
      <c r="N388" s="10"/>
      <c r="O388" s="9" t="str">
        <f t="shared" si="6"/>
        <v/>
      </c>
      <c r="P388" s="11"/>
      <c r="Q388" s="12"/>
      <c r="R388" s="11"/>
      <c r="S388" s="7"/>
    </row>
    <row r="389" spans="1:19" ht="14.4" x14ac:dyDescent="0.3">
      <c r="A389" s="6" t="s">
        <v>270</v>
      </c>
      <c r="B389" s="6" t="s">
        <v>2114</v>
      </c>
      <c r="C389" s="6" t="s">
        <v>2115</v>
      </c>
      <c r="D389" s="6" t="s">
        <v>2116</v>
      </c>
      <c r="E389" s="6" t="s">
        <v>2117</v>
      </c>
      <c r="F389" s="13" t="s">
        <v>2118</v>
      </c>
      <c r="G389" s="13" t="s">
        <v>2119</v>
      </c>
      <c r="H389" s="13" t="s">
        <v>2120</v>
      </c>
      <c r="I389" s="13"/>
      <c r="J389" s="7"/>
      <c r="K389" s="7"/>
      <c r="L389" s="7" t="s">
        <v>93</v>
      </c>
      <c r="M389" s="7" t="s">
        <v>93</v>
      </c>
      <c r="N389" s="10"/>
      <c r="O389" s="9" t="str">
        <f t="shared" si="6"/>
        <v/>
      </c>
      <c r="P389" s="11"/>
      <c r="Q389" s="12"/>
      <c r="R389" s="11"/>
      <c r="S389" s="7"/>
    </row>
    <row r="390" spans="1:19" ht="14.4" x14ac:dyDescent="0.3">
      <c r="A390" s="6" t="s">
        <v>270</v>
      </c>
      <c r="B390" s="6" t="s">
        <v>2114</v>
      </c>
      <c r="C390" s="6" t="s">
        <v>2121</v>
      </c>
      <c r="D390" s="6" t="s">
        <v>2116</v>
      </c>
      <c r="E390" s="6" t="s">
        <v>2122</v>
      </c>
      <c r="F390" s="13" t="s">
        <v>2123</v>
      </c>
      <c r="G390" s="13" t="s">
        <v>1751</v>
      </c>
      <c r="H390" s="13" t="s">
        <v>2124</v>
      </c>
      <c r="I390" s="13"/>
      <c r="J390" s="7"/>
      <c r="K390" s="7"/>
      <c r="L390" s="7" t="s">
        <v>93</v>
      </c>
      <c r="M390" s="7" t="s">
        <v>93</v>
      </c>
      <c r="N390" s="10"/>
      <c r="O390" s="9" t="str">
        <f t="shared" si="6"/>
        <v/>
      </c>
      <c r="P390" s="11"/>
      <c r="Q390" s="12"/>
      <c r="R390" s="11"/>
      <c r="S390" s="7"/>
    </row>
    <row r="391" spans="1:19" ht="14.4" x14ac:dyDescent="0.3">
      <c r="A391" s="6" t="s">
        <v>270</v>
      </c>
      <c r="B391" s="6" t="s">
        <v>2114</v>
      </c>
      <c r="C391" s="6" t="s">
        <v>2125</v>
      </c>
      <c r="D391" s="6" t="s">
        <v>2116</v>
      </c>
      <c r="E391" s="6" t="s">
        <v>2126</v>
      </c>
      <c r="F391" s="13" t="s">
        <v>2127</v>
      </c>
      <c r="G391" s="13" t="s">
        <v>2128</v>
      </c>
      <c r="H391" s="13" t="s">
        <v>2129</v>
      </c>
      <c r="I391" s="13"/>
      <c r="J391" s="7"/>
      <c r="K391" s="7"/>
      <c r="L391" s="7" t="s">
        <v>93</v>
      </c>
      <c r="M391" s="7" t="s">
        <v>93</v>
      </c>
      <c r="N391" s="10"/>
      <c r="O391" s="9" t="str">
        <f t="shared" si="6"/>
        <v/>
      </c>
      <c r="P391" s="11"/>
      <c r="Q391" s="12"/>
      <c r="R391" s="11"/>
      <c r="S391" s="7"/>
    </row>
    <row r="392" spans="1:19" ht="14.4" x14ac:dyDescent="0.3">
      <c r="A392" s="6" t="s">
        <v>270</v>
      </c>
      <c r="B392" s="6" t="s">
        <v>2114</v>
      </c>
      <c r="C392" s="6" t="s">
        <v>2130</v>
      </c>
      <c r="D392" s="6" t="s">
        <v>2116</v>
      </c>
      <c r="E392" s="6" t="s">
        <v>2131</v>
      </c>
      <c r="F392" s="13" t="s">
        <v>567</v>
      </c>
      <c r="G392" s="13" t="s">
        <v>2132</v>
      </c>
      <c r="H392" s="13" t="s">
        <v>2133</v>
      </c>
      <c r="I392" s="13" t="s">
        <v>2134</v>
      </c>
      <c r="J392" s="7"/>
      <c r="K392" s="7"/>
      <c r="L392" s="7" t="s">
        <v>93</v>
      </c>
      <c r="M392" s="7" t="s">
        <v>93</v>
      </c>
      <c r="N392" s="10"/>
      <c r="O392" s="9" t="str">
        <f t="shared" si="6"/>
        <v/>
      </c>
      <c r="P392" s="11"/>
      <c r="Q392" s="12"/>
      <c r="R392" s="11"/>
      <c r="S392" s="7"/>
    </row>
    <row r="393" spans="1:19" ht="14.4" x14ac:dyDescent="0.3">
      <c r="A393" s="6" t="s">
        <v>270</v>
      </c>
      <c r="B393" s="6" t="s">
        <v>2114</v>
      </c>
      <c r="C393" s="6" t="s">
        <v>2136</v>
      </c>
      <c r="D393" s="6" t="s">
        <v>2116</v>
      </c>
      <c r="E393" s="6" t="s">
        <v>2137</v>
      </c>
      <c r="F393" s="13" t="s">
        <v>439</v>
      </c>
      <c r="G393" s="13" t="s">
        <v>892</v>
      </c>
      <c r="H393" s="13" t="s">
        <v>2138</v>
      </c>
      <c r="I393" s="13"/>
      <c r="J393" s="7"/>
      <c r="K393" s="7"/>
      <c r="L393" s="7" t="s">
        <v>93</v>
      </c>
      <c r="M393" s="7" t="s">
        <v>93</v>
      </c>
      <c r="N393" s="10"/>
      <c r="O393" s="9" t="str">
        <f t="shared" si="6"/>
        <v/>
      </c>
      <c r="P393" s="11"/>
      <c r="Q393" s="12"/>
      <c r="R393" s="11"/>
      <c r="S393" s="7"/>
    </row>
    <row r="394" spans="1:19" ht="14.4" x14ac:dyDescent="0.3">
      <c r="A394" s="6" t="s">
        <v>270</v>
      </c>
      <c r="B394" s="6" t="s">
        <v>2114</v>
      </c>
      <c r="C394" s="6" t="s">
        <v>2140</v>
      </c>
      <c r="D394" s="6" t="s">
        <v>2116</v>
      </c>
      <c r="E394" s="6" t="s">
        <v>2141</v>
      </c>
      <c r="F394" s="13" t="s">
        <v>2142</v>
      </c>
      <c r="G394" s="13" t="s">
        <v>2143</v>
      </c>
      <c r="H394" s="13" t="s">
        <v>2144</v>
      </c>
      <c r="I394" s="13"/>
      <c r="J394" s="7"/>
      <c r="K394" s="7"/>
      <c r="L394" s="7" t="s">
        <v>93</v>
      </c>
      <c r="M394" s="7" t="s">
        <v>93</v>
      </c>
      <c r="N394" s="10"/>
      <c r="O394" s="9" t="str">
        <f t="shared" si="6"/>
        <v/>
      </c>
      <c r="P394" s="11"/>
      <c r="Q394" s="12"/>
      <c r="R394" s="11"/>
      <c r="S394" s="7"/>
    </row>
    <row r="395" spans="1:19" ht="14.4" x14ac:dyDescent="0.3">
      <c r="A395" s="6" t="s">
        <v>270</v>
      </c>
      <c r="B395" s="6" t="s">
        <v>2114</v>
      </c>
      <c r="C395" s="6" t="s">
        <v>2145</v>
      </c>
      <c r="D395" s="6" t="s">
        <v>2116</v>
      </c>
      <c r="E395" s="6" t="s">
        <v>2146</v>
      </c>
      <c r="F395" s="13" t="s">
        <v>2147</v>
      </c>
      <c r="G395" s="13" t="s">
        <v>2148</v>
      </c>
      <c r="H395" s="13" t="s">
        <v>2149</v>
      </c>
      <c r="I395" s="13" t="s">
        <v>2150</v>
      </c>
      <c r="J395" s="7"/>
      <c r="K395" s="7"/>
      <c r="L395" s="7" t="s">
        <v>93</v>
      </c>
      <c r="M395" s="7" t="s">
        <v>93</v>
      </c>
      <c r="N395" s="10"/>
      <c r="O395" s="9" t="str">
        <f t="shared" si="6"/>
        <v/>
      </c>
      <c r="P395" s="11"/>
      <c r="Q395" s="12"/>
      <c r="R395" s="11"/>
      <c r="S395" s="7"/>
    </row>
    <row r="396" spans="1:19" ht="14.4" x14ac:dyDescent="0.3">
      <c r="A396" s="6" t="s">
        <v>270</v>
      </c>
      <c r="B396" s="6" t="s">
        <v>2114</v>
      </c>
      <c r="C396" s="6" t="s">
        <v>2151</v>
      </c>
      <c r="D396" s="6" t="s">
        <v>2116</v>
      </c>
      <c r="E396" s="6" t="s">
        <v>2152</v>
      </c>
      <c r="F396" s="13" t="s">
        <v>932</v>
      </c>
      <c r="G396" s="13" t="s">
        <v>2153</v>
      </c>
      <c r="H396" s="13" t="s">
        <v>2154</v>
      </c>
      <c r="I396" s="13"/>
      <c r="J396" s="7"/>
      <c r="K396" s="7"/>
      <c r="L396" s="7" t="s">
        <v>93</v>
      </c>
      <c r="M396" s="7" t="s">
        <v>93</v>
      </c>
      <c r="N396" s="10"/>
      <c r="O396" s="9" t="str">
        <f t="shared" si="6"/>
        <v/>
      </c>
      <c r="P396" s="11"/>
      <c r="Q396" s="12"/>
      <c r="R396" s="11"/>
      <c r="S396" s="7"/>
    </row>
    <row r="397" spans="1:19" ht="14.4" x14ac:dyDescent="0.3">
      <c r="A397" s="6" t="s">
        <v>270</v>
      </c>
      <c r="B397" s="6" t="s">
        <v>2114</v>
      </c>
      <c r="C397" s="6" t="s">
        <v>2155</v>
      </c>
      <c r="D397" s="6" t="s">
        <v>2116</v>
      </c>
      <c r="E397" s="6" t="s">
        <v>2156</v>
      </c>
      <c r="F397" s="13" t="s">
        <v>687</v>
      </c>
      <c r="G397" s="13" t="s">
        <v>2157</v>
      </c>
      <c r="H397" s="13" t="s">
        <v>2158</v>
      </c>
      <c r="I397" s="13" t="s">
        <v>2159</v>
      </c>
      <c r="J397" s="7"/>
      <c r="K397" s="7"/>
      <c r="L397" s="7" t="s">
        <v>93</v>
      </c>
      <c r="M397" s="7" t="s">
        <v>93</v>
      </c>
      <c r="N397" s="10"/>
      <c r="O397" s="9" t="str">
        <f t="shared" si="6"/>
        <v/>
      </c>
      <c r="P397" s="11"/>
      <c r="Q397" s="12"/>
      <c r="R397" s="11"/>
      <c r="S397" s="7"/>
    </row>
    <row r="398" spans="1:19" ht="14.4" x14ac:dyDescent="0.3">
      <c r="A398" s="6" t="s">
        <v>270</v>
      </c>
      <c r="B398" s="6" t="s">
        <v>2114</v>
      </c>
      <c r="C398" s="6" t="s">
        <v>2160</v>
      </c>
      <c r="D398" s="6" t="s">
        <v>2116</v>
      </c>
      <c r="E398" s="6" t="s">
        <v>2161</v>
      </c>
      <c r="F398" s="13" t="s">
        <v>1924</v>
      </c>
      <c r="G398" s="13" t="s">
        <v>2162</v>
      </c>
      <c r="H398" s="13" t="s">
        <v>2163</v>
      </c>
      <c r="I398" s="13" t="s">
        <v>2164</v>
      </c>
      <c r="J398" s="7"/>
      <c r="K398" s="7"/>
      <c r="L398" s="7" t="s">
        <v>93</v>
      </c>
      <c r="M398" s="7" t="s">
        <v>93</v>
      </c>
      <c r="N398" s="10"/>
      <c r="O398" s="9" t="str">
        <f t="shared" si="6"/>
        <v/>
      </c>
      <c r="P398" s="11"/>
      <c r="Q398" s="12"/>
      <c r="R398" s="11"/>
      <c r="S398" s="7"/>
    </row>
    <row r="399" spans="1:19" ht="14.4" x14ac:dyDescent="0.3">
      <c r="A399" s="6" t="s">
        <v>270</v>
      </c>
      <c r="B399" s="6" t="s">
        <v>2114</v>
      </c>
      <c r="C399" s="6" t="s">
        <v>2165</v>
      </c>
      <c r="D399" s="6" t="s">
        <v>2116</v>
      </c>
      <c r="E399" s="6" t="s">
        <v>2166</v>
      </c>
      <c r="F399" s="13" t="s">
        <v>458</v>
      </c>
      <c r="G399" s="13" t="s">
        <v>367</v>
      </c>
      <c r="H399" s="13" t="s">
        <v>593</v>
      </c>
      <c r="I399" s="13"/>
      <c r="J399" s="7"/>
      <c r="K399" s="7"/>
      <c r="L399" s="7" t="s">
        <v>93</v>
      </c>
      <c r="M399" s="7" t="s">
        <v>93</v>
      </c>
      <c r="N399" s="10"/>
      <c r="O399" s="9" t="str">
        <f t="shared" si="6"/>
        <v/>
      </c>
      <c r="P399" s="11"/>
      <c r="Q399" s="12"/>
      <c r="R399" s="11"/>
      <c r="S399" s="7"/>
    </row>
    <row r="400" spans="1:19" ht="14.4" x14ac:dyDescent="0.3">
      <c r="A400" s="6" t="s">
        <v>270</v>
      </c>
      <c r="B400" s="6" t="s">
        <v>2114</v>
      </c>
      <c r="C400" s="6" t="s">
        <v>2168</v>
      </c>
      <c r="D400" s="6" t="s">
        <v>2116</v>
      </c>
      <c r="E400" s="6" t="s">
        <v>2169</v>
      </c>
      <c r="F400" s="13" t="s">
        <v>458</v>
      </c>
      <c r="G400" s="13" t="s">
        <v>2170</v>
      </c>
      <c r="H400" s="13" t="s">
        <v>2171</v>
      </c>
      <c r="I400" s="13" t="s">
        <v>2172</v>
      </c>
      <c r="J400" s="7"/>
      <c r="K400" s="7"/>
      <c r="L400" s="7" t="s">
        <v>93</v>
      </c>
      <c r="M400" s="7" t="s">
        <v>93</v>
      </c>
      <c r="N400" s="10"/>
      <c r="O400" s="9" t="str">
        <f t="shared" si="6"/>
        <v/>
      </c>
      <c r="P400" s="11"/>
      <c r="Q400" s="12"/>
      <c r="R400" s="11"/>
      <c r="S400" s="7"/>
    </row>
    <row r="401" spans="1:19" ht="14.4" x14ac:dyDescent="0.3">
      <c r="A401" s="6" t="s">
        <v>270</v>
      </c>
      <c r="B401" s="6" t="s">
        <v>2114</v>
      </c>
      <c r="C401" s="6" t="s">
        <v>2174</v>
      </c>
      <c r="D401" s="6" t="s">
        <v>2116</v>
      </c>
      <c r="E401" s="6" t="s">
        <v>2175</v>
      </c>
      <c r="F401" s="13" t="s">
        <v>1168</v>
      </c>
      <c r="G401" s="13" t="s">
        <v>1684</v>
      </c>
      <c r="H401" s="13" t="s">
        <v>2176</v>
      </c>
      <c r="I401" s="13"/>
      <c r="J401" s="7"/>
      <c r="K401" s="7"/>
      <c r="L401" s="7" t="s">
        <v>93</v>
      </c>
      <c r="M401" s="7" t="s">
        <v>93</v>
      </c>
      <c r="N401" s="10"/>
      <c r="O401" s="9" t="str">
        <f t="shared" si="6"/>
        <v/>
      </c>
      <c r="P401" s="11"/>
      <c r="Q401" s="12"/>
      <c r="R401" s="11"/>
      <c r="S401" s="7"/>
    </row>
    <row r="402" spans="1:19" ht="14.4" x14ac:dyDescent="0.3">
      <c r="A402" s="6" t="s">
        <v>270</v>
      </c>
      <c r="B402" s="6" t="s">
        <v>2114</v>
      </c>
      <c r="C402" s="6" t="s">
        <v>2177</v>
      </c>
      <c r="D402" s="6" t="s">
        <v>2116</v>
      </c>
      <c r="E402" s="6" t="s">
        <v>2178</v>
      </c>
      <c r="F402" s="13" t="s">
        <v>2179</v>
      </c>
      <c r="G402" s="13" t="s">
        <v>2180</v>
      </c>
      <c r="H402" s="13" t="s">
        <v>2181</v>
      </c>
      <c r="I402" s="13" t="s">
        <v>2182</v>
      </c>
      <c r="J402" s="7"/>
      <c r="K402" s="7"/>
      <c r="L402" s="7" t="s">
        <v>93</v>
      </c>
      <c r="M402" s="7" t="s">
        <v>93</v>
      </c>
      <c r="N402" s="10"/>
      <c r="O402" s="9" t="str">
        <f t="shared" si="6"/>
        <v/>
      </c>
      <c r="P402" s="11"/>
      <c r="Q402" s="12"/>
      <c r="R402" s="11"/>
      <c r="S402" s="7"/>
    </row>
    <row r="403" spans="1:19" ht="14.4" x14ac:dyDescent="0.3">
      <c r="A403" s="6" t="s">
        <v>270</v>
      </c>
      <c r="B403" s="6" t="s">
        <v>2114</v>
      </c>
      <c r="C403" s="6" t="s">
        <v>2183</v>
      </c>
      <c r="D403" s="6" t="s">
        <v>2116</v>
      </c>
      <c r="E403" s="6" t="s">
        <v>2184</v>
      </c>
      <c r="F403" s="13" t="s">
        <v>2185</v>
      </c>
      <c r="G403" s="13" t="s">
        <v>2186</v>
      </c>
      <c r="H403" s="13" t="s">
        <v>2187</v>
      </c>
      <c r="I403" s="13" t="s">
        <v>2188</v>
      </c>
      <c r="J403" s="7"/>
      <c r="K403" s="7"/>
      <c r="L403" s="7" t="s">
        <v>93</v>
      </c>
      <c r="M403" s="7" t="s">
        <v>93</v>
      </c>
      <c r="N403" s="10"/>
      <c r="O403" s="9" t="str">
        <f t="shared" si="6"/>
        <v/>
      </c>
      <c r="P403" s="11"/>
      <c r="Q403" s="12"/>
      <c r="R403" s="11"/>
      <c r="S403" s="7"/>
    </row>
    <row r="404" spans="1:19" ht="14.4" x14ac:dyDescent="0.3">
      <c r="A404" s="6" t="s">
        <v>270</v>
      </c>
      <c r="B404" s="6" t="s">
        <v>2114</v>
      </c>
      <c r="C404" s="6" t="s">
        <v>2189</v>
      </c>
      <c r="D404" s="6" t="s">
        <v>2116</v>
      </c>
      <c r="E404" s="6" t="s">
        <v>2190</v>
      </c>
      <c r="F404" s="13" t="s">
        <v>2191</v>
      </c>
      <c r="G404" s="13" t="s">
        <v>2192</v>
      </c>
      <c r="H404" s="13" t="s">
        <v>2193</v>
      </c>
      <c r="I404" s="13" t="s">
        <v>2194</v>
      </c>
      <c r="J404" s="7"/>
      <c r="K404" s="7"/>
      <c r="L404" s="7" t="s">
        <v>93</v>
      </c>
      <c r="M404" s="7" t="s">
        <v>93</v>
      </c>
      <c r="N404" s="10"/>
      <c r="O404" s="9" t="str">
        <f t="shared" si="6"/>
        <v/>
      </c>
      <c r="P404" s="11"/>
      <c r="Q404" s="12"/>
      <c r="R404" s="11"/>
      <c r="S404" s="7"/>
    </row>
    <row r="405" spans="1:19" ht="14.4" x14ac:dyDescent="0.3">
      <c r="A405" s="6" t="s">
        <v>270</v>
      </c>
      <c r="B405" s="6" t="s">
        <v>2114</v>
      </c>
      <c r="C405" s="6" t="s">
        <v>2195</v>
      </c>
      <c r="D405" s="6" t="s">
        <v>2116</v>
      </c>
      <c r="E405" s="6" t="s">
        <v>2196</v>
      </c>
      <c r="F405" s="13" t="s">
        <v>2197</v>
      </c>
      <c r="G405" s="13" t="s">
        <v>2198</v>
      </c>
      <c r="H405" s="13" t="s">
        <v>2199</v>
      </c>
      <c r="I405" s="13"/>
      <c r="J405" s="7"/>
      <c r="K405" s="7"/>
      <c r="L405" s="7" t="s">
        <v>93</v>
      </c>
      <c r="M405" s="7" t="s">
        <v>93</v>
      </c>
      <c r="N405" s="10"/>
      <c r="O405" s="9" t="str">
        <f t="shared" si="6"/>
        <v/>
      </c>
      <c r="P405" s="11"/>
      <c r="Q405" s="12"/>
      <c r="R405" s="11"/>
      <c r="S405" s="7"/>
    </row>
    <row r="406" spans="1:19" ht="14.4" x14ac:dyDescent="0.3">
      <c r="A406" s="6" t="s">
        <v>270</v>
      </c>
      <c r="B406" s="6" t="s">
        <v>2114</v>
      </c>
      <c r="C406" s="6" t="s">
        <v>2200</v>
      </c>
      <c r="D406" s="6" t="s">
        <v>2116</v>
      </c>
      <c r="E406" s="6" t="s">
        <v>2201</v>
      </c>
      <c r="F406" s="13" t="s">
        <v>2202</v>
      </c>
      <c r="G406" s="13" t="s">
        <v>2203</v>
      </c>
      <c r="H406" s="13" t="s">
        <v>2204</v>
      </c>
      <c r="I406" s="13"/>
      <c r="J406" s="7"/>
      <c r="K406" s="7"/>
      <c r="L406" s="7" t="s">
        <v>93</v>
      </c>
      <c r="M406" s="7" t="s">
        <v>93</v>
      </c>
      <c r="N406" s="10"/>
      <c r="O406" s="9" t="str">
        <f t="shared" si="6"/>
        <v/>
      </c>
      <c r="P406" s="11"/>
      <c r="Q406" s="12"/>
      <c r="R406" s="11"/>
      <c r="S406" s="7"/>
    </row>
    <row r="407" spans="1:19" ht="14.4" x14ac:dyDescent="0.3">
      <c r="A407" s="6" t="s">
        <v>270</v>
      </c>
      <c r="B407" s="6" t="s">
        <v>2114</v>
      </c>
      <c r="C407" s="6" t="s">
        <v>2205</v>
      </c>
      <c r="D407" s="6" t="s">
        <v>2116</v>
      </c>
      <c r="E407" s="6" t="s">
        <v>2206</v>
      </c>
      <c r="F407" s="13" t="s">
        <v>2207</v>
      </c>
      <c r="G407" s="13" t="s">
        <v>2208</v>
      </c>
      <c r="H407" s="13" t="s">
        <v>2209</v>
      </c>
      <c r="I407" s="13"/>
      <c r="J407" s="7"/>
      <c r="K407" s="7"/>
      <c r="L407" s="7" t="s">
        <v>93</v>
      </c>
      <c r="M407" s="7" t="s">
        <v>93</v>
      </c>
      <c r="N407" s="10"/>
      <c r="O407" s="9" t="str">
        <f t="shared" si="6"/>
        <v/>
      </c>
      <c r="P407" s="11"/>
      <c r="Q407" s="12"/>
      <c r="R407" s="11"/>
      <c r="S407" s="7"/>
    </row>
    <row r="408" spans="1:19" ht="14.4" x14ac:dyDescent="0.3">
      <c r="A408" s="6" t="s">
        <v>270</v>
      </c>
      <c r="B408" s="6" t="s">
        <v>2114</v>
      </c>
      <c r="C408" s="6" t="s">
        <v>2210</v>
      </c>
      <c r="D408" s="6" t="s">
        <v>2116</v>
      </c>
      <c r="E408" s="6" t="s">
        <v>2211</v>
      </c>
      <c r="F408" s="13" t="s">
        <v>2212</v>
      </c>
      <c r="G408" s="13" t="s">
        <v>380</v>
      </c>
      <c r="H408" s="13" t="s">
        <v>2213</v>
      </c>
      <c r="I408" s="13" t="s">
        <v>2214</v>
      </c>
      <c r="J408" s="7"/>
      <c r="K408" s="7"/>
      <c r="L408" s="7" t="s">
        <v>93</v>
      </c>
      <c r="M408" s="7" t="s">
        <v>93</v>
      </c>
      <c r="N408" s="10"/>
      <c r="O408" s="9" t="str">
        <f t="shared" si="6"/>
        <v/>
      </c>
      <c r="P408" s="11"/>
      <c r="Q408" s="12"/>
      <c r="R408" s="11"/>
      <c r="S408" s="7"/>
    </row>
    <row r="409" spans="1:19" ht="14.4" x14ac:dyDescent="0.3">
      <c r="A409" s="6" t="s">
        <v>270</v>
      </c>
      <c r="B409" s="6" t="s">
        <v>2114</v>
      </c>
      <c r="C409" s="6" t="s">
        <v>2215</v>
      </c>
      <c r="D409" s="6" t="s">
        <v>2116</v>
      </c>
      <c r="E409" s="6" t="s">
        <v>2216</v>
      </c>
      <c r="F409" s="13" t="s">
        <v>428</v>
      </c>
      <c r="G409" s="13" t="s">
        <v>2217</v>
      </c>
      <c r="H409" s="13" t="s">
        <v>2218</v>
      </c>
      <c r="I409" s="13"/>
      <c r="J409" s="7"/>
      <c r="K409" s="7"/>
      <c r="L409" s="7" t="s">
        <v>93</v>
      </c>
      <c r="M409" s="7" t="s">
        <v>93</v>
      </c>
      <c r="N409" s="10"/>
      <c r="O409" s="9" t="str">
        <f t="shared" si="6"/>
        <v/>
      </c>
      <c r="P409" s="11"/>
      <c r="Q409" s="12"/>
      <c r="R409" s="11"/>
      <c r="S409" s="7"/>
    </row>
    <row r="410" spans="1:19" ht="14.4" x14ac:dyDescent="0.3">
      <c r="A410" s="6" t="s">
        <v>270</v>
      </c>
      <c r="B410" s="6" t="s">
        <v>2114</v>
      </c>
      <c r="C410" s="6" t="s">
        <v>2219</v>
      </c>
      <c r="D410" s="6" t="s">
        <v>2116</v>
      </c>
      <c r="E410" s="6" t="s">
        <v>2220</v>
      </c>
      <c r="F410" s="13" t="s">
        <v>2221</v>
      </c>
      <c r="G410" s="13" t="s">
        <v>669</v>
      </c>
      <c r="H410" s="13" t="s">
        <v>2222</v>
      </c>
      <c r="I410" s="13"/>
      <c r="J410" s="7"/>
      <c r="K410" s="7"/>
      <c r="L410" s="7" t="s">
        <v>93</v>
      </c>
      <c r="M410" s="7" t="s">
        <v>93</v>
      </c>
      <c r="N410" s="10"/>
      <c r="O410" s="9" t="str">
        <f t="shared" si="6"/>
        <v/>
      </c>
      <c r="P410" s="11"/>
      <c r="Q410" s="12"/>
      <c r="R410" s="11"/>
      <c r="S410" s="7"/>
    </row>
    <row r="411" spans="1:19" ht="14.4" x14ac:dyDescent="0.3">
      <c r="A411" s="6" t="s">
        <v>270</v>
      </c>
      <c r="B411" s="6" t="s">
        <v>2114</v>
      </c>
      <c r="C411" s="6" t="s">
        <v>2223</v>
      </c>
      <c r="D411" s="6" t="s">
        <v>2116</v>
      </c>
      <c r="E411" s="6" t="s">
        <v>2224</v>
      </c>
      <c r="F411" s="13" t="s">
        <v>2225</v>
      </c>
      <c r="G411" s="13" t="s">
        <v>2226</v>
      </c>
      <c r="H411" s="13" t="s">
        <v>2227</v>
      </c>
      <c r="I411" s="13" t="s">
        <v>2228</v>
      </c>
      <c r="J411" s="7"/>
      <c r="K411" s="7"/>
      <c r="L411" s="7" t="s">
        <v>93</v>
      </c>
      <c r="M411" s="7" t="s">
        <v>93</v>
      </c>
      <c r="N411" s="10"/>
      <c r="O411" s="9" t="str">
        <f t="shared" si="6"/>
        <v/>
      </c>
      <c r="P411" s="11"/>
      <c r="Q411" s="12"/>
      <c r="R411" s="11"/>
      <c r="S411" s="7"/>
    </row>
    <row r="412" spans="1:19" ht="14.4" x14ac:dyDescent="0.3">
      <c r="A412" s="6" t="s">
        <v>270</v>
      </c>
      <c r="B412" s="6" t="s">
        <v>2114</v>
      </c>
      <c r="C412" s="6" t="s">
        <v>2229</v>
      </c>
      <c r="D412" s="6" t="s">
        <v>2116</v>
      </c>
      <c r="E412" s="6" t="s">
        <v>2230</v>
      </c>
      <c r="F412" s="13" t="s">
        <v>932</v>
      </c>
      <c r="G412" s="13" t="s">
        <v>2231</v>
      </c>
      <c r="H412" s="13" t="s">
        <v>2232</v>
      </c>
      <c r="I412" s="13"/>
      <c r="J412" s="7"/>
      <c r="K412" s="7"/>
      <c r="L412" s="7" t="s">
        <v>93</v>
      </c>
      <c r="M412" s="7" t="s">
        <v>93</v>
      </c>
      <c r="N412" s="10"/>
      <c r="O412" s="9" t="str">
        <f t="shared" si="6"/>
        <v/>
      </c>
      <c r="P412" s="11"/>
      <c r="Q412" s="12"/>
      <c r="R412" s="11"/>
      <c r="S412" s="7"/>
    </row>
    <row r="413" spans="1:19" ht="14.4" x14ac:dyDescent="0.3">
      <c r="A413" s="6" t="s">
        <v>270</v>
      </c>
      <c r="B413" s="6" t="s">
        <v>2114</v>
      </c>
      <c r="C413" s="6" t="s">
        <v>2234</v>
      </c>
      <c r="D413" s="6" t="s">
        <v>2116</v>
      </c>
      <c r="E413" s="6" t="s">
        <v>2235</v>
      </c>
      <c r="F413" s="13" t="s">
        <v>2236</v>
      </c>
      <c r="G413" s="13" t="s">
        <v>2237</v>
      </c>
      <c r="H413" s="13" t="s">
        <v>2238</v>
      </c>
      <c r="I413" s="13"/>
      <c r="J413" s="7"/>
      <c r="K413" s="7"/>
      <c r="L413" s="7" t="s">
        <v>93</v>
      </c>
      <c r="M413" s="7" t="s">
        <v>93</v>
      </c>
      <c r="N413" s="10"/>
      <c r="O413" s="9" t="str">
        <f t="shared" si="6"/>
        <v/>
      </c>
      <c r="P413" s="11"/>
      <c r="Q413" s="12"/>
      <c r="R413" s="11"/>
      <c r="S413" s="7"/>
    </row>
    <row r="414" spans="1:19" ht="14.4" x14ac:dyDescent="0.3">
      <c r="A414" s="6" t="s">
        <v>270</v>
      </c>
      <c r="B414" s="6" t="s">
        <v>2114</v>
      </c>
      <c r="C414" s="6" t="s">
        <v>2239</v>
      </c>
      <c r="D414" s="6" t="s">
        <v>2116</v>
      </c>
      <c r="E414" s="6" t="s">
        <v>2240</v>
      </c>
      <c r="F414" s="13" t="s">
        <v>2241</v>
      </c>
      <c r="G414" s="13" t="s">
        <v>2242</v>
      </c>
      <c r="H414" s="13" t="s">
        <v>2243</v>
      </c>
      <c r="I414" s="13" t="s">
        <v>2244</v>
      </c>
      <c r="J414" s="7"/>
      <c r="K414" s="7"/>
      <c r="L414" s="7" t="s">
        <v>93</v>
      </c>
      <c r="M414" s="7" t="s">
        <v>93</v>
      </c>
      <c r="N414" s="10"/>
      <c r="O414" s="9" t="str">
        <f t="shared" si="6"/>
        <v/>
      </c>
      <c r="P414" s="11"/>
      <c r="Q414" s="12"/>
      <c r="R414" s="11"/>
      <c r="S414" s="7"/>
    </row>
    <row r="415" spans="1:19" ht="14.4" x14ac:dyDescent="0.3">
      <c r="A415" s="6" t="s">
        <v>270</v>
      </c>
      <c r="B415" s="6" t="s">
        <v>2114</v>
      </c>
      <c r="C415" s="6" t="s">
        <v>2246</v>
      </c>
      <c r="D415" s="6" t="s">
        <v>2116</v>
      </c>
      <c r="E415" s="6" t="s">
        <v>2247</v>
      </c>
      <c r="F415" s="13" t="s">
        <v>2248</v>
      </c>
      <c r="G415" s="13" t="s">
        <v>2249</v>
      </c>
      <c r="H415" s="13" t="s">
        <v>2250</v>
      </c>
      <c r="I415" s="13"/>
      <c r="J415" s="7"/>
      <c r="K415" s="7"/>
      <c r="L415" s="7" t="s">
        <v>93</v>
      </c>
      <c r="M415" s="7" t="s">
        <v>93</v>
      </c>
      <c r="N415" s="10"/>
      <c r="O415" s="9" t="str">
        <f t="shared" si="6"/>
        <v/>
      </c>
      <c r="P415" s="11"/>
      <c r="Q415" s="12"/>
      <c r="R415" s="11"/>
      <c r="S415" s="7"/>
    </row>
    <row r="416" spans="1:19" ht="14.4" x14ac:dyDescent="0.3">
      <c r="A416" s="6" t="s">
        <v>270</v>
      </c>
      <c r="B416" s="6" t="s">
        <v>2114</v>
      </c>
      <c r="C416" s="6" t="s">
        <v>2251</v>
      </c>
      <c r="D416" s="6" t="s">
        <v>2116</v>
      </c>
      <c r="E416" s="6" t="s">
        <v>2252</v>
      </c>
      <c r="F416" s="13" t="s">
        <v>2253</v>
      </c>
      <c r="G416" s="13" t="s">
        <v>2254</v>
      </c>
      <c r="H416" s="13"/>
      <c r="I416" s="13"/>
      <c r="J416" s="7"/>
      <c r="K416" s="7"/>
      <c r="L416" s="7" t="s">
        <v>93</v>
      </c>
      <c r="M416" s="7" t="s">
        <v>93</v>
      </c>
      <c r="N416" s="10"/>
      <c r="O416" s="9" t="str">
        <f t="shared" si="6"/>
        <v/>
      </c>
      <c r="P416" s="11"/>
      <c r="Q416" s="12"/>
      <c r="R416" s="11"/>
      <c r="S416" s="7"/>
    </row>
    <row r="417" spans="1:19" ht="14.4" x14ac:dyDescent="0.3">
      <c r="A417" s="6" t="s">
        <v>270</v>
      </c>
      <c r="B417" s="6" t="s">
        <v>2114</v>
      </c>
      <c r="C417" s="6" t="s">
        <v>2255</v>
      </c>
      <c r="D417" s="6" t="s">
        <v>2116</v>
      </c>
      <c r="E417" s="6" t="s">
        <v>2256</v>
      </c>
      <c r="F417" s="13" t="s">
        <v>2257</v>
      </c>
      <c r="G417" s="13" t="s">
        <v>2258</v>
      </c>
      <c r="H417" s="13" t="s">
        <v>2259</v>
      </c>
      <c r="I417" s="13" t="s">
        <v>2260</v>
      </c>
      <c r="J417" s="7"/>
      <c r="K417" s="7"/>
      <c r="L417" s="7" t="s">
        <v>93</v>
      </c>
      <c r="M417" s="7" t="s">
        <v>93</v>
      </c>
      <c r="N417" s="10"/>
      <c r="O417" s="9" t="str">
        <f t="shared" si="6"/>
        <v/>
      </c>
      <c r="P417" s="11"/>
      <c r="Q417" s="12"/>
      <c r="R417" s="11"/>
      <c r="S417" s="7"/>
    </row>
    <row r="418" spans="1:19" ht="14.4" x14ac:dyDescent="0.3">
      <c r="A418" s="6" t="s">
        <v>270</v>
      </c>
      <c r="B418" s="6" t="s">
        <v>2114</v>
      </c>
      <c r="C418" s="6" t="s">
        <v>2261</v>
      </c>
      <c r="D418" s="6" t="s">
        <v>2116</v>
      </c>
      <c r="E418" s="6" t="s">
        <v>2262</v>
      </c>
      <c r="F418" s="13" t="s">
        <v>311</v>
      </c>
      <c r="G418" s="13" t="s">
        <v>312</v>
      </c>
      <c r="H418" s="13" t="s">
        <v>296</v>
      </c>
      <c r="I418" s="13"/>
      <c r="J418" s="7"/>
      <c r="K418" s="7"/>
      <c r="L418" s="7" t="s">
        <v>93</v>
      </c>
      <c r="M418" s="7" t="s">
        <v>93</v>
      </c>
      <c r="N418" s="10"/>
      <c r="O418" s="9" t="str">
        <f t="shared" si="6"/>
        <v/>
      </c>
      <c r="P418" s="11"/>
      <c r="Q418" s="12"/>
      <c r="R418" s="11"/>
      <c r="S418" s="7"/>
    </row>
    <row r="419" spans="1:19" ht="14.4" x14ac:dyDescent="0.3">
      <c r="A419" s="6" t="s">
        <v>270</v>
      </c>
      <c r="B419" s="6" t="s">
        <v>2114</v>
      </c>
      <c r="C419" s="6" t="s">
        <v>2263</v>
      </c>
      <c r="D419" s="6" t="s">
        <v>2116</v>
      </c>
      <c r="E419" s="6" t="s">
        <v>2264</v>
      </c>
      <c r="F419" s="13" t="s">
        <v>2265</v>
      </c>
      <c r="G419" s="13" t="s">
        <v>1269</v>
      </c>
      <c r="H419" s="13" t="s">
        <v>2266</v>
      </c>
      <c r="I419" s="13" t="s">
        <v>2267</v>
      </c>
      <c r="J419" s="7"/>
      <c r="K419" s="7"/>
      <c r="L419" s="7" t="s">
        <v>93</v>
      </c>
      <c r="M419" s="7" t="s">
        <v>93</v>
      </c>
      <c r="N419" s="10"/>
      <c r="O419" s="9" t="str">
        <f t="shared" si="6"/>
        <v/>
      </c>
      <c r="P419" s="11"/>
      <c r="Q419" s="12"/>
      <c r="R419" s="11"/>
      <c r="S419" s="7"/>
    </row>
    <row r="420" spans="1:19" ht="14.4" x14ac:dyDescent="0.3">
      <c r="A420" s="6" t="s">
        <v>270</v>
      </c>
      <c r="B420" s="6" t="s">
        <v>2114</v>
      </c>
      <c r="C420" s="6" t="s">
        <v>2268</v>
      </c>
      <c r="D420" s="6" t="s">
        <v>2116</v>
      </c>
      <c r="E420" s="6" t="s">
        <v>2269</v>
      </c>
      <c r="F420" s="13" t="s">
        <v>677</v>
      </c>
      <c r="G420" s="13" t="s">
        <v>2270</v>
      </c>
      <c r="H420" s="13" t="s">
        <v>2271</v>
      </c>
      <c r="I420" s="13" t="s">
        <v>2272</v>
      </c>
      <c r="J420" s="7"/>
      <c r="K420" s="7"/>
      <c r="L420" s="7" t="s">
        <v>93</v>
      </c>
      <c r="M420" s="7" t="s">
        <v>93</v>
      </c>
      <c r="N420" s="10"/>
      <c r="O420" s="9" t="str">
        <f t="shared" si="6"/>
        <v/>
      </c>
      <c r="P420" s="11"/>
      <c r="Q420" s="12"/>
      <c r="R420" s="11"/>
      <c r="S420" s="7"/>
    </row>
    <row r="421" spans="1:19" ht="14.4" x14ac:dyDescent="0.3">
      <c r="A421" s="6" t="s">
        <v>270</v>
      </c>
      <c r="B421" s="6" t="s">
        <v>2114</v>
      </c>
      <c r="C421" s="6" t="s">
        <v>2274</v>
      </c>
      <c r="D421" s="6" t="s">
        <v>2116</v>
      </c>
      <c r="E421" s="6" t="s">
        <v>2275</v>
      </c>
      <c r="F421" s="13" t="s">
        <v>2276</v>
      </c>
      <c r="G421" s="13" t="s">
        <v>2277</v>
      </c>
      <c r="H421" s="13" t="s">
        <v>2278</v>
      </c>
      <c r="I421" s="13"/>
      <c r="J421" s="7"/>
      <c r="K421" s="7"/>
      <c r="L421" s="7" t="s">
        <v>93</v>
      </c>
      <c r="M421" s="7" t="s">
        <v>93</v>
      </c>
      <c r="N421" s="10"/>
      <c r="O421" s="9" t="str">
        <f t="shared" si="6"/>
        <v/>
      </c>
      <c r="P421" s="11"/>
      <c r="Q421" s="12"/>
      <c r="R421" s="11"/>
      <c r="S421" s="7"/>
    </row>
    <row r="422" spans="1:19" ht="14.4" x14ac:dyDescent="0.3">
      <c r="A422" s="6" t="s">
        <v>270</v>
      </c>
      <c r="B422" s="6" t="s">
        <v>2114</v>
      </c>
      <c r="C422" s="6" t="s">
        <v>2279</v>
      </c>
      <c r="D422" s="6" t="s">
        <v>2116</v>
      </c>
      <c r="E422" s="6" t="s">
        <v>2280</v>
      </c>
      <c r="F422" s="13" t="s">
        <v>334</v>
      </c>
      <c r="G422" s="13" t="s">
        <v>2281</v>
      </c>
      <c r="H422" s="13" t="s">
        <v>2282</v>
      </c>
      <c r="I422" s="13"/>
      <c r="J422" s="7"/>
      <c r="K422" s="7"/>
      <c r="L422" s="7" t="s">
        <v>93</v>
      </c>
      <c r="M422" s="7" t="s">
        <v>93</v>
      </c>
      <c r="N422" s="10"/>
      <c r="O422" s="9" t="str">
        <f t="shared" si="6"/>
        <v/>
      </c>
      <c r="P422" s="11"/>
      <c r="Q422" s="12"/>
      <c r="R422" s="11"/>
      <c r="S422" s="7"/>
    </row>
    <row r="423" spans="1:19" ht="14.4" x14ac:dyDescent="0.3">
      <c r="A423" s="6" t="s">
        <v>270</v>
      </c>
      <c r="B423" s="6" t="s">
        <v>2114</v>
      </c>
      <c r="C423" s="6" t="s">
        <v>2283</v>
      </c>
      <c r="D423" s="6" t="s">
        <v>2116</v>
      </c>
      <c r="E423" s="6" t="s">
        <v>2284</v>
      </c>
      <c r="F423" s="13" t="s">
        <v>2285</v>
      </c>
      <c r="G423" s="13" t="s">
        <v>2286</v>
      </c>
      <c r="H423" s="13"/>
      <c r="I423" s="13"/>
      <c r="J423" s="7"/>
      <c r="K423" s="7"/>
      <c r="L423" s="7" t="s">
        <v>93</v>
      </c>
      <c r="M423" s="7" t="s">
        <v>93</v>
      </c>
      <c r="N423" s="10"/>
      <c r="O423" s="9" t="str">
        <f t="shared" si="6"/>
        <v/>
      </c>
      <c r="P423" s="11"/>
      <c r="Q423" s="12"/>
      <c r="R423" s="11"/>
      <c r="S423" s="7"/>
    </row>
    <row r="424" spans="1:19" ht="14.4" x14ac:dyDescent="0.3">
      <c r="A424" s="6" t="s">
        <v>270</v>
      </c>
      <c r="B424" s="6" t="s">
        <v>2114</v>
      </c>
      <c r="C424" s="6" t="s">
        <v>2287</v>
      </c>
      <c r="D424" s="6" t="s">
        <v>2116</v>
      </c>
      <c r="E424" s="6" t="s">
        <v>2288</v>
      </c>
      <c r="F424" s="13" t="s">
        <v>658</v>
      </c>
      <c r="G424" s="13" t="s">
        <v>2289</v>
      </c>
      <c r="H424" s="13" t="s">
        <v>2290</v>
      </c>
      <c r="I424" s="13"/>
      <c r="J424" s="7"/>
      <c r="K424" s="7"/>
      <c r="L424" s="7" t="s">
        <v>93</v>
      </c>
      <c r="M424" s="7" t="s">
        <v>93</v>
      </c>
      <c r="N424" s="10"/>
      <c r="O424" s="9" t="str">
        <f t="shared" si="6"/>
        <v/>
      </c>
      <c r="P424" s="11"/>
      <c r="Q424" s="12"/>
      <c r="R424" s="11"/>
      <c r="S424" s="7"/>
    </row>
    <row r="425" spans="1:19" ht="14.4" x14ac:dyDescent="0.3">
      <c r="A425" s="6" t="s">
        <v>270</v>
      </c>
      <c r="B425" s="6" t="s">
        <v>2114</v>
      </c>
      <c r="C425" s="6" t="s">
        <v>2291</v>
      </c>
      <c r="D425" s="6" t="s">
        <v>2116</v>
      </c>
      <c r="E425" s="6" t="s">
        <v>2292</v>
      </c>
      <c r="F425" s="13" t="s">
        <v>2293</v>
      </c>
      <c r="G425" s="13" t="s">
        <v>823</v>
      </c>
      <c r="H425" s="13" t="s">
        <v>2294</v>
      </c>
      <c r="I425" s="13"/>
      <c r="J425" s="7"/>
      <c r="K425" s="7"/>
      <c r="L425" s="7" t="s">
        <v>93</v>
      </c>
      <c r="M425" s="7" t="s">
        <v>93</v>
      </c>
      <c r="N425" s="10"/>
      <c r="O425" s="9" t="str">
        <f t="shared" si="6"/>
        <v/>
      </c>
      <c r="P425" s="11"/>
      <c r="Q425" s="12"/>
      <c r="R425" s="11"/>
      <c r="S425" s="7"/>
    </row>
    <row r="426" spans="1:19" ht="14.4" x14ac:dyDescent="0.3">
      <c r="A426" s="6" t="s">
        <v>292</v>
      </c>
      <c r="B426" s="6" t="s">
        <v>2295</v>
      </c>
      <c r="C426" s="6" t="s">
        <v>2296</v>
      </c>
      <c r="D426" s="6" t="s">
        <v>2297</v>
      </c>
      <c r="E426" s="6" t="s">
        <v>2298</v>
      </c>
      <c r="F426" s="13" t="s">
        <v>2299</v>
      </c>
      <c r="G426" s="13" t="s">
        <v>2300</v>
      </c>
      <c r="H426" s="13" t="s">
        <v>2301</v>
      </c>
      <c r="I426" s="13"/>
      <c r="J426" s="7"/>
      <c r="K426" s="7"/>
      <c r="L426" s="7" t="s">
        <v>93</v>
      </c>
      <c r="M426" s="7" t="s">
        <v>93</v>
      </c>
      <c r="N426" s="10"/>
      <c r="O426" s="9" t="str">
        <f t="shared" si="6"/>
        <v/>
      </c>
      <c r="P426" s="11"/>
      <c r="Q426" s="12"/>
      <c r="R426" s="11"/>
      <c r="S426" s="7"/>
    </row>
    <row r="427" spans="1:19" ht="14.4" x14ac:dyDescent="0.3">
      <c r="A427" s="6" t="s">
        <v>292</v>
      </c>
      <c r="B427" s="6" t="s">
        <v>2295</v>
      </c>
      <c r="C427" s="6" t="s">
        <v>2302</v>
      </c>
      <c r="D427" s="6" t="s">
        <v>2297</v>
      </c>
      <c r="E427" s="6" t="s">
        <v>2303</v>
      </c>
      <c r="F427" s="13" t="s">
        <v>687</v>
      </c>
      <c r="G427" s="13" t="s">
        <v>2304</v>
      </c>
      <c r="H427" s="13" t="s">
        <v>2305</v>
      </c>
      <c r="I427" s="13"/>
      <c r="J427" s="7"/>
      <c r="K427" s="7"/>
      <c r="L427" s="7" t="s">
        <v>93</v>
      </c>
      <c r="M427" s="7" t="s">
        <v>93</v>
      </c>
      <c r="N427" s="10"/>
      <c r="O427" s="9" t="str">
        <f t="shared" si="6"/>
        <v/>
      </c>
      <c r="P427" s="11"/>
      <c r="Q427" s="12"/>
      <c r="R427" s="11"/>
      <c r="S427" s="7"/>
    </row>
    <row r="428" spans="1:19" ht="14.4" x14ac:dyDescent="0.3">
      <c r="A428" s="6" t="s">
        <v>292</v>
      </c>
      <c r="B428" s="6" t="s">
        <v>2295</v>
      </c>
      <c r="C428" s="6" t="s">
        <v>2306</v>
      </c>
      <c r="D428" s="6" t="s">
        <v>2297</v>
      </c>
      <c r="E428" s="6" t="s">
        <v>2307</v>
      </c>
      <c r="F428" s="13" t="s">
        <v>1016</v>
      </c>
      <c r="G428" s="13" t="s">
        <v>2186</v>
      </c>
      <c r="H428" s="13" t="s">
        <v>2308</v>
      </c>
      <c r="I428" s="13"/>
      <c r="J428" s="7"/>
      <c r="K428" s="7"/>
      <c r="L428" s="7" t="s">
        <v>93</v>
      </c>
      <c r="M428" s="7" t="s">
        <v>93</v>
      </c>
      <c r="N428" s="10"/>
      <c r="O428" s="9" t="str">
        <f t="shared" si="6"/>
        <v/>
      </c>
      <c r="P428" s="11"/>
      <c r="Q428" s="12"/>
      <c r="R428" s="11"/>
      <c r="S428" s="7"/>
    </row>
    <row r="429" spans="1:19" ht="14.4" x14ac:dyDescent="0.3">
      <c r="A429" s="6" t="s">
        <v>292</v>
      </c>
      <c r="B429" s="6" t="s">
        <v>2295</v>
      </c>
      <c r="C429" s="6" t="s">
        <v>2309</v>
      </c>
      <c r="D429" s="6" t="s">
        <v>2297</v>
      </c>
      <c r="E429" s="6" t="s">
        <v>2310</v>
      </c>
      <c r="F429" s="13" t="s">
        <v>1016</v>
      </c>
      <c r="G429" s="13" t="s">
        <v>939</v>
      </c>
      <c r="H429" s="13" t="s">
        <v>2311</v>
      </c>
      <c r="I429" s="13" t="s">
        <v>2312</v>
      </c>
      <c r="J429" s="7"/>
      <c r="K429" s="7"/>
      <c r="L429" s="7" t="s">
        <v>93</v>
      </c>
      <c r="M429" s="7" t="s">
        <v>93</v>
      </c>
      <c r="N429" s="10"/>
      <c r="O429" s="9" t="str">
        <f t="shared" si="6"/>
        <v/>
      </c>
      <c r="P429" s="11"/>
      <c r="Q429" s="12"/>
      <c r="R429" s="11"/>
      <c r="S429" s="7"/>
    </row>
    <row r="430" spans="1:19" ht="14.4" x14ac:dyDescent="0.3">
      <c r="A430" s="6" t="s">
        <v>292</v>
      </c>
      <c r="B430" s="6" t="s">
        <v>2295</v>
      </c>
      <c r="C430" s="6" t="s">
        <v>2314</v>
      </c>
      <c r="D430" s="6" t="s">
        <v>2297</v>
      </c>
      <c r="E430" s="6" t="s">
        <v>2315</v>
      </c>
      <c r="F430" s="13" t="s">
        <v>1016</v>
      </c>
      <c r="G430" s="13" t="s">
        <v>2316</v>
      </c>
      <c r="H430" s="13" t="s">
        <v>2317</v>
      </c>
      <c r="I430" s="13"/>
      <c r="J430" s="7"/>
      <c r="K430" s="7"/>
      <c r="L430" s="7" t="s">
        <v>93</v>
      </c>
      <c r="M430" s="7" t="s">
        <v>93</v>
      </c>
      <c r="N430" s="10"/>
      <c r="O430" s="9" t="str">
        <f t="shared" si="6"/>
        <v/>
      </c>
      <c r="P430" s="11"/>
      <c r="Q430" s="12"/>
      <c r="R430" s="11"/>
      <c r="S430" s="7"/>
    </row>
    <row r="431" spans="1:19" ht="14.4" x14ac:dyDescent="0.3">
      <c r="A431" s="6" t="s">
        <v>292</v>
      </c>
      <c r="B431" s="6" t="s">
        <v>2295</v>
      </c>
      <c r="C431" s="6" t="s">
        <v>2318</v>
      </c>
      <c r="D431" s="6" t="s">
        <v>2297</v>
      </c>
      <c r="E431" s="6" t="s">
        <v>2319</v>
      </c>
      <c r="F431" s="13" t="s">
        <v>458</v>
      </c>
      <c r="G431" s="13" t="s">
        <v>2320</v>
      </c>
      <c r="H431" s="13" t="s">
        <v>2321</v>
      </c>
      <c r="I431" s="13"/>
      <c r="J431" s="7"/>
      <c r="K431" s="7"/>
      <c r="L431" s="7" t="s">
        <v>93</v>
      </c>
      <c r="M431" s="7" t="s">
        <v>93</v>
      </c>
      <c r="N431" s="10"/>
      <c r="O431" s="9" t="str">
        <f t="shared" si="6"/>
        <v/>
      </c>
      <c r="P431" s="11"/>
      <c r="Q431" s="12"/>
      <c r="R431" s="11"/>
      <c r="S431" s="7"/>
    </row>
    <row r="432" spans="1:19" ht="14.4" x14ac:dyDescent="0.3">
      <c r="A432" s="6" t="s">
        <v>292</v>
      </c>
      <c r="B432" s="6" t="s">
        <v>2295</v>
      </c>
      <c r="C432" s="6" t="s">
        <v>2322</v>
      </c>
      <c r="D432" s="6" t="s">
        <v>2297</v>
      </c>
      <c r="E432" s="6" t="s">
        <v>2323</v>
      </c>
      <c r="F432" s="13" t="s">
        <v>2324</v>
      </c>
      <c r="G432" s="13" t="s">
        <v>2325</v>
      </c>
      <c r="H432" s="13" t="s">
        <v>2326</v>
      </c>
      <c r="I432" s="13"/>
      <c r="J432" s="7"/>
      <c r="K432" s="7"/>
      <c r="L432" s="7" t="s">
        <v>93</v>
      </c>
      <c r="M432" s="7" t="s">
        <v>93</v>
      </c>
      <c r="N432" s="10"/>
      <c r="O432" s="9" t="str">
        <f t="shared" si="6"/>
        <v/>
      </c>
      <c r="P432" s="11"/>
      <c r="Q432" s="12"/>
      <c r="R432" s="11"/>
      <c r="S432" s="7"/>
    </row>
    <row r="433" spans="1:19" ht="14.4" x14ac:dyDescent="0.3">
      <c r="A433" s="6" t="s">
        <v>292</v>
      </c>
      <c r="B433" s="6" t="s">
        <v>2295</v>
      </c>
      <c r="C433" s="6" t="s">
        <v>2328</v>
      </c>
      <c r="D433" s="6" t="s">
        <v>2297</v>
      </c>
      <c r="E433" s="6" t="s">
        <v>2329</v>
      </c>
      <c r="F433" s="13" t="s">
        <v>2330</v>
      </c>
      <c r="G433" s="13" t="s">
        <v>2331</v>
      </c>
      <c r="H433" s="13" t="s">
        <v>2332</v>
      </c>
      <c r="I433" s="13"/>
      <c r="J433" s="7"/>
      <c r="K433" s="7"/>
      <c r="L433" s="7" t="s">
        <v>93</v>
      </c>
      <c r="M433" s="7" t="s">
        <v>93</v>
      </c>
      <c r="N433" s="10"/>
      <c r="O433" s="9" t="str">
        <f t="shared" si="6"/>
        <v/>
      </c>
      <c r="P433" s="11"/>
      <c r="Q433" s="12"/>
      <c r="R433" s="11"/>
      <c r="S433" s="7"/>
    </row>
    <row r="434" spans="1:19" ht="14.4" x14ac:dyDescent="0.3">
      <c r="A434" s="6" t="s">
        <v>292</v>
      </c>
      <c r="B434" s="6" t="s">
        <v>2295</v>
      </c>
      <c r="C434" s="6" t="s">
        <v>2333</v>
      </c>
      <c r="D434" s="6" t="s">
        <v>2297</v>
      </c>
      <c r="E434" s="6" t="s">
        <v>2334</v>
      </c>
      <c r="F434" s="13" t="s">
        <v>2335</v>
      </c>
      <c r="G434" s="13" t="s">
        <v>1401</v>
      </c>
      <c r="H434" s="13" t="s">
        <v>2336</v>
      </c>
      <c r="I434" s="13"/>
      <c r="J434" s="7"/>
      <c r="K434" s="7"/>
      <c r="L434" s="7" t="s">
        <v>93</v>
      </c>
      <c r="M434" s="7" t="s">
        <v>93</v>
      </c>
      <c r="N434" s="10"/>
      <c r="O434" s="9" t="str">
        <f t="shared" si="6"/>
        <v/>
      </c>
      <c r="P434" s="11"/>
      <c r="Q434" s="12"/>
      <c r="R434" s="11"/>
      <c r="S434" s="7"/>
    </row>
    <row r="435" spans="1:19" ht="14.4" x14ac:dyDescent="0.3">
      <c r="A435" s="6" t="s">
        <v>292</v>
      </c>
      <c r="B435" s="6" t="s">
        <v>2295</v>
      </c>
      <c r="C435" s="6" t="s">
        <v>2337</v>
      </c>
      <c r="D435" s="6" t="s">
        <v>2297</v>
      </c>
      <c r="E435" s="6" t="s">
        <v>2338</v>
      </c>
      <c r="F435" s="13" t="s">
        <v>2339</v>
      </c>
      <c r="G435" s="13" t="s">
        <v>2340</v>
      </c>
      <c r="H435" s="13" t="s">
        <v>2341</v>
      </c>
      <c r="I435" s="13"/>
      <c r="J435" s="7"/>
      <c r="K435" s="7"/>
      <c r="L435" s="7" t="s">
        <v>93</v>
      </c>
      <c r="M435" s="7" t="s">
        <v>93</v>
      </c>
      <c r="N435" s="10"/>
      <c r="O435" s="9" t="str">
        <f t="shared" si="6"/>
        <v/>
      </c>
      <c r="P435" s="11"/>
      <c r="Q435" s="12"/>
      <c r="R435" s="11"/>
      <c r="S435" s="7"/>
    </row>
    <row r="436" spans="1:19" ht="14.4" x14ac:dyDescent="0.3">
      <c r="A436" s="6" t="s">
        <v>292</v>
      </c>
      <c r="B436" s="6" t="s">
        <v>2295</v>
      </c>
      <c r="C436" s="6" t="s">
        <v>2343</v>
      </c>
      <c r="D436" s="6" t="s">
        <v>2297</v>
      </c>
      <c r="E436" s="6" t="s">
        <v>2344</v>
      </c>
      <c r="F436" s="13" t="s">
        <v>2345</v>
      </c>
      <c r="G436" s="13" t="s">
        <v>1725</v>
      </c>
      <c r="H436" s="13" t="s">
        <v>2346</v>
      </c>
      <c r="I436" s="13"/>
      <c r="J436" s="7"/>
      <c r="K436" s="7"/>
      <c r="L436" s="7" t="s">
        <v>93</v>
      </c>
      <c r="M436" s="7" t="s">
        <v>93</v>
      </c>
      <c r="N436" s="10"/>
      <c r="O436" s="9" t="str">
        <f t="shared" si="6"/>
        <v/>
      </c>
      <c r="P436" s="11"/>
      <c r="Q436" s="12"/>
      <c r="R436" s="11"/>
      <c r="S436" s="7"/>
    </row>
    <row r="437" spans="1:19" ht="14.4" x14ac:dyDescent="0.3">
      <c r="A437" s="6" t="s">
        <v>292</v>
      </c>
      <c r="B437" s="6" t="s">
        <v>2295</v>
      </c>
      <c r="C437" s="6" t="s">
        <v>2347</v>
      </c>
      <c r="D437" s="6" t="s">
        <v>2297</v>
      </c>
      <c r="E437" s="6" t="s">
        <v>2348</v>
      </c>
      <c r="F437" s="13" t="s">
        <v>1532</v>
      </c>
      <c r="G437" s="13" t="s">
        <v>2349</v>
      </c>
      <c r="H437" s="13"/>
      <c r="I437" s="13"/>
      <c r="J437" s="7"/>
      <c r="K437" s="7"/>
      <c r="L437" s="7" t="s">
        <v>93</v>
      </c>
      <c r="M437" s="7" t="s">
        <v>93</v>
      </c>
      <c r="N437" s="10"/>
      <c r="O437" s="9" t="str">
        <f t="shared" si="6"/>
        <v/>
      </c>
      <c r="P437" s="11"/>
      <c r="Q437" s="12"/>
      <c r="R437" s="11"/>
      <c r="S437" s="7"/>
    </row>
    <row r="438" spans="1:19" ht="14.4" x14ac:dyDescent="0.3">
      <c r="A438" s="6" t="s">
        <v>292</v>
      </c>
      <c r="B438" s="6" t="s">
        <v>2295</v>
      </c>
      <c r="C438" s="6" t="s">
        <v>2350</v>
      </c>
      <c r="D438" s="6" t="s">
        <v>2297</v>
      </c>
      <c r="E438" s="6" t="s">
        <v>2351</v>
      </c>
      <c r="F438" s="13" t="s">
        <v>2352</v>
      </c>
      <c r="G438" s="13" t="s">
        <v>2353</v>
      </c>
      <c r="H438" s="13" t="s">
        <v>2354</v>
      </c>
      <c r="I438" s="13"/>
      <c r="J438" s="7"/>
      <c r="K438" s="7"/>
      <c r="L438" s="7" t="s">
        <v>93</v>
      </c>
      <c r="M438" s="7" t="s">
        <v>93</v>
      </c>
      <c r="N438" s="10"/>
      <c r="O438" s="9" t="str">
        <f t="shared" si="6"/>
        <v/>
      </c>
      <c r="P438" s="11"/>
      <c r="Q438" s="12"/>
      <c r="R438" s="11"/>
      <c r="S438" s="7"/>
    </row>
    <row r="439" spans="1:19" ht="14.4" x14ac:dyDescent="0.3">
      <c r="A439" s="6" t="s">
        <v>292</v>
      </c>
      <c r="B439" s="6" t="s">
        <v>2295</v>
      </c>
      <c r="C439" s="6" t="s">
        <v>2355</v>
      </c>
      <c r="D439" s="6" t="s">
        <v>2297</v>
      </c>
      <c r="E439" s="6" t="s">
        <v>2356</v>
      </c>
      <c r="F439" s="13" t="s">
        <v>2357</v>
      </c>
      <c r="G439" s="13" t="s">
        <v>2358</v>
      </c>
      <c r="H439" s="13" t="s">
        <v>2359</v>
      </c>
      <c r="I439" s="13"/>
      <c r="J439" s="7"/>
      <c r="K439" s="7"/>
      <c r="L439" s="7" t="s">
        <v>93</v>
      </c>
      <c r="M439" s="7" t="s">
        <v>93</v>
      </c>
      <c r="N439" s="10"/>
      <c r="O439" s="9" t="str">
        <f t="shared" si="6"/>
        <v/>
      </c>
      <c r="P439" s="11"/>
      <c r="Q439" s="12"/>
      <c r="R439" s="11"/>
      <c r="S439" s="7"/>
    </row>
    <row r="440" spans="1:19" ht="14.4" x14ac:dyDescent="0.3">
      <c r="A440" s="6" t="s">
        <v>292</v>
      </c>
      <c r="B440" s="6" t="s">
        <v>2295</v>
      </c>
      <c r="C440" s="6" t="s">
        <v>2360</v>
      </c>
      <c r="D440" s="6" t="s">
        <v>2297</v>
      </c>
      <c r="E440" s="6" t="s">
        <v>2361</v>
      </c>
      <c r="F440" s="13" t="s">
        <v>305</v>
      </c>
      <c r="G440" s="13" t="s">
        <v>1595</v>
      </c>
      <c r="H440" s="13"/>
      <c r="I440" s="13"/>
      <c r="J440" s="7"/>
      <c r="K440" s="7"/>
      <c r="L440" s="7" t="s">
        <v>93</v>
      </c>
      <c r="M440" s="7" t="s">
        <v>93</v>
      </c>
      <c r="N440" s="10"/>
      <c r="O440" s="9" t="str">
        <f t="shared" si="6"/>
        <v/>
      </c>
      <c r="P440" s="11"/>
      <c r="Q440" s="12"/>
      <c r="R440" s="11"/>
      <c r="S440" s="7"/>
    </row>
    <row r="441" spans="1:19" ht="14.4" x14ac:dyDescent="0.3">
      <c r="A441" s="6" t="s">
        <v>292</v>
      </c>
      <c r="B441" s="6" t="s">
        <v>2295</v>
      </c>
      <c r="C441" s="6" t="s">
        <v>2362</v>
      </c>
      <c r="D441" s="6" t="s">
        <v>2297</v>
      </c>
      <c r="E441" s="6" t="s">
        <v>2363</v>
      </c>
      <c r="F441" s="13" t="s">
        <v>2364</v>
      </c>
      <c r="G441" s="13" t="s">
        <v>546</v>
      </c>
      <c r="H441" s="13" t="s">
        <v>2365</v>
      </c>
      <c r="I441" s="13"/>
      <c r="J441" s="7"/>
      <c r="K441" s="7"/>
      <c r="L441" s="7" t="s">
        <v>93</v>
      </c>
      <c r="M441" s="7" t="s">
        <v>93</v>
      </c>
      <c r="N441" s="10"/>
      <c r="O441" s="9" t="str">
        <f t="shared" si="6"/>
        <v/>
      </c>
      <c r="P441" s="11"/>
      <c r="Q441" s="12"/>
      <c r="R441" s="11"/>
      <c r="S441" s="7"/>
    </row>
    <row r="442" spans="1:19" ht="14.4" x14ac:dyDescent="0.3">
      <c r="A442" s="6" t="s">
        <v>292</v>
      </c>
      <c r="B442" s="6" t="s">
        <v>2295</v>
      </c>
      <c r="C442" s="6" t="s">
        <v>2366</v>
      </c>
      <c r="D442" s="6" t="s">
        <v>2297</v>
      </c>
      <c r="E442" s="6" t="s">
        <v>2367</v>
      </c>
      <c r="F442" s="13" t="s">
        <v>2368</v>
      </c>
      <c r="G442" s="13" t="s">
        <v>2369</v>
      </c>
      <c r="H442" s="13" t="s">
        <v>2370</v>
      </c>
      <c r="I442" s="13"/>
      <c r="J442" s="7"/>
      <c r="K442" s="7"/>
      <c r="L442" s="7" t="s">
        <v>93</v>
      </c>
      <c r="M442" s="7" t="s">
        <v>93</v>
      </c>
      <c r="N442" s="10"/>
      <c r="O442" s="9" t="str">
        <f t="shared" si="6"/>
        <v/>
      </c>
      <c r="P442" s="11"/>
      <c r="Q442" s="12"/>
      <c r="R442" s="11"/>
      <c r="S442" s="7"/>
    </row>
    <row r="443" spans="1:19" ht="14.4" x14ac:dyDescent="0.3">
      <c r="A443" s="6" t="s">
        <v>292</v>
      </c>
      <c r="B443" s="6" t="s">
        <v>2295</v>
      </c>
      <c r="C443" s="6" t="s">
        <v>2371</v>
      </c>
      <c r="D443" s="6" t="s">
        <v>2297</v>
      </c>
      <c r="E443" s="6" t="s">
        <v>2372</v>
      </c>
      <c r="F443" s="13" t="s">
        <v>2373</v>
      </c>
      <c r="G443" s="13" t="s">
        <v>2374</v>
      </c>
      <c r="H443" s="13" t="s">
        <v>2375</v>
      </c>
      <c r="I443" s="13"/>
      <c r="J443" s="7"/>
      <c r="K443" s="7"/>
      <c r="L443" s="7" t="s">
        <v>93</v>
      </c>
      <c r="M443" s="7" t="s">
        <v>93</v>
      </c>
      <c r="N443" s="10"/>
      <c r="O443" s="9" t="str">
        <f t="shared" si="6"/>
        <v/>
      </c>
      <c r="P443" s="11"/>
      <c r="Q443" s="12"/>
      <c r="R443" s="11"/>
      <c r="S443" s="7"/>
    </row>
    <row r="444" spans="1:19" ht="14.4" x14ac:dyDescent="0.3">
      <c r="A444" s="6" t="s">
        <v>292</v>
      </c>
      <c r="B444" s="6" t="s">
        <v>2295</v>
      </c>
      <c r="C444" s="6" t="s">
        <v>2376</v>
      </c>
      <c r="D444" s="6" t="s">
        <v>2297</v>
      </c>
      <c r="E444" s="6" t="s">
        <v>2377</v>
      </c>
      <c r="F444" s="13" t="s">
        <v>272</v>
      </c>
      <c r="G444" s="13" t="s">
        <v>1357</v>
      </c>
      <c r="H444" s="13" t="s">
        <v>717</v>
      </c>
      <c r="I444" s="13"/>
      <c r="J444" s="7"/>
      <c r="K444" s="7"/>
      <c r="L444" s="7" t="s">
        <v>93</v>
      </c>
      <c r="M444" s="7" t="s">
        <v>93</v>
      </c>
      <c r="N444" s="10"/>
      <c r="O444" s="9" t="str">
        <f t="shared" si="6"/>
        <v/>
      </c>
      <c r="P444" s="11"/>
      <c r="Q444" s="12"/>
      <c r="R444" s="11"/>
      <c r="S444" s="7"/>
    </row>
    <row r="445" spans="1:19" ht="14.4" x14ac:dyDescent="0.3">
      <c r="A445" s="6" t="s">
        <v>292</v>
      </c>
      <c r="B445" s="6" t="s">
        <v>2295</v>
      </c>
      <c r="C445" s="6" t="s">
        <v>2378</v>
      </c>
      <c r="D445" s="6" t="s">
        <v>2297</v>
      </c>
      <c r="E445" s="6" t="s">
        <v>2379</v>
      </c>
      <c r="F445" s="13" t="s">
        <v>2380</v>
      </c>
      <c r="G445" s="13" t="s">
        <v>1315</v>
      </c>
      <c r="H445" s="13" t="s">
        <v>2381</v>
      </c>
      <c r="I445" s="13"/>
      <c r="J445" s="7"/>
      <c r="K445" s="7"/>
      <c r="L445" s="7" t="s">
        <v>93</v>
      </c>
      <c r="M445" s="7" t="s">
        <v>93</v>
      </c>
      <c r="N445" s="10"/>
      <c r="O445" s="9" t="str">
        <f t="shared" si="6"/>
        <v/>
      </c>
      <c r="P445" s="11"/>
      <c r="Q445" s="12"/>
      <c r="R445" s="11"/>
      <c r="S445" s="7"/>
    </row>
    <row r="446" spans="1:19" ht="14.4" x14ac:dyDescent="0.3">
      <c r="A446" s="6" t="s">
        <v>292</v>
      </c>
      <c r="B446" s="6" t="s">
        <v>2295</v>
      </c>
      <c r="C446" s="6" t="s">
        <v>2382</v>
      </c>
      <c r="D446" s="6" t="s">
        <v>2297</v>
      </c>
      <c r="E446" s="6" t="s">
        <v>2383</v>
      </c>
      <c r="F446" s="13" t="s">
        <v>2384</v>
      </c>
      <c r="G446" s="13" t="s">
        <v>2385</v>
      </c>
      <c r="H446" s="13" t="s">
        <v>2386</v>
      </c>
      <c r="I446" s="13"/>
      <c r="J446" s="7"/>
      <c r="K446" s="7"/>
      <c r="L446" s="7" t="s">
        <v>93</v>
      </c>
      <c r="M446" s="7" t="s">
        <v>93</v>
      </c>
      <c r="N446" s="10"/>
      <c r="O446" s="9" t="str">
        <f t="shared" si="6"/>
        <v/>
      </c>
      <c r="P446" s="11"/>
      <c r="Q446" s="12"/>
      <c r="R446" s="11"/>
      <c r="S446" s="7"/>
    </row>
    <row r="447" spans="1:19" ht="14.4" x14ac:dyDescent="0.3">
      <c r="A447" s="6" t="s">
        <v>292</v>
      </c>
      <c r="B447" s="6" t="s">
        <v>2295</v>
      </c>
      <c r="C447" s="6" t="s">
        <v>2387</v>
      </c>
      <c r="D447" s="6" t="s">
        <v>2297</v>
      </c>
      <c r="E447" s="6" t="s">
        <v>2388</v>
      </c>
      <c r="F447" s="13" t="s">
        <v>2389</v>
      </c>
      <c r="G447" s="13" t="s">
        <v>2390</v>
      </c>
      <c r="H447" s="13" t="s">
        <v>2391</v>
      </c>
      <c r="I447" s="13"/>
      <c r="J447" s="7"/>
      <c r="K447" s="7"/>
      <c r="L447" s="7" t="s">
        <v>93</v>
      </c>
      <c r="M447" s="7" t="s">
        <v>93</v>
      </c>
      <c r="N447" s="10"/>
      <c r="O447" s="9" t="str">
        <f t="shared" si="6"/>
        <v/>
      </c>
      <c r="P447" s="11"/>
      <c r="Q447" s="12"/>
      <c r="R447" s="11"/>
      <c r="S447" s="7"/>
    </row>
    <row r="448" spans="1:19" ht="14.4" x14ac:dyDescent="0.3">
      <c r="A448" s="6" t="s">
        <v>292</v>
      </c>
      <c r="B448" s="6" t="s">
        <v>2295</v>
      </c>
      <c r="C448" s="6" t="s">
        <v>2392</v>
      </c>
      <c r="D448" s="6" t="s">
        <v>2297</v>
      </c>
      <c r="E448" s="6" t="s">
        <v>2393</v>
      </c>
      <c r="F448" s="13" t="s">
        <v>1562</v>
      </c>
      <c r="G448" s="13" t="s">
        <v>241</v>
      </c>
      <c r="H448" s="13"/>
      <c r="I448" s="13"/>
      <c r="J448" s="7"/>
      <c r="K448" s="7"/>
      <c r="L448" s="7" t="s">
        <v>93</v>
      </c>
      <c r="M448" s="7" t="s">
        <v>93</v>
      </c>
      <c r="N448" s="10"/>
      <c r="O448" s="9" t="str">
        <f t="shared" si="6"/>
        <v/>
      </c>
      <c r="P448" s="11"/>
      <c r="Q448" s="12"/>
      <c r="R448" s="11"/>
      <c r="S448" s="7"/>
    </row>
    <row r="449" spans="1:19" ht="14.4" x14ac:dyDescent="0.3">
      <c r="A449" s="6" t="s">
        <v>292</v>
      </c>
      <c r="B449" s="6" t="s">
        <v>2394</v>
      </c>
      <c r="C449" s="6" t="s">
        <v>2395</v>
      </c>
      <c r="D449" s="6" t="s">
        <v>2396</v>
      </c>
      <c r="E449" s="6" t="s">
        <v>2397</v>
      </c>
      <c r="F449" s="13" t="s">
        <v>2398</v>
      </c>
      <c r="G449" s="13" t="s">
        <v>2399</v>
      </c>
      <c r="H449" s="13" t="s">
        <v>2400</v>
      </c>
      <c r="I449" s="13"/>
      <c r="J449" s="7"/>
      <c r="K449" s="7"/>
      <c r="L449" s="7" t="s">
        <v>93</v>
      </c>
      <c r="M449" s="7" t="s">
        <v>93</v>
      </c>
      <c r="N449" s="10"/>
      <c r="O449" s="9" t="str">
        <f t="shared" si="6"/>
        <v/>
      </c>
      <c r="P449" s="11"/>
      <c r="Q449" s="12"/>
      <c r="R449" s="11"/>
      <c r="S449" s="7"/>
    </row>
    <row r="450" spans="1:19" ht="14.4" x14ac:dyDescent="0.3">
      <c r="A450" s="6" t="s">
        <v>292</v>
      </c>
      <c r="B450" s="6" t="s">
        <v>2394</v>
      </c>
      <c r="C450" s="6" t="s">
        <v>2401</v>
      </c>
      <c r="D450" s="6" t="s">
        <v>2396</v>
      </c>
      <c r="E450" s="6" t="s">
        <v>2402</v>
      </c>
      <c r="F450" s="13" t="s">
        <v>2403</v>
      </c>
      <c r="G450" s="13" t="s">
        <v>2404</v>
      </c>
      <c r="H450" s="13" t="s">
        <v>2405</v>
      </c>
      <c r="I450" s="13" t="s">
        <v>2406</v>
      </c>
      <c r="J450" s="7"/>
      <c r="K450" s="7"/>
      <c r="L450" s="7" t="s">
        <v>93</v>
      </c>
      <c r="M450" s="7" t="s">
        <v>93</v>
      </c>
      <c r="N450" s="10"/>
      <c r="O450" s="9" t="str">
        <f t="shared" ref="O450:O513" si="7">IF(L450="oui","incomplet",IF(OR(J450="non",K450="non"),"a_regulariser",IF(AND(J450="oui",K450="oui"),"ok","")))</f>
        <v/>
      </c>
      <c r="P450" s="11"/>
      <c r="Q450" s="12"/>
      <c r="R450" s="11"/>
      <c r="S450" s="7"/>
    </row>
    <row r="451" spans="1:19" ht="14.4" x14ac:dyDescent="0.3">
      <c r="A451" s="6" t="s">
        <v>292</v>
      </c>
      <c r="B451" s="6" t="s">
        <v>2394</v>
      </c>
      <c r="C451" s="6" t="s">
        <v>2407</v>
      </c>
      <c r="D451" s="6" t="s">
        <v>2396</v>
      </c>
      <c r="E451" s="6" t="s">
        <v>2408</v>
      </c>
      <c r="F451" s="13" t="s">
        <v>2409</v>
      </c>
      <c r="G451" s="13" t="s">
        <v>759</v>
      </c>
      <c r="H451" s="13" t="s">
        <v>2410</v>
      </c>
      <c r="I451" s="13"/>
      <c r="J451" s="7"/>
      <c r="K451" s="7"/>
      <c r="L451" s="7" t="s">
        <v>93</v>
      </c>
      <c r="M451" s="7" t="s">
        <v>93</v>
      </c>
      <c r="N451" s="10"/>
      <c r="O451" s="9" t="str">
        <f t="shared" si="7"/>
        <v/>
      </c>
      <c r="P451" s="11"/>
      <c r="Q451" s="12"/>
      <c r="R451" s="11"/>
      <c r="S451" s="7"/>
    </row>
    <row r="452" spans="1:19" ht="14.4" x14ac:dyDescent="0.3">
      <c r="A452" s="6" t="s">
        <v>292</v>
      </c>
      <c r="B452" s="6" t="s">
        <v>2394</v>
      </c>
      <c r="C452" s="6" t="s">
        <v>2411</v>
      </c>
      <c r="D452" s="6" t="s">
        <v>2396</v>
      </c>
      <c r="E452" s="6" t="s">
        <v>2412</v>
      </c>
      <c r="F452" s="13" t="s">
        <v>2413</v>
      </c>
      <c r="G452" s="13" t="s">
        <v>2414</v>
      </c>
      <c r="H452" s="13" t="s">
        <v>2415</v>
      </c>
      <c r="I452" s="13"/>
      <c r="J452" s="7"/>
      <c r="K452" s="7"/>
      <c r="L452" s="7" t="s">
        <v>93</v>
      </c>
      <c r="M452" s="7" t="s">
        <v>93</v>
      </c>
      <c r="N452" s="10"/>
      <c r="O452" s="9" t="str">
        <f t="shared" si="7"/>
        <v/>
      </c>
      <c r="P452" s="11"/>
      <c r="Q452" s="12"/>
      <c r="R452" s="11"/>
      <c r="S452" s="7"/>
    </row>
    <row r="453" spans="1:19" ht="14.4" x14ac:dyDescent="0.3">
      <c r="A453" s="6" t="s">
        <v>292</v>
      </c>
      <c r="B453" s="6" t="s">
        <v>2394</v>
      </c>
      <c r="C453" s="6" t="s">
        <v>2416</v>
      </c>
      <c r="D453" s="6" t="s">
        <v>2396</v>
      </c>
      <c r="E453" s="6" t="s">
        <v>2417</v>
      </c>
      <c r="F453" s="13" t="s">
        <v>1016</v>
      </c>
      <c r="G453" s="13" t="s">
        <v>1620</v>
      </c>
      <c r="H453" s="13" t="s">
        <v>2418</v>
      </c>
      <c r="I453" s="13"/>
      <c r="J453" s="7"/>
      <c r="K453" s="7"/>
      <c r="L453" s="7" t="s">
        <v>93</v>
      </c>
      <c r="M453" s="7" t="s">
        <v>93</v>
      </c>
      <c r="N453" s="10"/>
      <c r="O453" s="9" t="str">
        <f t="shared" si="7"/>
        <v/>
      </c>
      <c r="P453" s="11"/>
      <c r="Q453" s="12"/>
      <c r="R453" s="11"/>
      <c r="S453" s="7"/>
    </row>
    <row r="454" spans="1:19" ht="14.4" x14ac:dyDescent="0.3">
      <c r="A454" s="6" t="s">
        <v>292</v>
      </c>
      <c r="B454" s="6" t="s">
        <v>2394</v>
      </c>
      <c r="C454" s="6" t="s">
        <v>2419</v>
      </c>
      <c r="D454" s="6" t="s">
        <v>2396</v>
      </c>
      <c r="E454" s="6" t="s">
        <v>2420</v>
      </c>
      <c r="F454" s="13" t="s">
        <v>444</v>
      </c>
      <c r="G454" s="13" t="s">
        <v>2421</v>
      </c>
      <c r="H454" s="13"/>
      <c r="I454" s="13"/>
      <c r="J454" s="7"/>
      <c r="K454" s="7"/>
      <c r="L454" s="7" t="s">
        <v>93</v>
      </c>
      <c r="M454" s="7" t="s">
        <v>93</v>
      </c>
      <c r="N454" s="10"/>
      <c r="O454" s="9" t="str">
        <f t="shared" si="7"/>
        <v/>
      </c>
      <c r="P454" s="11"/>
      <c r="Q454" s="12"/>
      <c r="R454" s="11"/>
      <c r="S454" s="7"/>
    </row>
    <row r="455" spans="1:19" ht="14.4" x14ac:dyDescent="0.3">
      <c r="A455" s="6" t="s">
        <v>292</v>
      </c>
      <c r="B455" s="6" t="s">
        <v>2394</v>
      </c>
      <c r="C455" s="6" t="s">
        <v>2422</v>
      </c>
      <c r="D455" s="6" t="s">
        <v>2396</v>
      </c>
      <c r="E455" s="6" t="s">
        <v>2423</v>
      </c>
      <c r="F455" s="13" t="s">
        <v>2424</v>
      </c>
      <c r="G455" s="13" t="s">
        <v>994</v>
      </c>
      <c r="H455" s="13" t="s">
        <v>2425</v>
      </c>
      <c r="I455" s="13"/>
      <c r="J455" s="7"/>
      <c r="K455" s="7"/>
      <c r="L455" s="7" t="s">
        <v>93</v>
      </c>
      <c r="M455" s="7" t="s">
        <v>93</v>
      </c>
      <c r="N455" s="10"/>
      <c r="O455" s="9" t="str">
        <f t="shared" si="7"/>
        <v/>
      </c>
      <c r="P455" s="11"/>
      <c r="Q455" s="12"/>
      <c r="R455" s="11"/>
      <c r="S455" s="7"/>
    </row>
    <row r="456" spans="1:19" ht="14.4" x14ac:dyDescent="0.3">
      <c r="A456" s="6" t="s">
        <v>292</v>
      </c>
      <c r="B456" s="6" t="s">
        <v>2394</v>
      </c>
      <c r="C456" s="6" t="s">
        <v>2426</v>
      </c>
      <c r="D456" s="6" t="s">
        <v>2396</v>
      </c>
      <c r="E456" s="6" t="s">
        <v>2427</v>
      </c>
      <c r="F456" s="13" t="s">
        <v>630</v>
      </c>
      <c r="G456" s="13" t="s">
        <v>2428</v>
      </c>
      <c r="H456" s="13" t="s">
        <v>2429</v>
      </c>
      <c r="I456" s="13"/>
      <c r="J456" s="7"/>
      <c r="K456" s="7"/>
      <c r="L456" s="7" t="s">
        <v>93</v>
      </c>
      <c r="M456" s="7" t="s">
        <v>93</v>
      </c>
      <c r="N456" s="10"/>
      <c r="O456" s="9" t="str">
        <f t="shared" si="7"/>
        <v/>
      </c>
      <c r="P456" s="11"/>
      <c r="Q456" s="12"/>
      <c r="R456" s="11"/>
      <c r="S456" s="7"/>
    </row>
    <row r="457" spans="1:19" ht="14.4" x14ac:dyDescent="0.3">
      <c r="A457" s="6" t="s">
        <v>292</v>
      </c>
      <c r="B457" s="6" t="s">
        <v>2394</v>
      </c>
      <c r="C457" s="6" t="s">
        <v>2430</v>
      </c>
      <c r="D457" s="6" t="s">
        <v>2396</v>
      </c>
      <c r="E457" s="6" t="s">
        <v>2431</v>
      </c>
      <c r="F457" s="13" t="s">
        <v>789</v>
      </c>
      <c r="G457" s="13" t="s">
        <v>226</v>
      </c>
      <c r="H457" s="13" t="s">
        <v>2432</v>
      </c>
      <c r="I457" s="13"/>
      <c r="J457" s="7"/>
      <c r="K457" s="7"/>
      <c r="L457" s="7" t="s">
        <v>93</v>
      </c>
      <c r="M457" s="7" t="s">
        <v>93</v>
      </c>
      <c r="N457" s="10"/>
      <c r="O457" s="9" t="str">
        <f t="shared" si="7"/>
        <v/>
      </c>
      <c r="P457" s="11"/>
      <c r="Q457" s="12"/>
      <c r="R457" s="11"/>
      <c r="S457" s="7"/>
    </row>
    <row r="458" spans="1:19" ht="14.4" x14ac:dyDescent="0.3">
      <c r="A458" s="6" t="s">
        <v>292</v>
      </c>
      <c r="B458" s="6" t="s">
        <v>2394</v>
      </c>
      <c r="C458" s="6" t="s">
        <v>2433</v>
      </c>
      <c r="D458" s="6" t="s">
        <v>2396</v>
      </c>
      <c r="E458" s="6" t="s">
        <v>2434</v>
      </c>
      <c r="F458" s="13" t="s">
        <v>2435</v>
      </c>
      <c r="G458" s="13" t="s">
        <v>2436</v>
      </c>
      <c r="H458" s="13" t="s">
        <v>2437</v>
      </c>
      <c r="I458" s="13" t="s">
        <v>2438</v>
      </c>
      <c r="J458" s="7"/>
      <c r="K458" s="7"/>
      <c r="L458" s="7" t="s">
        <v>93</v>
      </c>
      <c r="M458" s="7" t="s">
        <v>93</v>
      </c>
      <c r="N458" s="10"/>
      <c r="O458" s="9" t="str">
        <f t="shared" si="7"/>
        <v/>
      </c>
      <c r="P458" s="11"/>
      <c r="Q458" s="12"/>
      <c r="R458" s="11"/>
      <c r="S458" s="7"/>
    </row>
    <row r="459" spans="1:19" ht="14.4" x14ac:dyDescent="0.3">
      <c r="A459" s="6" t="s">
        <v>292</v>
      </c>
      <c r="B459" s="6" t="s">
        <v>2394</v>
      </c>
      <c r="C459" s="6" t="s">
        <v>2439</v>
      </c>
      <c r="D459" s="6" t="s">
        <v>2396</v>
      </c>
      <c r="E459" s="6" t="s">
        <v>2440</v>
      </c>
      <c r="F459" s="13" t="s">
        <v>2435</v>
      </c>
      <c r="G459" s="13" t="s">
        <v>2441</v>
      </c>
      <c r="H459" s="13" t="s">
        <v>2442</v>
      </c>
      <c r="I459" s="13" t="s">
        <v>2443</v>
      </c>
      <c r="J459" s="7"/>
      <c r="K459" s="7"/>
      <c r="L459" s="7" t="s">
        <v>93</v>
      </c>
      <c r="M459" s="7" t="s">
        <v>93</v>
      </c>
      <c r="N459" s="10"/>
      <c r="O459" s="9" t="str">
        <f t="shared" si="7"/>
        <v/>
      </c>
      <c r="P459" s="11"/>
      <c r="Q459" s="12"/>
      <c r="R459" s="11"/>
      <c r="S459" s="7"/>
    </row>
    <row r="460" spans="1:19" ht="14.4" x14ac:dyDescent="0.3">
      <c r="A460" s="6" t="s">
        <v>292</v>
      </c>
      <c r="B460" s="6" t="s">
        <v>2394</v>
      </c>
      <c r="C460" s="6" t="s">
        <v>2444</v>
      </c>
      <c r="D460" s="6" t="s">
        <v>2396</v>
      </c>
      <c r="E460" s="6" t="s">
        <v>2445</v>
      </c>
      <c r="F460" s="13" t="s">
        <v>720</v>
      </c>
      <c r="G460" s="13" t="s">
        <v>2446</v>
      </c>
      <c r="H460" s="13" t="s">
        <v>2447</v>
      </c>
      <c r="I460" s="13"/>
      <c r="J460" s="7"/>
      <c r="K460" s="7"/>
      <c r="L460" s="7" t="s">
        <v>93</v>
      </c>
      <c r="M460" s="7" t="s">
        <v>93</v>
      </c>
      <c r="N460" s="10"/>
      <c r="O460" s="9" t="str">
        <f t="shared" si="7"/>
        <v/>
      </c>
      <c r="P460" s="11"/>
      <c r="Q460" s="12"/>
      <c r="R460" s="11"/>
      <c r="S460" s="7"/>
    </row>
    <row r="461" spans="1:19" ht="14.4" x14ac:dyDescent="0.3">
      <c r="A461" s="6" t="s">
        <v>292</v>
      </c>
      <c r="B461" s="6" t="s">
        <v>2394</v>
      </c>
      <c r="C461" s="6" t="s">
        <v>2448</v>
      </c>
      <c r="D461" s="6" t="s">
        <v>2396</v>
      </c>
      <c r="E461" s="6" t="s">
        <v>2449</v>
      </c>
      <c r="F461" s="13" t="s">
        <v>2450</v>
      </c>
      <c r="G461" s="13" t="s">
        <v>259</v>
      </c>
      <c r="H461" s="13" t="s">
        <v>2451</v>
      </c>
      <c r="I461" s="13"/>
      <c r="J461" s="7"/>
      <c r="K461" s="7"/>
      <c r="L461" s="7" t="s">
        <v>93</v>
      </c>
      <c r="M461" s="7" t="s">
        <v>93</v>
      </c>
      <c r="N461" s="10"/>
      <c r="O461" s="9" t="str">
        <f t="shared" si="7"/>
        <v/>
      </c>
      <c r="P461" s="11"/>
      <c r="Q461" s="12"/>
      <c r="R461" s="11"/>
      <c r="S461" s="7"/>
    </row>
    <row r="462" spans="1:19" ht="14.4" x14ac:dyDescent="0.3">
      <c r="A462" s="6" t="s">
        <v>292</v>
      </c>
      <c r="B462" s="6" t="s">
        <v>2394</v>
      </c>
      <c r="C462" s="6" t="s">
        <v>2452</v>
      </c>
      <c r="D462" s="6" t="s">
        <v>2396</v>
      </c>
      <c r="E462" s="6" t="s">
        <v>2453</v>
      </c>
      <c r="F462" s="13" t="s">
        <v>1121</v>
      </c>
      <c r="G462" s="13" t="s">
        <v>2454</v>
      </c>
      <c r="H462" s="13" t="s">
        <v>2455</v>
      </c>
      <c r="I462" s="13" t="s">
        <v>2456</v>
      </c>
      <c r="J462" s="7"/>
      <c r="K462" s="7"/>
      <c r="L462" s="7" t="s">
        <v>93</v>
      </c>
      <c r="M462" s="7" t="s">
        <v>93</v>
      </c>
      <c r="N462" s="10"/>
      <c r="O462" s="9" t="str">
        <f t="shared" si="7"/>
        <v/>
      </c>
      <c r="P462" s="11"/>
      <c r="Q462" s="12"/>
      <c r="R462" s="11"/>
      <c r="S462" s="7"/>
    </row>
    <row r="463" spans="1:19" ht="14.4" x14ac:dyDescent="0.3">
      <c r="A463" s="6" t="s">
        <v>292</v>
      </c>
      <c r="B463" s="6" t="s">
        <v>2394</v>
      </c>
      <c r="C463" s="6" t="s">
        <v>2457</v>
      </c>
      <c r="D463" s="6" t="s">
        <v>2396</v>
      </c>
      <c r="E463" s="6" t="s">
        <v>2458</v>
      </c>
      <c r="F463" s="13" t="s">
        <v>2459</v>
      </c>
      <c r="G463" s="13" t="s">
        <v>1037</v>
      </c>
      <c r="H463" s="13" t="s">
        <v>2460</v>
      </c>
      <c r="I463" s="13"/>
      <c r="J463" s="7"/>
      <c r="K463" s="7"/>
      <c r="L463" s="7" t="s">
        <v>93</v>
      </c>
      <c r="M463" s="7" t="s">
        <v>93</v>
      </c>
      <c r="N463" s="10"/>
      <c r="O463" s="9" t="str">
        <f t="shared" si="7"/>
        <v/>
      </c>
      <c r="P463" s="11"/>
      <c r="Q463" s="12"/>
      <c r="R463" s="11"/>
      <c r="S463" s="7"/>
    </row>
    <row r="464" spans="1:19" ht="14.4" x14ac:dyDescent="0.3">
      <c r="A464" s="6" t="s">
        <v>292</v>
      </c>
      <c r="B464" s="6" t="s">
        <v>2461</v>
      </c>
      <c r="C464" s="6" t="s">
        <v>2462</v>
      </c>
      <c r="D464" s="6" t="s">
        <v>2463</v>
      </c>
      <c r="E464" s="6" t="s">
        <v>2464</v>
      </c>
      <c r="F464" s="13" t="s">
        <v>697</v>
      </c>
      <c r="G464" s="13" t="s">
        <v>2465</v>
      </c>
      <c r="H464" s="13" t="s">
        <v>2466</v>
      </c>
      <c r="I464" s="13"/>
      <c r="J464" s="7"/>
      <c r="K464" s="7"/>
      <c r="L464" s="7" t="s">
        <v>93</v>
      </c>
      <c r="M464" s="7" t="s">
        <v>93</v>
      </c>
      <c r="N464" s="10"/>
      <c r="O464" s="9" t="str">
        <f t="shared" si="7"/>
        <v/>
      </c>
      <c r="P464" s="11"/>
      <c r="Q464" s="12"/>
      <c r="R464" s="11"/>
      <c r="S464" s="7"/>
    </row>
    <row r="465" spans="1:19" ht="14.4" x14ac:dyDescent="0.3">
      <c r="A465" s="6" t="s">
        <v>292</v>
      </c>
      <c r="B465" s="6" t="s">
        <v>2461</v>
      </c>
      <c r="C465" s="6" t="s">
        <v>2467</v>
      </c>
      <c r="D465" s="6" t="s">
        <v>2463</v>
      </c>
      <c r="E465" s="6" t="s">
        <v>2468</v>
      </c>
      <c r="F465" s="13" t="s">
        <v>697</v>
      </c>
      <c r="G465" s="13" t="s">
        <v>2469</v>
      </c>
      <c r="H465" s="13" t="s">
        <v>2470</v>
      </c>
      <c r="I465" s="13" t="s">
        <v>2471</v>
      </c>
      <c r="J465" s="7"/>
      <c r="K465" s="7"/>
      <c r="L465" s="7" t="s">
        <v>93</v>
      </c>
      <c r="M465" s="7" t="s">
        <v>93</v>
      </c>
      <c r="N465" s="10"/>
      <c r="O465" s="9" t="str">
        <f t="shared" si="7"/>
        <v/>
      </c>
      <c r="P465" s="11"/>
      <c r="Q465" s="12"/>
      <c r="R465" s="11"/>
      <c r="S465" s="7"/>
    </row>
    <row r="466" spans="1:19" ht="14.4" x14ac:dyDescent="0.3">
      <c r="A466" s="6" t="s">
        <v>292</v>
      </c>
      <c r="B466" s="6" t="s">
        <v>2461</v>
      </c>
      <c r="C466" s="6" t="s">
        <v>2472</v>
      </c>
      <c r="D466" s="6" t="s">
        <v>2463</v>
      </c>
      <c r="E466" s="6" t="s">
        <v>2473</v>
      </c>
      <c r="F466" s="13" t="s">
        <v>416</v>
      </c>
      <c r="G466" s="13" t="s">
        <v>2474</v>
      </c>
      <c r="H466" s="13" t="s">
        <v>2475</v>
      </c>
      <c r="I466" s="13" t="s">
        <v>401</v>
      </c>
      <c r="J466" s="7"/>
      <c r="K466" s="7"/>
      <c r="L466" s="7" t="s">
        <v>93</v>
      </c>
      <c r="M466" s="7" t="s">
        <v>93</v>
      </c>
      <c r="N466" s="10"/>
      <c r="O466" s="9" t="str">
        <f t="shared" si="7"/>
        <v/>
      </c>
      <c r="P466" s="11"/>
      <c r="Q466" s="12"/>
      <c r="R466" s="11"/>
      <c r="S466" s="7"/>
    </row>
    <row r="467" spans="1:19" ht="14.4" x14ac:dyDescent="0.3">
      <c r="A467" s="6" t="s">
        <v>292</v>
      </c>
      <c r="B467" s="6" t="s">
        <v>2461</v>
      </c>
      <c r="C467" s="6" t="s">
        <v>2476</v>
      </c>
      <c r="D467" s="6" t="s">
        <v>2463</v>
      </c>
      <c r="E467" s="6" t="s">
        <v>2477</v>
      </c>
      <c r="F467" s="13" t="s">
        <v>658</v>
      </c>
      <c r="G467" s="13" t="s">
        <v>1653</v>
      </c>
      <c r="H467" s="13" t="s">
        <v>2478</v>
      </c>
      <c r="I467" s="13"/>
      <c r="J467" s="7"/>
      <c r="K467" s="7"/>
      <c r="L467" s="7" t="s">
        <v>93</v>
      </c>
      <c r="M467" s="7" t="s">
        <v>93</v>
      </c>
      <c r="N467" s="10"/>
      <c r="O467" s="9" t="str">
        <f t="shared" si="7"/>
        <v/>
      </c>
      <c r="P467" s="11"/>
      <c r="Q467" s="12"/>
      <c r="R467" s="11"/>
      <c r="S467" s="7"/>
    </row>
    <row r="468" spans="1:19" ht="14.4" x14ac:dyDescent="0.3">
      <c r="A468" s="6" t="s">
        <v>270</v>
      </c>
      <c r="B468" s="6" t="s">
        <v>2480</v>
      </c>
      <c r="C468" s="6" t="s">
        <v>2481</v>
      </c>
      <c r="D468" s="6" t="s">
        <v>2482</v>
      </c>
      <c r="E468" s="6" t="s">
        <v>2483</v>
      </c>
      <c r="F468" s="13" t="s">
        <v>2484</v>
      </c>
      <c r="G468" s="13" t="s">
        <v>2485</v>
      </c>
      <c r="H468" s="13" t="s">
        <v>2486</v>
      </c>
      <c r="I468" s="13" t="s">
        <v>2487</v>
      </c>
      <c r="J468" s="7"/>
      <c r="K468" s="7"/>
      <c r="L468" s="7" t="s">
        <v>93</v>
      </c>
      <c r="M468" s="7" t="s">
        <v>93</v>
      </c>
      <c r="N468" s="10"/>
      <c r="O468" s="9" t="str">
        <f t="shared" si="7"/>
        <v/>
      </c>
      <c r="P468" s="11"/>
      <c r="Q468" s="12"/>
      <c r="R468" s="11"/>
      <c r="S468" s="7"/>
    </row>
    <row r="469" spans="1:19" ht="14.4" x14ac:dyDescent="0.3">
      <c r="A469" s="6" t="s">
        <v>270</v>
      </c>
      <c r="B469" s="6" t="s">
        <v>2480</v>
      </c>
      <c r="C469" s="6" t="s">
        <v>2488</v>
      </c>
      <c r="D469" s="6" t="s">
        <v>2482</v>
      </c>
      <c r="E469" s="6" t="s">
        <v>2489</v>
      </c>
      <c r="F469" s="13" t="s">
        <v>1063</v>
      </c>
      <c r="G469" s="13" t="s">
        <v>2490</v>
      </c>
      <c r="H469" s="13" t="s">
        <v>2491</v>
      </c>
      <c r="I469" s="13"/>
      <c r="J469" s="7"/>
      <c r="K469" s="7"/>
      <c r="L469" s="7" t="s">
        <v>93</v>
      </c>
      <c r="M469" s="7" t="s">
        <v>93</v>
      </c>
      <c r="N469" s="10"/>
      <c r="O469" s="9" t="str">
        <f t="shared" si="7"/>
        <v/>
      </c>
      <c r="P469" s="11"/>
      <c r="Q469" s="12"/>
      <c r="R469" s="11"/>
      <c r="S469" s="7"/>
    </row>
    <row r="470" spans="1:19" ht="14.4" x14ac:dyDescent="0.3">
      <c r="A470" s="6" t="s">
        <v>270</v>
      </c>
      <c r="B470" s="6" t="s">
        <v>2480</v>
      </c>
      <c r="C470" s="6" t="s">
        <v>2493</v>
      </c>
      <c r="D470" s="6" t="s">
        <v>2482</v>
      </c>
      <c r="E470" s="6" t="s">
        <v>2494</v>
      </c>
      <c r="F470" s="13" t="s">
        <v>299</v>
      </c>
      <c r="G470" s="13" t="s">
        <v>1684</v>
      </c>
      <c r="H470" s="13" t="s">
        <v>2495</v>
      </c>
      <c r="I470" s="13"/>
      <c r="J470" s="7"/>
      <c r="K470" s="7"/>
      <c r="L470" s="7" t="s">
        <v>93</v>
      </c>
      <c r="M470" s="7" t="s">
        <v>93</v>
      </c>
      <c r="N470" s="10"/>
      <c r="O470" s="9" t="str">
        <f t="shared" si="7"/>
        <v/>
      </c>
      <c r="P470" s="11"/>
      <c r="Q470" s="12"/>
      <c r="R470" s="11"/>
      <c r="S470" s="7"/>
    </row>
    <row r="471" spans="1:19" ht="14.4" x14ac:dyDescent="0.3">
      <c r="A471" s="6" t="s">
        <v>270</v>
      </c>
      <c r="B471" s="6" t="s">
        <v>2480</v>
      </c>
      <c r="C471" s="6" t="s">
        <v>2496</v>
      </c>
      <c r="D471" s="6" t="s">
        <v>2482</v>
      </c>
      <c r="E471" s="6" t="s">
        <v>2497</v>
      </c>
      <c r="F471" s="13" t="s">
        <v>334</v>
      </c>
      <c r="G471" s="13" t="s">
        <v>2498</v>
      </c>
      <c r="H471" s="13" t="s">
        <v>2499</v>
      </c>
      <c r="I471" s="13"/>
      <c r="J471" s="7"/>
      <c r="K471" s="7"/>
      <c r="L471" s="7" t="s">
        <v>93</v>
      </c>
      <c r="M471" s="7" t="s">
        <v>93</v>
      </c>
      <c r="N471" s="10"/>
      <c r="O471" s="9" t="str">
        <f t="shared" si="7"/>
        <v/>
      </c>
      <c r="P471" s="11"/>
      <c r="Q471" s="12"/>
      <c r="R471" s="11"/>
      <c r="S471" s="7"/>
    </row>
    <row r="472" spans="1:19" ht="14.4" x14ac:dyDescent="0.3">
      <c r="A472" s="6" t="s">
        <v>262</v>
      </c>
      <c r="B472" s="6" t="s">
        <v>2500</v>
      </c>
      <c r="C472" s="6" t="s">
        <v>2501</v>
      </c>
      <c r="D472" s="6" t="s">
        <v>2502</v>
      </c>
      <c r="E472" s="6" t="s">
        <v>2503</v>
      </c>
      <c r="F472" s="13" t="s">
        <v>2504</v>
      </c>
      <c r="G472" s="13" t="s">
        <v>2505</v>
      </c>
      <c r="H472" s="13"/>
      <c r="I472" s="13"/>
      <c r="J472" s="7"/>
      <c r="K472" s="7"/>
      <c r="L472" s="7" t="s">
        <v>93</v>
      </c>
      <c r="M472" s="7" t="s">
        <v>93</v>
      </c>
      <c r="N472" s="10"/>
      <c r="O472" s="9" t="str">
        <f t="shared" si="7"/>
        <v/>
      </c>
      <c r="P472" s="11"/>
      <c r="Q472" s="12"/>
      <c r="R472" s="11"/>
      <c r="S472" s="7"/>
    </row>
    <row r="473" spans="1:19" ht="14.4" x14ac:dyDescent="0.3">
      <c r="A473" s="6" t="s">
        <v>262</v>
      </c>
      <c r="B473" s="6" t="s">
        <v>2500</v>
      </c>
      <c r="C473" s="6" t="s">
        <v>2506</v>
      </c>
      <c r="D473" s="6" t="s">
        <v>2502</v>
      </c>
      <c r="E473" s="6" t="s">
        <v>2507</v>
      </c>
      <c r="F473" s="13"/>
      <c r="G473" s="13"/>
      <c r="H473" s="13"/>
      <c r="I473" s="13"/>
      <c r="J473" s="7"/>
      <c r="K473" s="7"/>
      <c r="L473" s="7" t="s">
        <v>93</v>
      </c>
      <c r="M473" s="7" t="s">
        <v>93</v>
      </c>
      <c r="N473" s="10"/>
      <c r="O473" s="9" t="str">
        <f t="shared" si="7"/>
        <v/>
      </c>
      <c r="P473" s="11"/>
      <c r="Q473" s="12"/>
      <c r="R473" s="11"/>
      <c r="S473" s="7"/>
    </row>
    <row r="474" spans="1:19" ht="14.4" x14ac:dyDescent="0.3">
      <c r="A474" s="6" t="s">
        <v>262</v>
      </c>
      <c r="B474" s="6" t="s">
        <v>2500</v>
      </c>
      <c r="C474" s="6" t="s">
        <v>2508</v>
      </c>
      <c r="D474" s="6" t="s">
        <v>2502</v>
      </c>
      <c r="E474" s="6" t="s">
        <v>2509</v>
      </c>
      <c r="F474" s="13" t="s">
        <v>2510</v>
      </c>
      <c r="G474" s="13" t="s">
        <v>2511</v>
      </c>
      <c r="H474" s="13" t="s">
        <v>2512</v>
      </c>
      <c r="I474" s="13" t="s">
        <v>2513</v>
      </c>
      <c r="J474" s="7"/>
      <c r="K474" s="7"/>
      <c r="L474" s="7" t="s">
        <v>93</v>
      </c>
      <c r="M474" s="7" t="s">
        <v>93</v>
      </c>
      <c r="N474" s="10"/>
      <c r="O474" s="9" t="str">
        <f t="shared" si="7"/>
        <v/>
      </c>
      <c r="P474" s="11"/>
      <c r="Q474" s="12"/>
      <c r="R474" s="11"/>
      <c r="S474" s="7"/>
    </row>
    <row r="475" spans="1:19" ht="14.4" x14ac:dyDescent="0.3">
      <c r="A475" s="6" t="s">
        <v>262</v>
      </c>
      <c r="B475" s="6" t="s">
        <v>2500</v>
      </c>
      <c r="C475" s="6" t="s">
        <v>2514</v>
      </c>
      <c r="D475" s="6" t="s">
        <v>2502</v>
      </c>
      <c r="E475" s="6" t="s">
        <v>2515</v>
      </c>
      <c r="F475" s="13" t="s">
        <v>439</v>
      </c>
      <c r="G475" s="13" t="s">
        <v>2516</v>
      </c>
      <c r="H475" s="13" t="s">
        <v>2517</v>
      </c>
      <c r="I475" s="13" t="s">
        <v>2518</v>
      </c>
      <c r="J475" s="7"/>
      <c r="K475" s="7"/>
      <c r="L475" s="7" t="s">
        <v>93</v>
      </c>
      <c r="M475" s="7" t="s">
        <v>93</v>
      </c>
      <c r="N475" s="10"/>
      <c r="O475" s="9" t="str">
        <f t="shared" si="7"/>
        <v/>
      </c>
      <c r="P475" s="11"/>
      <c r="Q475" s="12"/>
      <c r="R475" s="11"/>
      <c r="S475" s="7"/>
    </row>
    <row r="476" spans="1:19" ht="14.4" x14ac:dyDescent="0.3">
      <c r="A476" s="6" t="s">
        <v>262</v>
      </c>
      <c r="B476" s="6" t="s">
        <v>2500</v>
      </c>
      <c r="C476" s="6" t="s">
        <v>2519</v>
      </c>
      <c r="D476" s="6" t="s">
        <v>2502</v>
      </c>
      <c r="E476" s="6" t="s">
        <v>2520</v>
      </c>
      <c r="F476" s="13" t="s">
        <v>2521</v>
      </c>
      <c r="G476" s="13" t="s">
        <v>289</v>
      </c>
      <c r="H476" s="13" t="s">
        <v>2522</v>
      </c>
      <c r="I476" s="13"/>
      <c r="J476" s="7"/>
      <c r="K476" s="7"/>
      <c r="L476" s="7" t="s">
        <v>93</v>
      </c>
      <c r="M476" s="7" t="s">
        <v>93</v>
      </c>
      <c r="N476" s="10"/>
      <c r="O476" s="9" t="str">
        <f t="shared" si="7"/>
        <v/>
      </c>
      <c r="P476" s="11"/>
      <c r="Q476" s="12"/>
      <c r="R476" s="11"/>
      <c r="S476" s="7"/>
    </row>
    <row r="477" spans="1:19" ht="14.4" x14ac:dyDescent="0.3">
      <c r="A477" s="6" t="s">
        <v>262</v>
      </c>
      <c r="B477" s="6" t="s">
        <v>2500</v>
      </c>
      <c r="C477" s="6" t="s">
        <v>2523</v>
      </c>
      <c r="D477" s="6" t="s">
        <v>2502</v>
      </c>
      <c r="E477" s="6" t="s">
        <v>2524</v>
      </c>
      <c r="F477" s="13" t="s">
        <v>406</v>
      </c>
      <c r="G477" s="13" t="s">
        <v>2525</v>
      </c>
      <c r="H477" s="13" t="s">
        <v>2526</v>
      </c>
      <c r="I477" s="13"/>
      <c r="J477" s="7"/>
      <c r="K477" s="7"/>
      <c r="L477" s="7" t="s">
        <v>93</v>
      </c>
      <c r="M477" s="7" t="s">
        <v>93</v>
      </c>
      <c r="N477" s="10"/>
      <c r="O477" s="9" t="str">
        <f t="shared" si="7"/>
        <v/>
      </c>
      <c r="P477" s="11"/>
      <c r="Q477" s="12"/>
      <c r="R477" s="11"/>
      <c r="S477" s="7"/>
    </row>
    <row r="478" spans="1:19" ht="14.4" x14ac:dyDescent="0.3">
      <c r="A478" s="6" t="s">
        <v>262</v>
      </c>
      <c r="B478" s="6" t="s">
        <v>2500</v>
      </c>
      <c r="C478" s="6" t="s">
        <v>2527</v>
      </c>
      <c r="D478" s="6" t="s">
        <v>2502</v>
      </c>
      <c r="E478" s="6" t="s">
        <v>2528</v>
      </c>
      <c r="F478" s="13" t="s">
        <v>2529</v>
      </c>
      <c r="G478" s="13" t="s">
        <v>1433</v>
      </c>
      <c r="H478" s="13" t="s">
        <v>2530</v>
      </c>
      <c r="I478" s="13"/>
      <c r="J478" s="7"/>
      <c r="K478" s="7"/>
      <c r="L478" s="7" t="s">
        <v>93</v>
      </c>
      <c r="M478" s="7" t="s">
        <v>93</v>
      </c>
      <c r="N478" s="10"/>
      <c r="O478" s="9" t="str">
        <f t="shared" si="7"/>
        <v/>
      </c>
      <c r="P478" s="11"/>
      <c r="Q478" s="12"/>
      <c r="R478" s="11"/>
      <c r="S478" s="7"/>
    </row>
    <row r="479" spans="1:19" ht="14.4" x14ac:dyDescent="0.3">
      <c r="A479" s="6" t="s">
        <v>262</v>
      </c>
      <c r="B479" s="6" t="s">
        <v>2500</v>
      </c>
      <c r="C479" s="6" t="s">
        <v>2531</v>
      </c>
      <c r="D479" s="6" t="s">
        <v>2502</v>
      </c>
      <c r="E479" s="6" t="s">
        <v>2532</v>
      </c>
      <c r="F479" s="13" t="s">
        <v>620</v>
      </c>
      <c r="G479" s="13" t="s">
        <v>2533</v>
      </c>
      <c r="H479" s="13" t="s">
        <v>2534</v>
      </c>
      <c r="I479" s="13" t="s">
        <v>2535</v>
      </c>
      <c r="J479" s="7"/>
      <c r="K479" s="7"/>
      <c r="L479" s="7" t="s">
        <v>93</v>
      </c>
      <c r="M479" s="7" t="s">
        <v>93</v>
      </c>
      <c r="N479" s="10"/>
      <c r="O479" s="9" t="str">
        <f t="shared" si="7"/>
        <v/>
      </c>
      <c r="P479" s="11"/>
      <c r="Q479" s="12"/>
      <c r="R479" s="11"/>
      <c r="S479" s="7"/>
    </row>
    <row r="480" spans="1:19" ht="14.4" x14ac:dyDescent="0.3">
      <c r="A480" s="6" t="s">
        <v>262</v>
      </c>
      <c r="B480" s="6" t="s">
        <v>2500</v>
      </c>
      <c r="C480" s="6" t="s">
        <v>2536</v>
      </c>
      <c r="D480" s="6" t="s">
        <v>2502</v>
      </c>
      <c r="E480" s="6" t="s">
        <v>2537</v>
      </c>
      <c r="F480" s="13" t="s">
        <v>2538</v>
      </c>
      <c r="G480" s="13" t="s">
        <v>1297</v>
      </c>
      <c r="H480" s="13" t="s">
        <v>2539</v>
      </c>
      <c r="I480" s="13"/>
      <c r="J480" s="7"/>
      <c r="K480" s="7"/>
      <c r="L480" s="7" t="s">
        <v>93</v>
      </c>
      <c r="M480" s="7" t="s">
        <v>93</v>
      </c>
      <c r="N480" s="10"/>
      <c r="O480" s="9" t="str">
        <f t="shared" si="7"/>
        <v/>
      </c>
      <c r="P480" s="11"/>
      <c r="Q480" s="12"/>
      <c r="R480" s="11"/>
      <c r="S480" s="7"/>
    </row>
    <row r="481" spans="1:19" ht="14.4" x14ac:dyDescent="0.3">
      <c r="A481" s="6" t="s">
        <v>262</v>
      </c>
      <c r="B481" s="6" t="s">
        <v>2500</v>
      </c>
      <c r="C481" s="6" t="s">
        <v>2540</v>
      </c>
      <c r="D481" s="6" t="s">
        <v>2502</v>
      </c>
      <c r="E481" s="6" t="s">
        <v>2541</v>
      </c>
      <c r="F481" s="13" t="s">
        <v>2542</v>
      </c>
      <c r="G481" s="13" t="s">
        <v>2543</v>
      </c>
      <c r="H481" s="13" t="s">
        <v>2544</v>
      </c>
      <c r="I481" s="13"/>
      <c r="J481" s="7"/>
      <c r="K481" s="7"/>
      <c r="L481" s="7" t="s">
        <v>93</v>
      </c>
      <c r="M481" s="7" t="s">
        <v>93</v>
      </c>
      <c r="N481" s="10"/>
      <c r="O481" s="9" t="str">
        <f t="shared" si="7"/>
        <v/>
      </c>
      <c r="P481" s="11"/>
      <c r="Q481" s="12"/>
      <c r="R481" s="11"/>
      <c r="S481" s="7"/>
    </row>
    <row r="482" spans="1:19" ht="14.4" x14ac:dyDescent="0.3">
      <c r="A482" s="6" t="s">
        <v>262</v>
      </c>
      <c r="B482" s="6" t="s">
        <v>2500</v>
      </c>
      <c r="C482" s="6" t="s">
        <v>2545</v>
      </c>
      <c r="D482" s="6" t="s">
        <v>2502</v>
      </c>
      <c r="E482" s="6" t="s">
        <v>2546</v>
      </c>
      <c r="F482" s="13" t="s">
        <v>2547</v>
      </c>
      <c r="G482" s="13" t="s">
        <v>2548</v>
      </c>
      <c r="H482" s="13" t="s">
        <v>2549</v>
      </c>
      <c r="I482" s="13"/>
      <c r="J482" s="7"/>
      <c r="K482" s="7"/>
      <c r="L482" s="7" t="s">
        <v>93</v>
      </c>
      <c r="M482" s="7" t="s">
        <v>93</v>
      </c>
      <c r="N482" s="10"/>
      <c r="O482" s="9" t="str">
        <f t="shared" si="7"/>
        <v/>
      </c>
      <c r="P482" s="11"/>
      <c r="Q482" s="12"/>
      <c r="R482" s="11"/>
      <c r="S482" s="7"/>
    </row>
    <row r="483" spans="1:19" ht="14.4" x14ac:dyDescent="0.3">
      <c r="A483" s="6" t="s">
        <v>262</v>
      </c>
      <c r="B483" s="6" t="s">
        <v>2500</v>
      </c>
      <c r="C483" s="6" t="s">
        <v>2550</v>
      </c>
      <c r="D483" s="6" t="s">
        <v>2502</v>
      </c>
      <c r="E483" s="6" t="s">
        <v>2551</v>
      </c>
      <c r="F483" s="13" t="s">
        <v>668</v>
      </c>
      <c r="G483" s="13" t="s">
        <v>2552</v>
      </c>
      <c r="H483" s="13" t="s">
        <v>2553</v>
      </c>
      <c r="I483" s="13"/>
      <c r="J483" s="7"/>
      <c r="K483" s="7"/>
      <c r="L483" s="7" t="s">
        <v>93</v>
      </c>
      <c r="M483" s="7" t="s">
        <v>93</v>
      </c>
      <c r="N483" s="10"/>
      <c r="O483" s="9" t="str">
        <f t="shared" si="7"/>
        <v/>
      </c>
      <c r="P483" s="11"/>
      <c r="Q483" s="12"/>
      <c r="R483" s="11"/>
      <c r="S483" s="7"/>
    </row>
    <row r="484" spans="1:19" ht="14.4" x14ac:dyDescent="0.3">
      <c r="A484" s="6" t="s">
        <v>262</v>
      </c>
      <c r="B484" s="6" t="s">
        <v>2554</v>
      </c>
      <c r="C484" s="6" t="s">
        <v>2555</v>
      </c>
      <c r="D484" s="6" t="s">
        <v>2556</v>
      </c>
      <c r="E484" s="6" t="s">
        <v>2557</v>
      </c>
      <c r="F484" s="13" t="s">
        <v>2558</v>
      </c>
      <c r="G484" s="13" t="s">
        <v>2559</v>
      </c>
      <c r="H484" s="13" t="s">
        <v>2560</v>
      </c>
      <c r="I484" s="13" t="s">
        <v>2561</v>
      </c>
      <c r="J484" s="7"/>
      <c r="K484" s="7"/>
      <c r="L484" s="7" t="s">
        <v>93</v>
      </c>
      <c r="M484" s="7" t="s">
        <v>93</v>
      </c>
      <c r="N484" s="10"/>
      <c r="O484" s="9" t="str">
        <f t="shared" si="7"/>
        <v/>
      </c>
      <c r="P484" s="11"/>
      <c r="Q484" s="12"/>
      <c r="R484" s="11"/>
      <c r="S484" s="7"/>
    </row>
    <row r="485" spans="1:19" ht="14.4" x14ac:dyDescent="0.3">
      <c r="A485" s="6" t="s">
        <v>262</v>
      </c>
      <c r="B485" s="6" t="s">
        <v>2554</v>
      </c>
      <c r="C485" s="6" t="s">
        <v>2562</v>
      </c>
      <c r="D485" s="6" t="s">
        <v>2556</v>
      </c>
      <c r="E485" s="6" t="s">
        <v>2563</v>
      </c>
      <c r="F485" s="13" t="s">
        <v>2564</v>
      </c>
      <c r="G485" s="13" t="s">
        <v>2565</v>
      </c>
      <c r="H485" s="13"/>
      <c r="I485" s="13"/>
      <c r="J485" s="7"/>
      <c r="K485" s="7"/>
      <c r="L485" s="7" t="s">
        <v>93</v>
      </c>
      <c r="M485" s="7" t="s">
        <v>93</v>
      </c>
      <c r="N485" s="10"/>
      <c r="O485" s="9" t="str">
        <f t="shared" si="7"/>
        <v/>
      </c>
      <c r="P485" s="11"/>
      <c r="Q485" s="12"/>
      <c r="R485" s="11"/>
      <c r="S485" s="7"/>
    </row>
    <row r="486" spans="1:19" ht="14.4" x14ac:dyDescent="0.3">
      <c r="A486" s="6" t="s">
        <v>262</v>
      </c>
      <c r="B486" s="6" t="s">
        <v>2554</v>
      </c>
      <c r="C486" s="6" t="s">
        <v>2566</v>
      </c>
      <c r="D486" s="6" t="s">
        <v>2556</v>
      </c>
      <c r="E486" s="6" t="s">
        <v>2567</v>
      </c>
      <c r="F486" s="13" t="s">
        <v>1143</v>
      </c>
      <c r="G486" s="13" t="s">
        <v>2568</v>
      </c>
      <c r="H486" s="13" t="s">
        <v>2569</v>
      </c>
      <c r="I486" s="13"/>
      <c r="J486" s="7"/>
      <c r="K486" s="7"/>
      <c r="L486" s="7" t="s">
        <v>93</v>
      </c>
      <c r="M486" s="7" t="s">
        <v>93</v>
      </c>
      <c r="N486" s="10"/>
      <c r="O486" s="9" t="str">
        <f t="shared" si="7"/>
        <v/>
      </c>
      <c r="P486" s="11"/>
      <c r="Q486" s="12"/>
      <c r="R486" s="11"/>
      <c r="S486" s="7"/>
    </row>
    <row r="487" spans="1:19" ht="14.4" x14ac:dyDescent="0.3">
      <c r="A487" s="6" t="s">
        <v>262</v>
      </c>
      <c r="B487" s="6" t="s">
        <v>2554</v>
      </c>
      <c r="C487" s="6" t="s">
        <v>2570</v>
      </c>
      <c r="D487" s="6" t="s">
        <v>2556</v>
      </c>
      <c r="E487" s="6" t="s">
        <v>2571</v>
      </c>
      <c r="F487" s="13" t="s">
        <v>2572</v>
      </c>
      <c r="G487" s="13" t="s">
        <v>2573</v>
      </c>
      <c r="H487" s="13" t="s">
        <v>2574</v>
      </c>
      <c r="I487" s="13" t="s">
        <v>2575</v>
      </c>
      <c r="J487" s="7"/>
      <c r="K487" s="7"/>
      <c r="L487" s="7" t="s">
        <v>93</v>
      </c>
      <c r="M487" s="7" t="s">
        <v>93</v>
      </c>
      <c r="N487" s="10"/>
      <c r="O487" s="9" t="str">
        <f t="shared" si="7"/>
        <v/>
      </c>
      <c r="P487" s="11"/>
      <c r="Q487" s="12"/>
      <c r="R487" s="11"/>
      <c r="S487" s="7"/>
    </row>
    <row r="488" spans="1:19" ht="14.4" x14ac:dyDescent="0.3">
      <c r="A488" s="6" t="s">
        <v>262</v>
      </c>
      <c r="B488" s="6" t="s">
        <v>2554</v>
      </c>
      <c r="C488" s="6" t="s">
        <v>2576</v>
      </c>
      <c r="D488" s="6" t="s">
        <v>2556</v>
      </c>
      <c r="E488" s="6" t="s">
        <v>2577</v>
      </c>
      <c r="F488" s="13" t="s">
        <v>458</v>
      </c>
      <c r="G488" s="13" t="s">
        <v>2578</v>
      </c>
      <c r="H488" s="13" t="s">
        <v>2579</v>
      </c>
      <c r="I488" s="13"/>
      <c r="J488" s="7"/>
      <c r="K488" s="7"/>
      <c r="L488" s="7" t="s">
        <v>93</v>
      </c>
      <c r="M488" s="7" t="s">
        <v>93</v>
      </c>
      <c r="N488" s="10"/>
      <c r="O488" s="9" t="str">
        <f t="shared" si="7"/>
        <v/>
      </c>
      <c r="P488" s="11"/>
      <c r="Q488" s="12"/>
      <c r="R488" s="11"/>
      <c r="S488" s="7"/>
    </row>
    <row r="489" spans="1:19" ht="14.4" x14ac:dyDescent="0.3">
      <c r="A489" s="6" t="s">
        <v>262</v>
      </c>
      <c r="B489" s="6" t="s">
        <v>2554</v>
      </c>
      <c r="C489" s="6" t="s">
        <v>2580</v>
      </c>
      <c r="D489" s="6" t="s">
        <v>2556</v>
      </c>
      <c r="E489" s="6" t="s">
        <v>2581</v>
      </c>
      <c r="F489" s="13" t="s">
        <v>458</v>
      </c>
      <c r="G489" s="13" t="s">
        <v>2582</v>
      </c>
      <c r="H489" s="13" t="s">
        <v>2583</v>
      </c>
      <c r="I489" s="13"/>
      <c r="J489" s="7"/>
      <c r="K489" s="7"/>
      <c r="L489" s="7" t="s">
        <v>93</v>
      </c>
      <c r="M489" s="7" t="s">
        <v>93</v>
      </c>
      <c r="N489" s="10"/>
      <c r="O489" s="9" t="str">
        <f t="shared" si="7"/>
        <v/>
      </c>
      <c r="P489" s="11"/>
      <c r="Q489" s="12"/>
      <c r="R489" s="11"/>
      <c r="S489" s="7"/>
    </row>
    <row r="490" spans="1:19" ht="14.4" x14ac:dyDescent="0.3">
      <c r="A490" s="6" t="s">
        <v>262</v>
      </c>
      <c r="B490" s="6" t="s">
        <v>2554</v>
      </c>
      <c r="C490" s="6" t="s">
        <v>2584</v>
      </c>
      <c r="D490" s="6" t="s">
        <v>2556</v>
      </c>
      <c r="E490" s="6" t="s">
        <v>2585</v>
      </c>
      <c r="F490" s="13" t="s">
        <v>2586</v>
      </c>
      <c r="G490" s="13" t="s">
        <v>2587</v>
      </c>
      <c r="H490" s="13" t="s">
        <v>2588</v>
      </c>
      <c r="I490" s="13"/>
      <c r="J490" s="7"/>
      <c r="K490" s="7"/>
      <c r="L490" s="7" t="s">
        <v>93</v>
      </c>
      <c r="M490" s="7" t="s">
        <v>93</v>
      </c>
      <c r="N490" s="10"/>
      <c r="O490" s="9" t="str">
        <f t="shared" si="7"/>
        <v/>
      </c>
      <c r="P490" s="11"/>
      <c r="Q490" s="12"/>
      <c r="R490" s="11"/>
      <c r="S490" s="7"/>
    </row>
    <row r="491" spans="1:19" ht="14.4" x14ac:dyDescent="0.3">
      <c r="A491" s="6" t="s">
        <v>262</v>
      </c>
      <c r="B491" s="6" t="s">
        <v>2554</v>
      </c>
      <c r="C491" s="6" t="s">
        <v>2589</v>
      </c>
      <c r="D491" s="6" t="s">
        <v>2556</v>
      </c>
      <c r="E491" s="6" t="s">
        <v>2590</v>
      </c>
      <c r="F491" s="13" t="s">
        <v>2591</v>
      </c>
      <c r="G491" s="13" t="s">
        <v>412</v>
      </c>
      <c r="H491" s="13" t="s">
        <v>2592</v>
      </c>
      <c r="I491" s="13" t="s">
        <v>2593</v>
      </c>
      <c r="J491" s="7"/>
      <c r="K491" s="7"/>
      <c r="L491" s="7" t="s">
        <v>93</v>
      </c>
      <c r="M491" s="7" t="s">
        <v>93</v>
      </c>
      <c r="N491" s="10"/>
      <c r="O491" s="9" t="str">
        <f t="shared" si="7"/>
        <v/>
      </c>
      <c r="P491" s="11"/>
      <c r="Q491" s="12"/>
      <c r="R491" s="11"/>
      <c r="S491" s="7"/>
    </row>
    <row r="492" spans="1:19" ht="14.4" x14ac:dyDescent="0.3">
      <c r="A492" s="6" t="s">
        <v>262</v>
      </c>
      <c r="B492" s="6" t="s">
        <v>2554</v>
      </c>
      <c r="C492" s="6" t="s">
        <v>2594</v>
      </c>
      <c r="D492" s="6" t="s">
        <v>2556</v>
      </c>
      <c r="E492" s="6" t="s">
        <v>2595</v>
      </c>
      <c r="F492" s="13" t="s">
        <v>206</v>
      </c>
      <c r="G492" s="13" t="s">
        <v>2596</v>
      </c>
      <c r="H492" s="13" t="s">
        <v>2597</v>
      </c>
      <c r="I492" s="13" t="s">
        <v>2598</v>
      </c>
      <c r="J492" s="7"/>
      <c r="K492" s="7"/>
      <c r="L492" s="7" t="s">
        <v>93</v>
      </c>
      <c r="M492" s="7" t="s">
        <v>93</v>
      </c>
      <c r="N492" s="10"/>
      <c r="O492" s="9" t="str">
        <f t="shared" si="7"/>
        <v/>
      </c>
      <c r="P492" s="11"/>
      <c r="Q492" s="12"/>
      <c r="R492" s="11"/>
      <c r="S492" s="7"/>
    </row>
    <row r="493" spans="1:19" ht="14.4" x14ac:dyDescent="0.3">
      <c r="A493" s="6" t="s">
        <v>262</v>
      </c>
      <c r="B493" s="6" t="s">
        <v>2554</v>
      </c>
      <c r="C493" s="6" t="s">
        <v>2600</v>
      </c>
      <c r="D493" s="6" t="s">
        <v>2556</v>
      </c>
      <c r="E493" s="6" t="s">
        <v>2601</v>
      </c>
      <c r="F493" s="13" t="s">
        <v>2602</v>
      </c>
      <c r="G493" s="13" t="s">
        <v>2603</v>
      </c>
      <c r="H493" s="13" t="s">
        <v>2604</v>
      </c>
      <c r="I493" s="13" t="s">
        <v>2605</v>
      </c>
      <c r="J493" s="7"/>
      <c r="K493" s="7"/>
      <c r="L493" s="7" t="s">
        <v>93</v>
      </c>
      <c r="M493" s="7" t="s">
        <v>93</v>
      </c>
      <c r="N493" s="10"/>
      <c r="O493" s="9" t="str">
        <f t="shared" si="7"/>
        <v/>
      </c>
      <c r="P493" s="11"/>
      <c r="Q493" s="12"/>
      <c r="R493" s="11"/>
      <c r="S493" s="7"/>
    </row>
    <row r="494" spans="1:19" ht="14.4" x14ac:dyDescent="0.3">
      <c r="A494" s="6" t="s">
        <v>262</v>
      </c>
      <c r="B494" s="6" t="s">
        <v>2554</v>
      </c>
      <c r="C494" s="6" t="s">
        <v>2606</v>
      </c>
      <c r="D494" s="6" t="s">
        <v>2556</v>
      </c>
      <c r="E494" s="6" t="s">
        <v>2607</v>
      </c>
      <c r="F494" s="13" t="s">
        <v>658</v>
      </c>
      <c r="G494" s="13" t="s">
        <v>846</v>
      </c>
      <c r="H494" s="13" t="s">
        <v>2608</v>
      </c>
      <c r="I494" s="13" t="s">
        <v>2609</v>
      </c>
      <c r="J494" s="7"/>
      <c r="K494" s="7"/>
      <c r="L494" s="7" t="s">
        <v>93</v>
      </c>
      <c r="M494" s="7" t="s">
        <v>93</v>
      </c>
      <c r="N494" s="10"/>
      <c r="O494" s="9" t="str">
        <f t="shared" si="7"/>
        <v/>
      </c>
      <c r="P494" s="11"/>
      <c r="Q494" s="12"/>
      <c r="R494" s="11"/>
      <c r="S494" s="7"/>
    </row>
    <row r="495" spans="1:19" ht="14.4" x14ac:dyDescent="0.3">
      <c r="A495" s="6" t="s">
        <v>202</v>
      </c>
      <c r="B495" s="6" t="s">
        <v>2610</v>
      </c>
      <c r="C495" s="6" t="s">
        <v>2611</v>
      </c>
      <c r="D495" s="6" t="s">
        <v>82</v>
      </c>
      <c r="E495" s="6" t="s">
        <v>2612</v>
      </c>
      <c r="F495" s="13" t="s">
        <v>1728</v>
      </c>
      <c r="G495" s="13" t="s">
        <v>2613</v>
      </c>
      <c r="H495" s="13" t="s">
        <v>2614</v>
      </c>
      <c r="I495" s="13" t="s">
        <v>2615</v>
      </c>
      <c r="J495" s="7"/>
      <c r="K495" s="7"/>
      <c r="L495" s="7" t="s">
        <v>93</v>
      </c>
      <c r="M495" s="7" t="s">
        <v>93</v>
      </c>
      <c r="N495" s="10"/>
      <c r="O495" s="9" t="str">
        <f t="shared" si="7"/>
        <v/>
      </c>
      <c r="P495" s="11"/>
      <c r="Q495" s="12"/>
      <c r="R495" s="11"/>
      <c r="S495" s="7"/>
    </row>
    <row r="496" spans="1:19" ht="14.4" x14ac:dyDescent="0.3">
      <c r="A496" s="6" t="s">
        <v>202</v>
      </c>
      <c r="B496" s="6" t="s">
        <v>2610</v>
      </c>
      <c r="C496" s="6" t="s">
        <v>2617</v>
      </c>
      <c r="D496" s="6" t="s">
        <v>82</v>
      </c>
      <c r="E496" s="6" t="s">
        <v>2618</v>
      </c>
      <c r="F496" s="13" t="s">
        <v>2619</v>
      </c>
      <c r="G496" s="13" t="s">
        <v>2620</v>
      </c>
      <c r="H496" s="13" t="s">
        <v>2621</v>
      </c>
      <c r="I496" s="13"/>
      <c r="J496" s="7"/>
      <c r="K496" s="7"/>
      <c r="L496" s="7" t="s">
        <v>93</v>
      </c>
      <c r="M496" s="7" t="s">
        <v>93</v>
      </c>
      <c r="N496" s="10"/>
      <c r="O496" s="9" t="str">
        <f t="shared" si="7"/>
        <v/>
      </c>
      <c r="P496" s="11"/>
      <c r="Q496" s="12"/>
      <c r="R496" s="11"/>
      <c r="S496" s="7"/>
    </row>
    <row r="497" spans="1:19" ht="14.4" x14ac:dyDescent="0.3">
      <c r="A497" s="6" t="s">
        <v>202</v>
      </c>
      <c r="B497" s="6" t="s">
        <v>2610</v>
      </c>
      <c r="C497" s="6" t="s">
        <v>2622</v>
      </c>
      <c r="D497" s="6" t="s">
        <v>82</v>
      </c>
      <c r="E497" s="6" t="s">
        <v>2623</v>
      </c>
      <c r="F497" s="13" t="s">
        <v>932</v>
      </c>
      <c r="G497" s="13" t="s">
        <v>2624</v>
      </c>
      <c r="H497" s="13" t="s">
        <v>2625</v>
      </c>
      <c r="I497" s="13" t="s">
        <v>2626</v>
      </c>
      <c r="J497" s="7"/>
      <c r="K497" s="7"/>
      <c r="L497" s="7" t="s">
        <v>93</v>
      </c>
      <c r="M497" s="7" t="s">
        <v>93</v>
      </c>
      <c r="N497" s="10"/>
      <c r="O497" s="9" t="str">
        <f t="shared" si="7"/>
        <v/>
      </c>
      <c r="P497" s="11"/>
      <c r="Q497" s="12"/>
      <c r="R497" s="11"/>
      <c r="S497" s="7"/>
    </row>
    <row r="498" spans="1:19" ht="14.4" x14ac:dyDescent="0.3">
      <c r="A498" s="6" t="s">
        <v>202</v>
      </c>
      <c r="B498" s="6" t="s">
        <v>2610</v>
      </c>
      <c r="C498" s="6" t="s">
        <v>2627</v>
      </c>
      <c r="D498" s="6" t="s">
        <v>82</v>
      </c>
      <c r="E498" s="6" t="s">
        <v>2628</v>
      </c>
      <c r="F498" s="13" t="s">
        <v>2629</v>
      </c>
      <c r="G498" s="13" t="s">
        <v>2630</v>
      </c>
      <c r="H498" s="13" t="s">
        <v>2631</v>
      </c>
      <c r="I498" s="13"/>
      <c r="J498" s="7"/>
      <c r="K498" s="7"/>
      <c r="L498" s="7" t="s">
        <v>93</v>
      </c>
      <c r="M498" s="7" t="s">
        <v>93</v>
      </c>
      <c r="N498" s="10"/>
      <c r="O498" s="9" t="str">
        <f t="shared" si="7"/>
        <v/>
      </c>
      <c r="P498" s="11"/>
      <c r="Q498" s="12"/>
      <c r="R498" s="11"/>
      <c r="S498" s="7"/>
    </row>
    <row r="499" spans="1:19" ht="14.4" x14ac:dyDescent="0.3">
      <c r="A499" s="6" t="s">
        <v>202</v>
      </c>
      <c r="B499" s="6" t="s">
        <v>2610</v>
      </c>
      <c r="C499" s="6" t="s">
        <v>2632</v>
      </c>
      <c r="D499" s="6" t="s">
        <v>82</v>
      </c>
      <c r="E499" s="6" t="s">
        <v>2633</v>
      </c>
      <c r="F499" s="13" t="s">
        <v>428</v>
      </c>
      <c r="G499" s="13" t="s">
        <v>1364</v>
      </c>
      <c r="H499" s="13" t="s">
        <v>2634</v>
      </c>
      <c r="I499" s="13"/>
      <c r="J499" s="7"/>
      <c r="K499" s="7"/>
      <c r="L499" s="7" t="s">
        <v>93</v>
      </c>
      <c r="M499" s="7" t="s">
        <v>93</v>
      </c>
      <c r="N499" s="10"/>
      <c r="O499" s="9" t="str">
        <f t="shared" si="7"/>
        <v/>
      </c>
      <c r="P499" s="11"/>
      <c r="Q499" s="12"/>
      <c r="R499" s="11"/>
      <c r="S499" s="7"/>
    </row>
    <row r="500" spans="1:19" ht="14.4" x14ac:dyDescent="0.3">
      <c r="A500" s="6" t="s">
        <v>202</v>
      </c>
      <c r="B500" s="6" t="s">
        <v>2610</v>
      </c>
      <c r="C500" s="6" t="s">
        <v>2636</v>
      </c>
      <c r="D500" s="6" t="s">
        <v>82</v>
      </c>
      <c r="E500" s="6" t="s">
        <v>2637</v>
      </c>
      <c r="F500" s="13" t="s">
        <v>630</v>
      </c>
      <c r="G500" s="13" t="s">
        <v>2638</v>
      </c>
      <c r="H500" s="13" t="s">
        <v>2639</v>
      </c>
      <c r="I500" s="13"/>
      <c r="J500" s="7"/>
      <c r="K500" s="7"/>
      <c r="L500" s="7" t="s">
        <v>93</v>
      </c>
      <c r="M500" s="7" t="s">
        <v>93</v>
      </c>
      <c r="N500" s="10"/>
      <c r="O500" s="9" t="str">
        <f t="shared" si="7"/>
        <v/>
      </c>
      <c r="P500" s="11"/>
      <c r="Q500" s="12"/>
      <c r="R500" s="11"/>
      <c r="S500" s="7"/>
    </row>
    <row r="501" spans="1:19" ht="14.4" x14ac:dyDescent="0.3">
      <c r="A501" s="6" t="s">
        <v>202</v>
      </c>
      <c r="B501" s="6" t="s">
        <v>2610</v>
      </c>
      <c r="C501" s="6" t="s">
        <v>2640</v>
      </c>
      <c r="D501" s="6" t="s">
        <v>82</v>
      </c>
      <c r="E501" s="6" t="s">
        <v>2641</v>
      </c>
      <c r="F501" s="13" t="s">
        <v>264</v>
      </c>
      <c r="G501" s="13" t="s">
        <v>2642</v>
      </c>
      <c r="H501" s="13" t="s">
        <v>2643</v>
      </c>
      <c r="I501" s="13" t="s">
        <v>2644</v>
      </c>
      <c r="J501" s="7"/>
      <c r="K501" s="7"/>
      <c r="L501" s="7" t="s">
        <v>93</v>
      </c>
      <c r="M501" s="7" t="s">
        <v>93</v>
      </c>
      <c r="N501" s="10"/>
      <c r="O501" s="9" t="str">
        <f t="shared" si="7"/>
        <v/>
      </c>
      <c r="P501" s="11"/>
      <c r="Q501" s="12"/>
      <c r="R501" s="11"/>
      <c r="S501" s="7"/>
    </row>
    <row r="502" spans="1:19" ht="14.4" x14ac:dyDescent="0.3">
      <c r="A502" s="6" t="s">
        <v>202</v>
      </c>
      <c r="B502" s="6" t="s">
        <v>2610</v>
      </c>
      <c r="C502" s="6" t="s">
        <v>2646</v>
      </c>
      <c r="D502" s="6" t="s">
        <v>82</v>
      </c>
      <c r="E502" s="6" t="s">
        <v>2647</v>
      </c>
      <c r="F502" s="13" t="s">
        <v>264</v>
      </c>
      <c r="G502" s="13" t="s">
        <v>2648</v>
      </c>
      <c r="H502" s="13" t="s">
        <v>2649</v>
      </c>
      <c r="I502" s="13"/>
      <c r="J502" s="7"/>
      <c r="K502" s="7"/>
      <c r="L502" s="7" t="s">
        <v>93</v>
      </c>
      <c r="M502" s="7" t="s">
        <v>93</v>
      </c>
      <c r="N502" s="10"/>
      <c r="O502" s="9" t="str">
        <f t="shared" si="7"/>
        <v/>
      </c>
      <c r="P502" s="11"/>
      <c r="Q502" s="12"/>
      <c r="R502" s="11"/>
      <c r="S502" s="7"/>
    </row>
    <row r="503" spans="1:19" ht="14.4" x14ac:dyDescent="0.3">
      <c r="A503" s="6" t="s">
        <v>202</v>
      </c>
      <c r="B503" s="6" t="s">
        <v>2610</v>
      </c>
      <c r="C503" s="6" t="s">
        <v>2650</v>
      </c>
      <c r="D503" s="6" t="s">
        <v>82</v>
      </c>
      <c r="E503" s="6" t="s">
        <v>2651</v>
      </c>
      <c r="F503" s="13" t="s">
        <v>2652</v>
      </c>
      <c r="G503" s="13" t="s">
        <v>939</v>
      </c>
      <c r="H503" s="13" t="s">
        <v>2653</v>
      </c>
      <c r="I503" s="13"/>
      <c r="J503" s="7"/>
      <c r="K503" s="7"/>
      <c r="L503" s="7" t="s">
        <v>93</v>
      </c>
      <c r="M503" s="7" t="s">
        <v>93</v>
      </c>
      <c r="N503" s="10"/>
      <c r="O503" s="9" t="str">
        <f t="shared" si="7"/>
        <v/>
      </c>
      <c r="P503" s="11"/>
      <c r="Q503" s="12"/>
      <c r="R503" s="11"/>
      <c r="S503" s="7"/>
    </row>
    <row r="504" spans="1:19" ht="14.4" x14ac:dyDescent="0.3">
      <c r="A504" s="6" t="s">
        <v>202</v>
      </c>
      <c r="B504" s="6" t="s">
        <v>2610</v>
      </c>
      <c r="C504" s="6" t="s">
        <v>2654</v>
      </c>
      <c r="D504" s="6" t="s">
        <v>82</v>
      </c>
      <c r="E504" s="6" t="s">
        <v>2655</v>
      </c>
      <c r="F504" s="13" t="s">
        <v>2656</v>
      </c>
      <c r="G504" s="13" t="s">
        <v>2657</v>
      </c>
      <c r="H504" s="13" t="s">
        <v>2658</v>
      </c>
      <c r="I504" s="13"/>
      <c r="J504" s="7"/>
      <c r="K504" s="7"/>
      <c r="L504" s="7" t="s">
        <v>93</v>
      </c>
      <c r="M504" s="7" t="s">
        <v>93</v>
      </c>
      <c r="N504" s="10"/>
      <c r="O504" s="9" t="str">
        <f t="shared" si="7"/>
        <v/>
      </c>
      <c r="P504" s="11"/>
      <c r="Q504" s="12"/>
      <c r="R504" s="11"/>
      <c r="S504" s="7"/>
    </row>
    <row r="505" spans="1:19" ht="14.4" x14ac:dyDescent="0.3">
      <c r="A505" s="6" t="s">
        <v>202</v>
      </c>
      <c r="B505" s="6" t="s">
        <v>2610</v>
      </c>
      <c r="C505" s="6" t="s">
        <v>2659</v>
      </c>
      <c r="D505" s="6" t="s">
        <v>82</v>
      </c>
      <c r="E505" s="6" t="s">
        <v>2660</v>
      </c>
      <c r="F505" s="13" t="s">
        <v>2661</v>
      </c>
      <c r="G505" s="13" t="s">
        <v>2662</v>
      </c>
      <c r="H505" s="13" t="s">
        <v>2663</v>
      </c>
      <c r="I505" s="13"/>
      <c r="J505" s="7"/>
      <c r="K505" s="7"/>
      <c r="L505" s="7" t="s">
        <v>93</v>
      </c>
      <c r="M505" s="7" t="s">
        <v>93</v>
      </c>
      <c r="N505" s="10"/>
      <c r="O505" s="9" t="str">
        <f t="shared" si="7"/>
        <v/>
      </c>
      <c r="P505" s="11"/>
      <c r="Q505" s="12"/>
      <c r="R505" s="11"/>
      <c r="S505" s="7"/>
    </row>
    <row r="506" spans="1:19" ht="14.4" x14ac:dyDescent="0.3">
      <c r="A506" s="6" t="s">
        <v>202</v>
      </c>
      <c r="B506" s="6" t="s">
        <v>2610</v>
      </c>
      <c r="C506" s="6" t="s">
        <v>2664</v>
      </c>
      <c r="D506" s="6" t="s">
        <v>82</v>
      </c>
      <c r="E506" s="6" t="s">
        <v>2665</v>
      </c>
      <c r="F506" s="13" t="s">
        <v>272</v>
      </c>
      <c r="G506" s="13" t="s">
        <v>2666</v>
      </c>
      <c r="H506" s="13" t="s">
        <v>2667</v>
      </c>
      <c r="I506" s="13"/>
      <c r="J506" s="7"/>
      <c r="K506" s="7"/>
      <c r="L506" s="7" t="s">
        <v>93</v>
      </c>
      <c r="M506" s="7" t="s">
        <v>93</v>
      </c>
      <c r="N506" s="10"/>
      <c r="O506" s="9" t="str">
        <f t="shared" si="7"/>
        <v/>
      </c>
      <c r="P506" s="11"/>
      <c r="Q506" s="12"/>
      <c r="R506" s="11"/>
      <c r="S506" s="7"/>
    </row>
    <row r="507" spans="1:19" ht="14.4" x14ac:dyDescent="0.3">
      <c r="A507" s="6" t="s">
        <v>202</v>
      </c>
      <c r="B507" s="6" t="s">
        <v>2610</v>
      </c>
      <c r="C507" s="6" t="s">
        <v>2668</v>
      </c>
      <c r="D507" s="6" t="s">
        <v>82</v>
      </c>
      <c r="E507" s="6" t="s">
        <v>2669</v>
      </c>
      <c r="F507" s="13" t="s">
        <v>2670</v>
      </c>
      <c r="G507" s="13" t="s">
        <v>2671</v>
      </c>
      <c r="H507" s="13"/>
      <c r="I507" s="13"/>
      <c r="J507" s="7"/>
      <c r="K507" s="7"/>
      <c r="L507" s="7" t="s">
        <v>93</v>
      </c>
      <c r="M507" s="7" t="s">
        <v>93</v>
      </c>
      <c r="N507" s="10"/>
      <c r="O507" s="9" t="str">
        <f t="shared" si="7"/>
        <v/>
      </c>
      <c r="P507" s="11"/>
      <c r="Q507" s="12"/>
      <c r="R507" s="11"/>
      <c r="S507" s="7"/>
    </row>
    <row r="508" spans="1:19" ht="14.4" x14ac:dyDescent="0.3">
      <c r="A508" s="6" t="s">
        <v>202</v>
      </c>
      <c r="B508" s="6" t="s">
        <v>2610</v>
      </c>
      <c r="C508" s="6" t="s">
        <v>2672</v>
      </c>
      <c r="D508" s="6" t="s">
        <v>82</v>
      </c>
      <c r="E508" s="6" t="s">
        <v>2673</v>
      </c>
      <c r="F508" s="13" t="s">
        <v>850</v>
      </c>
      <c r="G508" s="13" t="s">
        <v>2674</v>
      </c>
      <c r="H508" s="13" t="s">
        <v>2675</v>
      </c>
      <c r="I508" s="13"/>
      <c r="J508" s="7"/>
      <c r="K508" s="7"/>
      <c r="L508" s="7" t="s">
        <v>93</v>
      </c>
      <c r="M508" s="7" t="s">
        <v>93</v>
      </c>
      <c r="N508" s="10"/>
      <c r="O508" s="9" t="str">
        <f t="shared" si="7"/>
        <v/>
      </c>
      <c r="P508" s="11"/>
      <c r="Q508" s="12"/>
      <c r="R508" s="11"/>
      <c r="S508" s="7"/>
    </row>
    <row r="509" spans="1:19" ht="14.4" x14ac:dyDescent="0.3">
      <c r="A509" s="6" t="s">
        <v>202</v>
      </c>
      <c r="B509" s="6" t="s">
        <v>2610</v>
      </c>
      <c r="C509" s="6" t="s">
        <v>2676</v>
      </c>
      <c r="D509" s="6" t="s">
        <v>82</v>
      </c>
      <c r="E509" s="6" t="s">
        <v>2677</v>
      </c>
      <c r="F509" s="13" t="s">
        <v>2678</v>
      </c>
      <c r="G509" s="13" t="s">
        <v>2679</v>
      </c>
      <c r="H509" s="13" t="s">
        <v>2680</v>
      </c>
      <c r="I509" s="13"/>
      <c r="J509" s="7"/>
      <c r="K509" s="7"/>
      <c r="L509" s="7" t="s">
        <v>93</v>
      </c>
      <c r="M509" s="7" t="s">
        <v>93</v>
      </c>
      <c r="N509" s="10"/>
      <c r="O509" s="9" t="str">
        <f t="shared" si="7"/>
        <v/>
      </c>
      <c r="P509" s="11"/>
      <c r="Q509" s="12"/>
      <c r="R509" s="11"/>
      <c r="S509" s="7"/>
    </row>
    <row r="510" spans="1:19" ht="14.4" x14ac:dyDescent="0.3">
      <c r="A510" s="6" t="s">
        <v>202</v>
      </c>
      <c r="B510" s="6" t="s">
        <v>2610</v>
      </c>
      <c r="C510" s="6" t="s">
        <v>2681</v>
      </c>
      <c r="D510" s="6" t="s">
        <v>82</v>
      </c>
      <c r="E510" s="6" t="s">
        <v>2682</v>
      </c>
      <c r="F510" s="13" t="s">
        <v>2683</v>
      </c>
      <c r="G510" s="13" t="s">
        <v>2684</v>
      </c>
      <c r="H510" s="13"/>
      <c r="I510" s="13"/>
      <c r="J510" s="7"/>
      <c r="K510" s="7"/>
      <c r="L510" s="7" t="s">
        <v>93</v>
      </c>
      <c r="M510" s="7" t="s">
        <v>93</v>
      </c>
      <c r="N510" s="10"/>
      <c r="O510" s="9" t="str">
        <f t="shared" si="7"/>
        <v/>
      </c>
      <c r="P510" s="11"/>
      <c r="Q510" s="12"/>
      <c r="R510" s="11"/>
      <c r="S510" s="7"/>
    </row>
    <row r="511" spans="1:19" ht="14.4" x14ac:dyDescent="0.3">
      <c r="A511" s="6" t="s">
        <v>202</v>
      </c>
      <c r="B511" s="6" t="s">
        <v>2610</v>
      </c>
      <c r="C511" s="6" t="s">
        <v>2685</v>
      </c>
      <c r="D511" s="6" t="s">
        <v>82</v>
      </c>
      <c r="E511" s="6" t="s">
        <v>2686</v>
      </c>
      <c r="F511" s="13" t="s">
        <v>2687</v>
      </c>
      <c r="G511" s="13" t="s">
        <v>2688</v>
      </c>
      <c r="H511" s="13" t="s">
        <v>2689</v>
      </c>
      <c r="I511" s="13"/>
      <c r="J511" s="7"/>
      <c r="K511" s="7"/>
      <c r="L511" s="7" t="s">
        <v>93</v>
      </c>
      <c r="M511" s="7" t="s">
        <v>93</v>
      </c>
      <c r="N511" s="10"/>
      <c r="O511" s="9" t="str">
        <f t="shared" si="7"/>
        <v/>
      </c>
      <c r="P511" s="11"/>
      <c r="Q511" s="12"/>
      <c r="R511" s="11"/>
      <c r="S511" s="7"/>
    </row>
    <row r="512" spans="1:19" ht="14.4" x14ac:dyDescent="0.3">
      <c r="A512" s="6" t="s">
        <v>202</v>
      </c>
      <c r="B512" s="6" t="s">
        <v>2610</v>
      </c>
      <c r="C512" s="6" t="s">
        <v>2690</v>
      </c>
      <c r="D512" s="6" t="s">
        <v>82</v>
      </c>
      <c r="E512" s="6" t="s">
        <v>2691</v>
      </c>
      <c r="F512" s="13" t="s">
        <v>2692</v>
      </c>
      <c r="G512" s="13" t="s">
        <v>2693</v>
      </c>
      <c r="H512" s="13" t="s">
        <v>2694</v>
      </c>
      <c r="I512" s="13"/>
      <c r="J512" s="7"/>
      <c r="K512" s="7"/>
      <c r="L512" s="7" t="s">
        <v>93</v>
      </c>
      <c r="M512" s="7" t="s">
        <v>93</v>
      </c>
      <c r="N512" s="10"/>
      <c r="O512" s="9" t="str">
        <f t="shared" si="7"/>
        <v/>
      </c>
      <c r="P512" s="11"/>
      <c r="Q512" s="12"/>
      <c r="R512" s="11"/>
      <c r="S512" s="7"/>
    </row>
    <row r="513" spans="1:19" ht="14.4" x14ac:dyDescent="0.3">
      <c r="A513" s="6" t="s">
        <v>202</v>
      </c>
      <c r="B513" s="6" t="s">
        <v>2610</v>
      </c>
      <c r="C513" s="6" t="s">
        <v>2695</v>
      </c>
      <c r="D513" s="6" t="s">
        <v>82</v>
      </c>
      <c r="E513" s="6" t="s">
        <v>2696</v>
      </c>
      <c r="F513" s="13" t="s">
        <v>2697</v>
      </c>
      <c r="G513" s="13" t="s">
        <v>2698</v>
      </c>
      <c r="H513" s="13"/>
      <c r="I513" s="13"/>
      <c r="J513" s="7"/>
      <c r="K513" s="7"/>
      <c r="L513" s="7" t="s">
        <v>93</v>
      </c>
      <c r="M513" s="7" t="s">
        <v>93</v>
      </c>
      <c r="N513" s="10"/>
      <c r="O513" s="9" t="str">
        <f t="shared" si="7"/>
        <v/>
      </c>
      <c r="P513" s="11"/>
      <c r="Q513" s="12"/>
      <c r="R513" s="11"/>
      <c r="S513" s="7"/>
    </row>
    <row r="514" spans="1:19" ht="14.4" x14ac:dyDescent="0.3">
      <c r="A514" s="6" t="s">
        <v>202</v>
      </c>
      <c r="B514" s="6" t="s">
        <v>2610</v>
      </c>
      <c r="C514" s="6" t="s">
        <v>2699</v>
      </c>
      <c r="D514" s="6" t="s">
        <v>82</v>
      </c>
      <c r="E514" s="6" t="s">
        <v>2700</v>
      </c>
      <c r="F514" s="13" t="s">
        <v>2701</v>
      </c>
      <c r="G514" s="13" t="s">
        <v>2702</v>
      </c>
      <c r="H514" s="13" t="s">
        <v>2703</v>
      </c>
      <c r="I514" s="13" t="s">
        <v>2704</v>
      </c>
      <c r="J514" s="7"/>
      <c r="K514" s="7"/>
      <c r="L514" s="7" t="s">
        <v>93</v>
      </c>
      <c r="M514" s="7" t="s">
        <v>93</v>
      </c>
      <c r="N514" s="10"/>
      <c r="O514" s="9" t="str">
        <f t="shared" ref="O514:O529" si="8">IF(L514="oui","incomplet",IF(OR(J514="non",K514="non"),"a_regulariser",IF(AND(J514="oui",K514="oui"),"ok","")))</f>
        <v/>
      </c>
      <c r="P514" s="11"/>
      <c r="Q514" s="12"/>
      <c r="R514" s="11"/>
      <c r="S514" s="7"/>
    </row>
    <row r="515" spans="1:19" ht="14.4" x14ac:dyDescent="0.3">
      <c r="A515" s="6" t="s">
        <v>262</v>
      </c>
      <c r="B515" s="6" t="s">
        <v>2705</v>
      </c>
      <c r="C515" s="6" t="s">
        <v>2706</v>
      </c>
      <c r="D515" s="6" t="s">
        <v>2707</v>
      </c>
      <c r="E515" s="6" t="s">
        <v>2708</v>
      </c>
      <c r="F515" s="13" t="s">
        <v>2709</v>
      </c>
      <c r="G515" s="13" t="s">
        <v>2710</v>
      </c>
      <c r="H515" s="13" t="s">
        <v>2711</v>
      </c>
      <c r="I515" s="13"/>
      <c r="J515" s="7"/>
      <c r="K515" s="7"/>
      <c r="L515" s="7" t="s">
        <v>93</v>
      </c>
      <c r="M515" s="7" t="s">
        <v>93</v>
      </c>
      <c r="N515" s="10"/>
      <c r="O515" s="9" t="str">
        <f t="shared" si="8"/>
        <v/>
      </c>
      <c r="P515" s="11"/>
      <c r="Q515" s="12"/>
      <c r="R515" s="11"/>
      <c r="S515" s="7"/>
    </row>
    <row r="516" spans="1:19" ht="14.4" x14ac:dyDescent="0.3">
      <c r="A516" s="6" t="s">
        <v>262</v>
      </c>
      <c r="B516" s="6" t="s">
        <v>2705</v>
      </c>
      <c r="C516" s="6" t="s">
        <v>2712</v>
      </c>
      <c r="D516" s="6" t="s">
        <v>2707</v>
      </c>
      <c r="E516" s="6" t="s">
        <v>2713</v>
      </c>
      <c r="F516" s="13" t="s">
        <v>965</v>
      </c>
      <c r="G516" s="13" t="s">
        <v>2714</v>
      </c>
      <c r="H516" s="13" t="s">
        <v>2715</v>
      </c>
      <c r="I516" s="13"/>
      <c r="J516" s="7"/>
      <c r="K516" s="7"/>
      <c r="L516" s="7" t="s">
        <v>93</v>
      </c>
      <c r="M516" s="7" t="s">
        <v>93</v>
      </c>
      <c r="N516" s="10"/>
      <c r="O516" s="9" t="str">
        <f t="shared" si="8"/>
        <v/>
      </c>
      <c r="P516" s="11"/>
      <c r="Q516" s="12"/>
      <c r="R516" s="11"/>
      <c r="S516" s="7"/>
    </row>
    <row r="517" spans="1:19" ht="14.4" x14ac:dyDescent="0.3">
      <c r="A517" s="6" t="s">
        <v>262</v>
      </c>
      <c r="B517" s="6" t="s">
        <v>2705</v>
      </c>
      <c r="C517" s="6" t="s">
        <v>2716</v>
      </c>
      <c r="D517" s="6" t="s">
        <v>2707</v>
      </c>
      <c r="E517" s="6" t="s">
        <v>2717</v>
      </c>
      <c r="F517" s="13" t="s">
        <v>2718</v>
      </c>
      <c r="G517" s="13" t="s">
        <v>2719</v>
      </c>
      <c r="H517" s="13" t="s">
        <v>2720</v>
      </c>
      <c r="I517" s="13"/>
      <c r="J517" s="7"/>
      <c r="K517" s="7"/>
      <c r="L517" s="7" t="s">
        <v>93</v>
      </c>
      <c r="M517" s="7" t="s">
        <v>93</v>
      </c>
      <c r="N517" s="10"/>
      <c r="O517" s="9" t="str">
        <f t="shared" si="8"/>
        <v/>
      </c>
      <c r="P517" s="11"/>
      <c r="Q517" s="12"/>
      <c r="R517" s="11"/>
      <c r="S517" s="7"/>
    </row>
    <row r="518" spans="1:19" ht="14.4" x14ac:dyDescent="0.3">
      <c r="A518" s="6" t="s">
        <v>262</v>
      </c>
      <c r="B518" s="6" t="s">
        <v>2705</v>
      </c>
      <c r="C518" s="6" t="s">
        <v>2721</v>
      </c>
      <c r="D518" s="6" t="s">
        <v>2707</v>
      </c>
      <c r="E518" s="6" t="s">
        <v>2722</v>
      </c>
      <c r="F518" s="13" t="s">
        <v>439</v>
      </c>
      <c r="G518" s="13" t="s">
        <v>2723</v>
      </c>
      <c r="H518" s="13" t="s">
        <v>2724</v>
      </c>
      <c r="I518" s="13"/>
      <c r="J518" s="7"/>
      <c r="K518" s="7"/>
      <c r="L518" s="7" t="s">
        <v>93</v>
      </c>
      <c r="M518" s="7" t="s">
        <v>93</v>
      </c>
      <c r="N518" s="10"/>
      <c r="O518" s="9" t="str">
        <f t="shared" si="8"/>
        <v/>
      </c>
      <c r="P518" s="11"/>
      <c r="Q518" s="12"/>
      <c r="R518" s="11"/>
      <c r="S518" s="7"/>
    </row>
    <row r="519" spans="1:19" ht="14.4" x14ac:dyDescent="0.3">
      <c r="A519" s="6" t="s">
        <v>262</v>
      </c>
      <c r="B519" s="6" t="s">
        <v>2705</v>
      </c>
      <c r="C519" s="6" t="s">
        <v>2725</v>
      </c>
      <c r="D519" s="6" t="s">
        <v>2707</v>
      </c>
      <c r="E519" s="6" t="s">
        <v>2726</v>
      </c>
      <c r="F519" s="13" t="s">
        <v>2727</v>
      </c>
      <c r="G519" s="13" t="s">
        <v>2728</v>
      </c>
      <c r="H519" s="13" t="s">
        <v>2729</v>
      </c>
      <c r="I519" s="13" t="s">
        <v>2730</v>
      </c>
      <c r="J519" s="7"/>
      <c r="K519" s="7"/>
      <c r="L519" s="7" t="s">
        <v>93</v>
      </c>
      <c r="M519" s="7" t="s">
        <v>93</v>
      </c>
      <c r="N519" s="10"/>
      <c r="O519" s="9" t="str">
        <f t="shared" si="8"/>
        <v/>
      </c>
      <c r="P519" s="11"/>
      <c r="Q519" s="12"/>
      <c r="R519" s="11"/>
      <c r="S519" s="7"/>
    </row>
    <row r="520" spans="1:19" ht="14.4" x14ac:dyDescent="0.3">
      <c r="A520" s="6" t="s">
        <v>262</v>
      </c>
      <c r="B520" s="6" t="s">
        <v>2705</v>
      </c>
      <c r="C520" s="6" t="s">
        <v>2731</v>
      </c>
      <c r="D520" s="6" t="s">
        <v>2707</v>
      </c>
      <c r="E520" s="6" t="s">
        <v>2732</v>
      </c>
      <c r="F520" s="13" t="s">
        <v>1661</v>
      </c>
      <c r="G520" s="13" t="s">
        <v>2733</v>
      </c>
      <c r="H520" s="13" t="s">
        <v>2734</v>
      </c>
      <c r="I520" s="13"/>
      <c r="J520" s="7"/>
      <c r="K520" s="7"/>
      <c r="L520" s="7" t="s">
        <v>93</v>
      </c>
      <c r="M520" s="7" t="s">
        <v>93</v>
      </c>
      <c r="N520" s="10"/>
      <c r="O520" s="9" t="str">
        <f t="shared" si="8"/>
        <v/>
      </c>
      <c r="P520" s="11"/>
      <c r="Q520" s="12"/>
      <c r="R520" s="11"/>
      <c r="S520" s="7"/>
    </row>
    <row r="521" spans="1:19" ht="14.4" x14ac:dyDescent="0.3">
      <c r="A521" s="6" t="s">
        <v>262</v>
      </c>
      <c r="B521" s="6" t="s">
        <v>2705</v>
      </c>
      <c r="C521" s="6" t="s">
        <v>2735</v>
      </c>
      <c r="D521" s="6" t="s">
        <v>2707</v>
      </c>
      <c r="E521" s="6" t="s">
        <v>2736</v>
      </c>
      <c r="F521" s="13" t="s">
        <v>2063</v>
      </c>
      <c r="G521" s="13" t="s">
        <v>2737</v>
      </c>
      <c r="H521" s="13" t="s">
        <v>2738</v>
      </c>
      <c r="I521" s="13"/>
      <c r="J521" s="7"/>
      <c r="K521" s="7"/>
      <c r="L521" s="7" t="s">
        <v>93</v>
      </c>
      <c r="M521" s="7" t="s">
        <v>93</v>
      </c>
      <c r="N521" s="10"/>
      <c r="O521" s="9" t="str">
        <f t="shared" si="8"/>
        <v/>
      </c>
      <c r="P521" s="11"/>
      <c r="Q521" s="12"/>
      <c r="R521" s="11"/>
      <c r="S521" s="7"/>
    </row>
    <row r="522" spans="1:19" ht="14.4" x14ac:dyDescent="0.3">
      <c r="A522" s="6" t="s">
        <v>262</v>
      </c>
      <c r="B522" s="6" t="s">
        <v>2705</v>
      </c>
      <c r="C522" s="6" t="s">
        <v>2739</v>
      </c>
      <c r="D522" s="6" t="s">
        <v>2707</v>
      </c>
      <c r="E522" s="6" t="s">
        <v>2740</v>
      </c>
      <c r="F522" s="13" t="s">
        <v>587</v>
      </c>
      <c r="G522" s="13" t="s">
        <v>1484</v>
      </c>
      <c r="H522" s="13" t="s">
        <v>2741</v>
      </c>
      <c r="I522" s="13"/>
      <c r="J522" s="7"/>
      <c r="K522" s="7"/>
      <c r="L522" s="7" t="s">
        <v>93</v>
      </c>
      <c r="M522" s="7" t="s">
        <v>93</v>
      </c>
      <c r="N522" s="10"/>
      <c r="O522" s="9" t="str">
        <f t="shared" si="8"/>
        <v/>
      </c>
      <c r="P522" s="11"/>
      <c r="Q522" s="12"/>
      <c r="R522" s="11"/>
      <c r="S522" s="7"/>
    </row>
    <row r="523" spans="1:19" ht="14.4" x14ac:dyDescent="0.3">
      <c r="A523" s="6" t="s">
        <v>262</v>
      </c>
      <c r="B523" s="6" t="s">
        <v>2705</v>
      </c>
      <c r="C523" s="6" t="s">
        <v>2742</v>
      </c>
      <c r="D523" s="6" t="s">
        <v>2707</v>
      </c>
      <c r="E523" s="6" t="s">
        <v>2743</v>
      </c>
      <c r="F523" s="13" t="s">
        <v>2744</v>
      </c>
      <c r="G523" s="13" t="s">
        <v>2745</v>
      </c>
      <c r="H523" s="13" t="s">
        <v>2746</v>
      </c>
      <c r="I523" s="13" t="s">
        <v>2747</v>
      </c>
      <c r="J523" s="7"/>
      <c r="K523" s="7"/>
      <c r="L523" s="7" t="s">
        <v>93</v>
      </c>
      <c r="M523" s="7" t="s">
        <v>93</v>
      </c>
      <c r="N523" s="10"/>
      <c r="O523" s="9" t="str">
        <f t="shared" si="8"/>
        <v/>
      </c>
      <c r="P523" s="11"/>
      <c r="Q523" s="12"/>
      <c r="R523" s="11"/>
      <c r="S523" s="7"/>
    </row>
    <row r="524" spans="1:19" ht="14.4" x14ac:dyDescent="0.3">
      <c r="A524" s="6" t="s">
        <v>262</v>
      </c>
      <c r="B524" s="6" t="s">
        <v>2705</v>
      </c>
      <c r="C524" s="6" t="s">
        <v>2748</v>
      </c>
      <c r="D524" s="6" t="s">
        <v>2707</v>
      </c>
      <c r="E524" s="6" t="s">
        <v>2749</v>
      </c>
      <c r="F524" s="13" t="s">
        <v>1924</v>
      </c>
      <c r="G524" s="13" t="s">
        <v>659</v>
      </c>
      <c r="H524" s="13" t="s">
        <v>2750</v>
      </c>
      <c r="I524" s="13"/>
      <c r="J524" s="7"/>
      <c r="K524" s="7"/>
      <c r="L524" s="7" t="s">
        <v>93</v>
      </c>
      <c r="M524" s="7" t="s">
        <v>93</v>
      </c>
      <c r="N524" s="10"/>
      <c r="O524" s="9" t="str">
        <f t="shared" si="8"/>
        <v/>
      </c>
      <c r="P524" s="11"/>
      <c r="Q524" s="12"/>
      <c r="R524" s="11"/>
      <c r="S524" s="7"/>
    </row>
    <row r="525" spans="1:19" ht="14.4" x14ac:dyDescent="0.3">
      <c r="A525" s="6" t="s">
        <v>262</v>
      </c>
      <c r="B525" s="6" t="s">
        <v>2705</v>
      </c>
      <c r="C525" s="6" t="s">
        <v>2752</v>
      </c>
      <c r="D525" s="6" t="s">
        <v>2707</v>
      </c>
      <c r="E525" s="6" t="s">
        <v>2753</v>
      </c>
      <c r="F525" s="13" t="s">
        <v>1924</v>
      </c>
      <c r="G525" s="13" t="s">
        <v>1384</v>
      </c>
      <c r="H525" s="13" t="s">
        <v>2754</v>
      </c>
      <c r="I525" s="13"/>
      <c r="J525" s="7"/>
      <c r="K525" s="7"/>
      <c r="L525" s="7" t="s">
        <v>93</v>
      </c>
      <c r="M525" s="7" t="s">
        <v>93</v>
      </c>
      <c r="N525" s="10"/>
      <c r="O525" s="9" t="str">
        <f t="shared" si="8"/>
        <v/>
      </c>
      <c r="P525" s="11"/>
      <c r="Q525" s="12"/>
      <c r="R525" s="11"/>
      <c r="S525" s="7"/>
    </row>
    <row r="526" spans="1:19" ht="14.4" x14ac:dyDescent="0.3">
      <c r="A526" s="6" t="s">
        <v>262</v>
      </c>
      <c r="B526" s="6" t="s">
        <v>2705</v>
      </c>
      <c r="C526" s="6" t="s">
        <v>2755</v>
      </c>
      <c r="D526" s="6" t="s">
        <v>2707</v>
      </c>
      <c r="E526" s="6" t="s">
        <v>2756</v>
      </c>
      <c r="F526" s="13" t="s">
        <v>692</v>
      </c>
      <c r="G526" s="13" t="s">
        <v>1997</v>
      </c>
      <c r="H526" s="13" t="s">
        <v>2757</v>
      </c>
      <c r="I526" s="13"/>
      <c r="J526" s="7"/>
      <c r="K526" s="7"/>
      <c r="L526" s="7" t="s">
        <v>93</v>
      </c>
      <c r="M526" s="7" t="s">
        <v>93</v>
      </c>
      <c r="N526" s="10"/>
      <c r="O526" s="9" t="str">
        <f t="shared" si="8"/>
        <v/>
      </c>
      <c r="P526" s="11"/>
      <c r="Q526" s="12"/>
      <c r="R526" s="11"/>
      <c r="S526" s="7"/>
    </row>
    <row r="527" spans="1:19" ht="14.4" x14ac:dyDescent="0.3">
      <c r="A527" s="6" t="s">
        <v>262</v>
      </c>
      <c r="B527" s="6" t="s">
        <v>2705</v>
      </c>
      <c r="C527" s="6" t="s">
        <v>2758</v>
      </c>
      <c r="D527" s="6" t="s">
        <v>2707</v>
      </c>
      <c r="E527" s="6" t="s">
        <v>2759</v>
      </c>
      <c r="F527" s="13" t="s">
        <v>2760</v>
      </c>
      <c r="G527" s="13" t="s">
        <v>2761</v>
      </c>
      <c r="H527" s="13" t="s">
        <v>2762</v>
      </c>
      <c r="I527" s="13"/>
      <c r="J527" s="7"/>
      <c r="K527" s="7"/>
      <c r="L527" s="7" t="s">
        <v>93</v>
      </c>
      <c r="M527" s="7" t="s">
        <v>93</v>
      </c>
      <c r="N527" s="10"/>
      <c r="O527" s="9" t="str">
        <f t="shared" si="8"/>
        <v/>
      </c>
      <c r="P527" s="11"/>
      <c r="Q527" s="12"/>
      <c r="R527" s="11"/>
      <c r="S527" s="7"/>
    </row>
    <row r="528" spans="1:19" ht="14.4" x14ac:dyDescent="0.3">
      <c r="A528" s="6" t="s">
        <v>262</v>
      </c>
      <c r="B528" s="6" t="s">
        <v>2705</v>
      </c>
      <c r="C528" s="6" t="s">
        <v>2763</v>
      </c>
      <c r="D528" s="6" t="s">
        <v>2707</v>
      </c>
      <c r="E528" s="6" t="s">
        <v>2764</v>
      </c>
      <c r="F528" s="13" t="s">
        <v>2765</v>
      </c>
      <c r="G528" s="13" t="s">
        <v>524</v>
      </c>
      <c r="H528" s="13" t="s">
        <v>2766</v>
      </c>
      <c r="I528" s="13"/>
      <c r="J528" s="7"/>
      <c r="K528" s="7"/>
      <c r="L528" s="7" t="s">
        <v>93</v>
      </c>
      <c r="M528" s="7" t="s">
        <v>93</v>
      </c>
      <c r="N528" s="10"/>
      <c r="O528" s="9" t="str">
        <f t="shared" si="8"/>
        <v/>
      </c>
      <c r="P528" s="11"/>
      <c r="Q528" s="12"/>
      <c r="R528" s="11"/>
      <c r="S528" s="7"/>
    </row>
    <row r="529" spans="1:19" ht="14.4" x14ac:dyDescent="0.3">
      <c r="A529" s="6" t="s">
        <v>262</v>
      </c>
      <c r="B529" s="6" t="s">
        <v>2705</v>
      </c>
      <c r="C529" s="6" t="s">
        <v>2767</v>
      </c>
      <c r="D529" s="6" t="s">
        <v>2707</v>
      </c>
      <c r="E529" s="6" t="s">
        <v>2768</v>
      </c>
      <c r="F529" s="13" t="s">
        <v>2769</v>
      </c>
      <c r="G529" s="13" t="s">
        <v>2770</v>
      </c>
      <c r="H529" s="13" t="s">
        <v>2771</v>
      </c>
      <c r="I529" s="13"/>
      <c r="J529" s="7"/>
      <c r="K529" s="7"/>
      <c r="L529" s="7" t="s">
        <v>93</v>
      </c>
      <c r="M529" s="7" t="s">
        <v>93</v>
      </c>
      <c r="N529" s="10"/>
      <c r="O529" s="9" t="str">
        <f t="shared" si="8"/>
        <v/>
      </c>
      <c r="P529" s="11"/>
      <c r="Q529" s="12"/>
      <c r="R529" s="11"/>
      <c r="S529" s="7"/>
    </row>
  </sheetData>
  <autoFilter ref="A1:S529" xr:uid="{00000000-0009-0000-0000-000006000000}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="Valeur non autorisée" prompt="Choisir dans la liste" xr:uid="{00000000-0002-0000-0600-000000000000}">
          <x14:formula1>
            <xm:f>Referentiels!$A$4:$A$5</xm:f>
          </x14:formula1>
          <x14:formula2>
            <xm:f>0</xm:f>
          </x14:formula2>
          <xm:sqref>J2:M529</xm:sqref>
        </x14:dataValidation>
        <x14:dataValidation type="list" allowBlank="1" error="Valeur non autorisée" prompt="Choisir dans la liste" xr:uid="{00000000-0002-0000-0600-000001000000}">
          <x14:formula1>
            <xm:f>Referentiels!$AE$4:$AE$6</xm:f>
          </x14:formula1>
          <x14:formula2>
            <xm:f>0</xm:f>
          </x14:formula2>
          <xm:sqref>O2:O529</xm:sqref>
        </x14:dataValidation>
        <x14:dataValidation type="list" allowBlank="1" error="Valeur non autorisée" prompt="Choisir dans la liste" xr:uid="{00000000-0002-0000-0600-000002000000}">
          <x14:formula1>
            <xm:f>Referentiels!$U$4:$U$6</xm:f>
          </x14:formula1>
          <x14:formula2>
            <xm:f>0</xm:f>
          </x14:formula2>
          <xm:sqref>R2:R529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C7A7-27BE-4EE5-AB36-AE5A2BE151F5}">
  <dimension ref="A1:H529"/>
  <sheetViews>
    <sheetView workbookViewId="0">
      <selection activeCell="I9" sqref="I9"/>
    </sheetView>
  </sheetViews>
  <sheetFormatPr baseColWidth="10" defaultRowHeight="14.4" x14ac:dyDescent="0.3"/>
  <cols>
    <col min="1" max="1" width="10" customWidth="1"/>
    <col min="2" max="2" width="12" customWidth="1"/>
    <col min="3" max="3" width="14" customWidth="1"/>
    <col min="4" max="5" width="16" customWidth="1"/>
    <col min="6" max="6" width="28.6640625" customWidth="1"/>
    <col min="7" max="7" width="13.88671875" customWidth="1"/>
    <col min="8" max="8" width="13.109375" customWidth="1"/>
  </cols>
  <sheetData>
    <row r="1" spans="1:8" x14ac:dyDescent="0.3">
      <c r="A1" s="3" t="s">
        <v>183</v>
      </c>
      <c r="B1" s="3" t="s">
        <v>184</v>
      </c>
      <c r="C1" s="3" t="s">
        <v>185</v>
      </c>
      <c r="D1" s="3" t="s">
        <v>4504</v>
      </c>
      <c r="E1" s="3" t="s">
        <v>4505</v>
      </c>
      <c r="F1" s="3" t="s">
        <v>4506</v>
      </c>
      <c r="G1" s="3" t="s">
        <v>4507</v>
      </c>
      <c r="H1" s="3" t="s">
        <v>4508</v>
      </c>
    </row>
    <row r="2" spans="1:8" x14ac:dyDescent="0.3">
      <c r="A2" s="6" t="s">
        <v>202</v>
      </c>
      <c r="B2" s="6" t="s">
        <v>203</v>
      </c>
      <c r="C2" s="6" t="s">
        <v>204</v>
      </c>
      <c r="D2" s="7" t="s">
        <v>93</v>
      </c>
      <c r="E2" s="7" t="s">
        <v>93</v>
      </c>
    </row>
    <row r="3" spans="1:8" x14ac:dyDescent="0.3">
      <c r="A3" s="6" t="s">
        <v>202</v>
      </c>
      <c r="B3" s="6" t="s">
        <v>203</v>
      </c>
      <c r="C3" s="6" t="s">
        <v>210</v>
      </c>
      <c r="D3" s="7" t="s">
        <v>93</v>
      </c>
      <c r="E3" s="7" t="s">
        <v>93</v>
      </c>
    </row>
    <row r="4" spans="1:8" x14ac:dyDescent="0.3">
      <c r="A4" s="6" t="s">
        <v>202</v>
      </c>
      <c r="B4" s="6" t="s">
        <v>203</v>
      </c>
      <c r="C4" s="6" t="s">
        <v>216</v>
      </c>
      <c r="D4" s="7" t="s">
        <v>93</v>
      </c>
      <c r="E4" s="7" t="s">
        <v>93</v>
      </c>
    </row>
    <row r="5" spans="1:8" x14ac:dyDescent="0.3">
      <c r="A5" s="6" t="s">
        <v>202</v>
      </c>
      <c r="B5" s="6" t="s">
        <v>203</v>
      </c>
      <c r="C5" s="6" t="s">
        <v>223</v>
      </c>
      <c r="D5" s="7" t="s">
        <v>93</v>
      </c>
      <c r="E5" s="7" t="s">
        <v>93</v>
      </c>
    </row>
    <row r="6" spans="1:8" x14ac:dyDescent="0.3">
      <c r="A6" s="6" t="s">
        <v>202</v>
      </c>
      <c r="B6" s="6" t="s">
        <v>203</v>
      </c>
      <c r="C6" s="6" t="s">
        <v>228</v>
      </c>
      <c r="D6" s="7" t="s">
        <v>93</v>
      </c>
      <c r="E6" s="7" t="s">
        <v>93</v>
      </c>
    </row>
    <row r="7" spans="1:8" x14ac:dyDescent="0.3">
      <c r="A7" s="6" t="s">
        <v>202</v>
      </c>
      <c r="B7" s="6" t="s">
        <v>203</v>
      </c>
      <c r="C7" s="6" t="s">
        <v>233</v>
      </c>
      <c r="D7" s="7" t="s">
        <v>93</v>
      </c>
      <c r="E7" s="7" t="s">
        <v>93</v>
      </c>
    </row>
    <row r="8" spans="1:8" x14ac:dyDescent="0.3">
      <c r="A8" s="6" t="s">
        <v>202</v>
      </c>
      <c r="B8" s="6" t="s">
        <v>203</v>
      </c>
      <c r="C8" s="6" t="s">
        <v>238</v>
      </c>
      <c r="D8" s="7" t="s">
        <v>93</v>
      </c>
      <c r="E8" s="7" t="s">
        <v>93</v>
      </c>
    </row>
    <row r="9" spans="1:8" x14ac:dyDescent="0.3">
      <c r="A9" s="6" t="s">
        <v>202</v>
      </c>
      <c r="B9" s="6" t="s">
        <v>203</v>
      </c>
      <c r="C9" s="6" t="s">
        <v>243</v>
      </c>
      <c r="D9" s="7" t="s">
        <v>93</v>
      </c>
      <c r="E9" s="7" t="s">
        <v>93</v>
      </c>
    </row>
    <row r="10" spans="1:8" x14ac:dyDescent="0.3">
      <c r="A10" s="6" t="s">
        <v>202</v>
      </c>
      <c r="B10" s="6" t="s">
        <v>203</v>
      </c>
      <c r="C10" s="6" t="s">
        <v>249</v>
      </c>
      <c r="D10" s="7" t="s">
        <v>93</v>
      </c>
      <c r="E10" s="7" t="s">
        <v>93</v>
      </c>
    </row>
    <row r="11" spans="1:8" x14ac:dyDescent="0.3">
      <c r="A11" s="6" t="s">
        <v>202</v>
      </c>
      <c r="B11" s="6" t="s">
        <v>203</v>
      </c>
      <c r="C11" s="6" t="s">
        <v>256</v>
      </c>
      <c r="D11" s="7" t="s">
        <v>93</v>
      </c>
      <c r="E11" s="7" t="s">
        <v>93</v>
      </c>
    </row>
    <row r="12" spans="1:8" x14ac:dyDescent="0.3">
      <c r="A12" s="6" t="s">
        <v>202</v>
      </c>
      <c r="B12" s="6" t="s">
        <v>203</v>
      </c>
      <c r="C12" s="6" t="s">
        <v>261</v>
      </c>
      <c r="D12" s="7" t="s">
        <v>93</v>
      </c>
      <c r="E12" s="7" t="s">
        <v>93</v>
      </c>
    </row>
    <row r="13" spans="1:8" x14ac:dyDescent="0.3">
      <c r="A13" s="6" t="s">
        <v>202</v>
      </c>
      <c r="B13" s="6" t="s">
        <v>203</v>
      </c>
      <c r="C13" s="6" t="s">
        <v>269</v>
      </c>
      <c r="D13" s="7" t="s">
        <v>93</v>
      </c>
      <c r="E13" s="7" t="s">
        <v>93</v>
      </c>
    </row>
    <row r="14" spans="1:8" x14ac:dyDescent="0.3">
      <c r="A14" s="6" t="s">
        <v>202</v>
      </c>
      <c r="B14" s="6" t="s">
        <v>203</v>
      </c>
      <c r="C14" s="6" t="s">
        <v>277</v>
      </c>
      <c r="D14" s="7" t="s">
        <v>93</v>
      </c>
      <c r="E14" s="7" t="s">
        <v>93</v>
      </c>
    </row>
    <row r="15" spans="1:8" x14ac:dyDescent="0.3">
      <c r="A15" s="6" t="s">
        <v>202</v>
      </c>
      <c r="B15" s="6" t="s">
        <v>203</v>
      </c>
      <c r="C15" s="6" t="s">
        <v>282</v>
      </c>
      <c r="D15" s="7" t="s">
        <v>93</v>
      </c>
      <c r="E15" s="7" t="s">
        <v>93</v>
      </c>
    </row>
    <row r="16" spans="1:8" x14ac:dyDescent="0.3">
      <c r="A16" s="6" t="s">
        <v>202</v>
      </c>
      <c r="B16" s="6" t="s">
        <v>203</v>
      </c>
      <c r="C16" s="6" t="s">
        <v>287</v>
      </c>
      <c r="D16" s="7" t="s">
        <v>93</v>
      </c>
      <c r="E16" s="7" t="s">
        <v>93</v>
      </c>
    </row>
    <row r="17" spans="1:5" x14ac:dyDescent="0.3">
      <c r="A17" s="6" t="s">
        <v>202</v>
      </c>
      <c r="B17" s="6" t="s">
        <v>203</v>
      </c>
      <c r="C17" s="6" t="s">
        <v>291</v>
      </c>
      <c r="D17" s="7" t="s">
        <v>93</v>
      </c>
      <c r="E17" s="7" t="s">
        <v>93</v>
      </c>
    </row>
    <row r="18" spans="1:5" x14ac:dyDescent="0.3">
      <c r="A18" s="6" t="s">
        <v>202</v>
      </c>
      <c r="B18" s="6" t="s">
        <v>203</v>
      </c>
      <c r="C18" s="6" t="s">
        <v>297</v>
      </c>
      <c r="D18" s="7" t="s">
        <v>93</v>
      </c>
      <c r="E18" s="7" t="s">
        <v>93</v>
      </c>
    </row>
    <row r="19" spans="1:5" x14ac:dyDescent="0.3">
      <c r="A19" s="6" t="s">
        <v>202</v>
      </c>
      <c r="B19" s="6" t="s">
        <v>203</v>
      </c>
      <c r="C19" s="6" t="s">
        <v>303</v>
      </c>
      <c r="D19" s="7" t="s">
        <v>93</v>
      </c>
      <c r="E19" s="7" t="s">
        <v>93</v>
      </c>
    </row>
    <row r="20" spans="1:5" x14ac:dyDescent="0.3">
      <c r="A20" s="6" t="s">
        <v>202</v>
      </c>
      <c r="B20" s="6" t="s">
        <v>203</v>
      </c>
      <c r="C20" s="6" t="s">
        <v>309</v>
      </c>
      <c r="D20" s="7" t="s">
        <v>93</v>
      </c>
      <c r="E20" s="7" t="s">
        <v>93</v>
      </c>
    </row>
    <row r="21" spans="1:5" x14ac:dyDescent="0.3">
      <c r="A21" s="6" t="s">
        <v>202</v>
      </c>
      <c r="B21" s="6" t="s">
        <v>203</v>
      </c>
      <c r="C21" s="6" t="s">
        <v>315</v>
      </c>
      <c r="D21" s="7" t="s">
        <v>93</v>
      </c>
      <c r="E21" s="7" t="s">
        <v>93</v>
      </c>
    </row>
    <row r="22" spans="1:5" x14ac:dyDescent="0.3">
      <c r="A22" s="6" t="s">
        <v>202</v>
      </c>
      <c r="B22" s="6" t="s">
        <v>203</v>
      </c>
      <c r="C22" s="6" t="s">
        <v>321</v>
      </c>
      <c r="D22" s="7" t="s">
        <v>93</v>
      </c>
      <c r="E22" s="7" t="s">
        <v>93</v>
      </c>
    </row>
    <row r="23" spans="1:5" x14ac:dyDescent="0.3">
      <c r="A23" s="6" t="s">
        <v>202</v>
      </c>
      <c r="B23" s="6" t="s">
        <v>203</v>
      </c>
      <c r="C23" s="6" t="s">
        <v>328</v>
      </c>
      <c r="D23" s="7" t="s">
        <v>93</v>
      </c>
      <c r="E23" s="7" t="s">
        <v>93</v>
      </c>
    </row>
    <row r="24" spans="1:5" x14ac:dyDescent="0.3">
      <c r="A24" s="6" t="s">
        <v>202</v>
      </c>
      <c r="B24" s="6" t="s">
        <v>203</v>
      </c>
      <c r="C24" s="6" t="s">
        <v>332</v>
      </c>
      <c r="D24" s="7" t="s">
        <v>93</v>
      </c>
      <c r="E24" s="7" t="s">
        <v>93</v>
      </c>
    </row>
    <row r="25" spans="1:5" x14ac:dyDescent="0.3">
      <c r="A25" s="6" t="s">
        <v>202</v>
      </c>
      <c r="B25" s="6" t="s">
        <v>203</v>
      </c>
      <c r="C25" s="6" t="s">
        <v>338</v>
      </c>
      <c r="D25" s="7" t="s">
        <v>93</v>
      </c>
      <c r="E25" s="7" t="s">
        <v>93</v>
      </c>
    </row>
    <row r="26" spans="1:5" x14ac:dyDescent="0.3">
      <c r="A26" s="6" t="s">
        <v>202</v>
      </c>
      <c r="B26" s="6" t="s">
        <v>203</v>
      </c>
      <c r="C26" s="6" t="s">
        <v>342</v>
      </c>
      <c r="D26" s="7" t="s">
        <v>93</v>
      </c>
      <c r="E26" s="7" t="s">
        <v>93</v>
      </c>
    </row>
    <row r="27" spans="1:5" x14ac:dyDescent="0.3">
      <c r="A27" s="6" t="s">
        <v>202</v>
      </c>
      <c r="B27" s="6" t="s">
        <v>203</v>
      </c>
      <c r="C27" s="6" t="s">
        <v>347</v>
      </c>
      <c r="D27" s="7" t="s">
        <v>93</v>
      </c>
      <c r="E27" s="7" t="s">
        <v>93</v>
      </c>
    </row>
    <row r="28" spans="1:5" x14ac:dyDescent="0.3">
      <c r="A28" s="6" t="s">
        <v>202</v>
      </c>
      <c r="B28" s="6" t="s">
        <v>203</v>
      </c>
      <c r="C28" s="6" t="s">
        <v>354</v>
      </c>
      <c r="D28" s="7" t="s">
        <v>93</v>
      </c>
      <c r="E28" s="7" t="s">
        <v>93</v>
      </c>
    </row>
    <row r="29" spans="1:5" x14ac:dyDescent="0.3">
      <c r="A29" s="6" t="s">
        <v>202</v>
      </c>
      <c r="B29" s="6" t="s">
        <v>203</v>
      </c>
      <c r="C29" s="6" t="s">
        <v>361</v>
      </c>
      <c r="D29" s="7" t="s">
        <v>93</v>
      </c>
      <c r="E29" s="7" t="s">
        <v>93</v>
      </c>
    </row>
    <row r="30" spans="1:5" x14ac:dyDescent="0.3">
      <c r="A30" s="6" t="s">
        <v>202</v>
      </c>
      <c r="B30" s="6" t="s">
        <v>203</v>
      </c>
      <c r="C30" s="6" t="s">
        <v>365</v>
      </c>
      <c r="D30" s="7" t="s">
        <v>93</v>
      </c>
      <c r="E30" s="7" t="s">
        <v>93</v>
      </c>
    </row>
    <row r="31" spans="1:5" x14ac:dyDescent="0.3">
      <c r="A31" s="6" t="s">
        <v>202</v>
      </c>
      <c r="B31" s="6" t="s">
        <v>203</v>
      </c>
      <c r="C31" s="6" t="s">
        <v>370</v>
      </c>
      <c r="D31" s="7" t="s">
        <v>93</v>
      </c>
      <c r="E31" s="7" t="s">
        <v>93</v>
      </c>
    </row>
    <row r="32" spans="1:5" x14ac:dyDescent="0.3">
      <c r="A32" s="6" t="s">
        <v>202</v>
      </c>
      <c r="B32" s="6" t="s">
        <v>375</v>
      </c>
      <c r="C32" s="6" t="s">
        <v>376</v>
      </c>
      <c r="D32" s="7" t="s">
        <v>90</v>
      </c>
      <c r="E32" s="7" t="s">
        <v>93</v>
      </c>
    </row>
    <row r="33" spans="1:5" x14ac:dyDescent="0.3">
      <c r="A33" s="6" t="s">
        <v>202</v>
      </c>
      <c r="B33" s="6" t="s">
        <v>375</v>
      </c>
      <c r="C33" s="6" t="s">
        <v>384</v>
      </c>
      <c r="D33" s="7" t="s">
        <v>90</v>
      </c>
      <c r="E33" s="7" t="s">
        <v>93</v>
      </c>
    </row>
    <row r="34" spans="1:5" x14ac:dyDescent="0.3">
      <c r="A34" s="6" t="s">
        <v>202</v>
      </c>
      <c r="B34" s="6" t="s">
        <v>375</v>
      </c>
      <c r="C34" s="6" t="s">
        <v>390</v>
      </c>
      <c r="D34" s="7" t="s">
        <v>90</v>
      </c>
      <c r="E34" s="7" t="s">
        <v>93</v>
      </c>
    </row>
    <row r="35" spans="1:5" x14ac:dyDescent="0.3">
      <c r="A35" s="6" t="s">
        <v>292</v>
      </c>
      <c r="B35" s="6" t="s">
        <v>395</v>
      </c>
      <c r="C35" s="6" t="s">
        <v>396</v>
      </c>
      <c r="D35" s="7" t="s">
        <v>90</v>
      </c>
      <c r="E35" s="7" t="s">
        <v>93</v>
      </c>
    </row>
    <row r="36" spans="1:5" x14ac:dyDescent="0.3">
      <c r="A36" s="6" t="s">
        <v>292</v>
      </c>
      <c r="B36" s="6" t="s">
        <v>395</v>
      </c>
      <c r="C36" s="6" t="s">
        <v>404</v>
      </c>
      <c r="D36" s="7" t="s">
        <v>90</v>
      </c>
      <c r="E36" s="7" t="s">
        <v>93</v>
      </c>
    </row>
    <row r="37" spans="1:5" x14ac:dyDescent="0.3">
      <c r="A37" s="6" t="s">
        <v>292</v>
      </c>
      <c r="B37" s="6" t="s">
        <v>395</v>
      </c>
      <c r="C37" s="6" t="s">
        <v>409</v>
      </c>
      <c r="D37" s="7" t="s">
        <v>90</v>
      </c>
      <c r="E37" s="7" t="s">
        <v>93</v>
      </c>
    </row>
    <row r="38" spans="1:5" x14ac:dyDescent="0.3">
      <c r="A38" s="6" t="s">
        <v>292</v>
      </c>
      <c r="B38" s="6" t="s">
        <v>395</v>
      </c>
      <c r="C38" s="6" t="s">
        <v>414</v>
      </c>
      <c r="D38" s="7" t="s">
        <v>90</v>
      </c>
      <c r="E38" s="7" t="s">
        <v>93</v>
      </c>
    </row>
    <row r="39" spans="1:5" x14ac:dyDescent="0.3">
      <c r="A39" s="6" t="s">
        <v>262</v>
      </c>
      <c r="B39" s="6" t="s">
        <v>419</v>
      </c>
      <c r="C39" s="6" t="s">
        <v>420</v>
      </c>
      <c r="D39" s="7" t="s">
        <v>90</v>
      </c>
      <c r="E39" s="7" t="s">
        <v>93</v>
      </c>
    </row>
    <row r="40" spans="1:5" x14ac:dyDescent="0.3">
      <c r="A40" s="6" t="s">
        <v>262</v>
      </c>
      <c r="B40" s="6" t="s">
        <v>419</v>
      </c>
      <c r="C40" s="6" t="s">
        <v>426</v>
      </c>
      <c r="D40" s="7" t="s">
        <v>90</v>
      </c>
      <c r="E40" s="7" t="s">
        <v>93</v>
      </c>
    </row>
    <row r="41" spans="1:5" x14ac:dyDescent="0.3">
      <c r="A41" s="6" t="s">
        <v>262</v>
      </c>
      <c r="B41" s="6" t="s">
        <v>419</v>
      </c>
      <c r="C41" s="6" t="s">
        <v>430</v>
      </c>
      <c r="D41" s="7" t="s">
        <v>90</v>
      </c>
      <c r="E41" s="7" t="s">
        <v>93</v>
      </c>
    </row>
    <row r="42" spans="1:5" x14ac:dyDescent="0.3">
      <c r="A42" s="6" t="s">
        <v>262</v>
      </c>
      <c r="B42" s="6" t="s">
        <v>419</v>
      </c>
      <c r="C42" s="6" t="s">
        <v>437</v>
      </c>
      <c r="D42" s="7" t="s">
        <v>90</v>
      </c>
      <c r="E42" s="7" t="s">
        <v>93</v>
      </c>
    </row>
    <row r="43" spans="1:5" x14ac:dyDescent="0.3">
      <c r="A43" s="6" t="s">
        <v>262</v>
      </c>
      <c r="B43" s="6" t="s">
        <v>419</v>
      </c>
      <c r="C43" s="6" t="s">
        <v>442</v>
      </c>
      <c r="D43" s="7" t="s">
        <v>90</v>
      </c>
      <c r="E43" s="7" t="s">
        <v>93</v>
      </c>
    </row>
    <row r="44" spans="1:5" x14ac:dyDescent="0.3">
      <c r="A44" s="6" t="s">
        <v>262</v>
      </c>
      <c r="B44" s="6" t="s">
        <v>419</v>
      </c>
      <c r="C44" s="6" t="s">
        <v>447</v>
      </c>
      <c r="D44" s="7" t="s">
        <v>90</v>
      </c>
      <c r="E44" s="7" t="s">
        <v>93</v>
      </c>
    </row>
    <row r="45" spans="1:5" x14ac:dyDescent="0.3">
      <c r="A45" s="6" t="s">
        <v>262</v>
      </c>
      <c r="B45" s="6" t="s">
        <v>419</v>
      </c>
      <c r="C45" s="6" t="s">
        <v>451</v>
      </c>
      <c r="D45" s="7" t="s">
        <v>90</v>
      </c>
      <c r="E45" s="7" t="s">
        <v>93</v>
      </c>
    </row>
    <row r="46" spans="1:5" x14ac:dyDescent="0.3">
      <c r="A46" s="6" t="s">
        <v>262</v>
      </c>
      <c r="B46" s="6" t="s">
        <v>419</v>
      </c>
      <c r="C46" s="6" t="s">
        <v>456</v>
      </c>
      <c r="D46" s="7" t="s">
        <v>90</v>
      </c>
      <c r="E46" s="7" t="s">
        <v>93</v>
      </c>
    </row>
    <row r="47" spans="1:5" x14ac:dyDescent="0.3">
      <c r="A47" s="6" t="s">
        <v>262</v>
      </c>
      <c r="B47" s="6" t="s">
        <v>419</v>
      </c>
      <c r="C47" s="6" t="s">
        <v>463</v>
      </c>
      <c r="D47" s="7" t="s">
        <v>90</v>
      </c>
      <c r="E47" s="7" t="s">
        <v>93</v>
      </c>
    </row>
    <row r="48" spans="1:5" x14ac:dyDescent="0.3">
      <c r="A48" s="6" t="s">
        <v>262</v>
      </c>
      <c r="B48" s="6" t="s">
        <v>419</v>
      </c>
      <c r="C48" s="6" t="s">
        <v>470</v>
      </c>
      <c r="D48" s="7" t="s">
        <v>90</v>
      </c>
      <c r="E48" s="7" t="s">
        <v>93</v>
      </c>
    </row>
    <row r="49" spans="1:5" x14ac:dyDescent="0.3">
      <c r="A49" s="6" t="s">
        <v>262</v>
      </c>
      <c r="B49" s="6" t="s">
        <v>419</v>
      </c>
      <c r="C49" s="6" t="s">
        <v>475</v>
      </c>
      <c r="D49" s="7" t="s">
        <v>90</v>
      </c>
      <c r="E49" s="7" t="s">
        <v>93</v>
      </c>
    </row>
    <row r="50" spans="1:5" x14ac:dyDescent="0.3">
      <c r="A50" s="6" t="s">
        <v>262</v>
      </c>
      <c r="B50" s="6" t="s">
        <v>419</v>
      </c>
      <c r="C50" s="6" t="s">
        <v>479</v>
      </c>
      <c r="D50" s="7" t="s">
        <v>90</v>
      </c>
      <c r="E50" s="7" t="s">
        <v>93</v>
      </c>
    </row>
    <row r="51" spans="1:5" x14ac:dyDescent="0.3">
      <c r="A51" s="6" t="s">
        <v>262</v>
      </c>
      <c r="B51" s="6" t="s">
        <v>419</v>
      </c>
      <c r="C51" s="6" t="s">
        <v>486</v>
      </c>
      <c r="D51" s="7" t="s">
        <v>90</v>
      </c>
      <c r="E51" s="7" t="s">
        <v>93</v>
      </c>
    </row>
    <row r="52" spans="1:5" x14ac:dyDescent="0.3">
      <c r="A52" s="6" t="s">
        <v>262</v>
      </c>
      <c r="B52" s="6" t="s">
        <v>419</v>
      </c>
      <c r="C52" s="6" t="s">
        <v>491</v>
      </c>
      <c r="D52" s="7" t="s">
        <v>90</v>
      </c>
      <c r="E52" s="7" t="s">
        <v>93</v>
      </c>
    </row>
    <row r="53" spans="1:5" x14ac:dyDescent="0.3">
      <c r="A53" s="6" t="s">
        <v>262</v>
      </c>
      <c r="B53" s="6" t="s">
        <v>419</v>
      </c>
      <c r="C53" s="6" t="s">
        <v>494</v>
      </c>
      <c r="D53" s="7" t="s">
        <v>90</v>
      </c>
      <c r="E53" s="7" t="s">
        <v>93</v>
      </c>
    </row>
    <row r="54" spans="1:5" x14ac:dyDescent="0.3">
      <c r="A54" s="6" t="s">
        <v>262</v>
      </c>
      <c r="B54" s="6" t="s">
        <v>419</v>
      </c>
      <c r="C54" s="6" t="s">
        <v>499</v>
      </c>
      <c r="D54" s="7" t="s">
        <v>90</v>
      </c>
      <c r="E54" s="7" t="s">
        <v>93</v>
      </c>
    </row>
    <row r="55" spans="1:5" x14ac:dyDescent="0.3">
      <c r="A55" s="6" t="s">
        <v>262</v>
      </c>
      <c r="B55" s="6" t="s">
        <v>419</v>
      </c>
      <c r="C55" s="6" t="s">
        <v>503</v>
      </c>
      <c r="D55" s="7" t="s">
        <v>90</v>
      </c>
      <c r="E55" s="7" t="s">
        <v>93</v>
      </c>
    </row>
    <row r="56" spans="1:5" x14ac:dyDescent="0.3">
      <c r="A56" s="6" t="s">
        <v>262</v>
      </c>
      <c r="B56" s="6" t="s">
        <v>419</v>
      </c>
      <c r="C56" s="6" t="s">
        <v>508</v>
      </c>
      <c r="D56" s="7" t="s">
        <v>90</v>
      </c>
      <c r="E56" s="7" t="s">
        <v>93</v>
      </c>
    </row>
    <row r="57" spans="1:5" x14ac:dyDescent="0.3">
      <c r="A57" s="6" t="s">
        <v>262</v>
      </c>
      <c r="B57" s="6" t="s">
        <v>419</v>
      </c>
      <c r="C57" s="6" t="s">
        <v>512</v>
      </c>
      <c r="D57" s="7" t="s">
        <v>90</v>
      </c>
      <c r="E57" s="7" t="s">
        <v>93</v>
      </c>
    </row>
    <row r="58" spans="1:5" x14ac:dyDescent="0.3">
      <c r="A58" s="6" t="s">
        <v>262</v>
      </c>
      <c r="B58" s="6" t="s">
        <v>419</v>
      </c>
      <c r="C58" s="6" t="s">
        <v>516</v>
      </c>
      <c r="D58" s="7" t="s">
        <v>90</v>
      </c>
      <c r="E58" s="7" t="s">
        <v>93</v>
      </c>
    </row>
    <row r="59" spans="1:5" x14ac:dyDescent="0.3">
      <c r="A59" s="6" t="s">
        <v>262</v>
      </c>
      <c r="B59" s="6" t="s">
        <v>419</v>
      </c>
      <c r="C59" s="6" t="s">
        <v>521</v>
      </c>
      <c r="D59" s="7" t="s">
        <v>90</v>
      </c>
      <c r="E59" s="7" t="s">
        <v>93</v>
      </c>
    </row>
    <row r="60" spans="1:5" x14ac:dyDescent="0.3">
      <c r="A60" s="6" t="s">
        <v>262</v>
      </c>
      <c r="B60" s="6" t="s">
        <v>419</v>
      </c>
      <c r="C60" s="6" t="s">
        <v>525</v>
      </c>
      <c r="D60" s="7" t="s">
        <v>90</v>
      </c>
      <c r="E60" s="7" t="s">
        <v>93</v>
      </c>
    </row>
    <row r="61" spans="1:5" x14ac:dyDescent="0.3">
      <c r="A61" s="6" t="s">
        <v>262</v>
      </c>
      <c r="B61" s="6" t="s">
        <v>419</v>
      </c>
      <c r="C61" s="6" t="s">
        <v>531</v>
      </c>
      <c r="D61" s="7" t="s">
        <v>90</v>
      </c>
      <c r="E61" s="7" t="s">
        <v>93</v>
      </c>
    </row>
    <row r="62" spans="1:5" x14ac:dyDescent="0.3">
      <c r="A62" s="6" t="s">
        <v>262</v>
      </c>
      <c r="B62" s="6" t="s">
        <v>419</v>
      </c>
      <c r="C62" s="6" t="s">
        <v>538</v>
      </c>
      <c r="D62" s="7" t="s">
        <v>90</v>
      </c>
      <c r="E62" s="7" t="s">
        <v>93</v>
      </c>
    </row>
    <row r="63" spans="1:5" x14ac:dyDescent="0.3">
      <c r="A63" s="6" t="s">
        <v>262</v>
      </c>
      <c r="B63" s="6" t="s">
        <v>419</v>
      </c>
      <c r="C63" s="6" t="s">
        <v>543</v>
      </c>
      <c r="D63" s="7" t="s">
        <v>90</v>
      </c>
      <c r="E63" s="7" t="s">
        <v>93</v>
      </c>
    </row>
    <row r="64" spans="1:5" x14ac:dyDescent="0.3">
      <c r="A64" s="6" t="s">
        <v>270</v>
      </c>
      <c r="B64" s="6" t="s">
        <v>548</v>
      </c>
      <c r="C64" s="6" t="s">
        <v>549</v>
      </c>
      <c r="D64" s="7" t="s">
        <v>90</v>
      </c>
      <c r="E64" s="7" t="s">
        <v>93</v>
      </c>
    </row>
    <row r="65" spans="1:5" x14ac:dyDescent="0.3">
      <c r="A65" s="6" t="s">
        <v>270</v>
      </c>
      <c r="B65" s="6" t="s">
        <v>548</v>
      </c>
      <c r="C65" s="6" t="s">
        <v>555</v>
      </c>
      <c r="D65" s="7" t="s">
        <v>90</v>
      </c>
      <c r="E65" s="7" t="s">
        <v>93</v>
      </c>
    </row>
    <row r="66" spans="1:5" x14ac:dyDescent="0.3">
      <c r="A66" s="6" t="s">
        <v>270</v>
      </c>
      <c r="B66" s="6" t="s">
        <v>548</v>
      </c>
      <c r="C66" s="6" t="s">
        <v>560</v>
      </c>
      <c r="D66" s="7" t="s">
        <v>90</v>
      </c>
      <c r="E66" s="7" t="s">
        <v>93</v>
      </c>
    </row>
    <row r="67" spans="1:5" x14ac:dyDescent="0.3">
      <c r="A67" s="6" t="s">
        <v>270</v>
      </c>
      <c r="B67" s="6" t="s">
        <v>548</v>
      </c>
      <c r="C67" s="6" t="s">
        <v>565</v>
      </c>
      <c r="D67" s="7" t="s">
        <v>90</v>
      </c>
      <c r="E67" s="7" t="s">
        <v>93</v>
      </c>
    </row>
    <row r="68" spans="1:5" x14ac:dyDescent="0.3">
      <c r="A68" s="6" t="s">
        <v>270</v>
      </c>
      <c r="B68" s="6" t="s">
        <v>548</v>
      </c>
      <c r="C68" s="6" t="s">
        <v>570</v>
      </c>
      <c r="D68" s="7" t="s">
        <v>90</v>
      </c>
      <c r="E68" s="7" t="s">
        <v>93</v>
      </c>
    </row>
    <row r="69" spans="1:5" x14ac:dyDescent="0.3">
      <c r="A69" s="6" t="s">
        <v>270</v>
      </c>
      <c r="B69" s="6" t="s">
        <v>548</v>
      </c>
      <c r="C69" s="6" t="s">
        <v>574</v>
      </c>
      <c r="D69" s="7" t="s">
        <v>90</v>
      </c>
      <c r="E69" s="7" t="s">
        <v>93</v>
      </c>
    </row>
    <row r="70" spans="1:5" x14ac:dyDescent="0.3">
      <c r="A70" s="6" t="s">
        <v>270</v>
      </c>
      <c r="B70" s="6" t="s">
        <v>548</v>
      </c>
      <c r="C70" s="6" t="s">
        <v>579</v>
      </c>
      <c r="D70" s="7" t="s">
        <v>90</v>
      </c>
      <c r="E70" s="7" t="s">
        <v>93</v>
      </c>
    </row>
    <row r="71" spans="1:5" x14ac:dyDescent="0.3">
      <c r="A71" s="6" t="s">
        <v>270</v>
      </c>
      <c r="B71" s="6" t="s">
        <v>548</v>
      </c>
      <c r="C71" s="6" t="s">
        <v>585</v>
      </c>
      <c r="D71" s="7" t="s">
        <v>90</v>
      </c>
      <c r="E71" s="7" t="s">
        <v>93</v>
      </c>
    </row>
    <row r="72" spans="1:5" x14ac:dyDescent="0.3">
      <c r="A72" s="6" t="s">
        <v>270</v>
      </c>
      <c r="B72" s="6" t="s">
        <v>548</v>
      </c>
      <c r="C72" s="6" t="s">
        <v>589</v>
      </c>
      <c r="D72" s="7" t="s">
        <v>90</v>
      </c>
      <c r="E72" s="7" t="s">
        <v>93</v>
      </c>
    </row>
    <row r="73" spans="1:5" x14ac:dyDescent="0.3">
      <c r="A73" s="6" t="s">
        <v>270</v>
      </c>
      <c r="B73" s="6" t="s">
        <v>548</v>
      </c>
      <c r="C73" s="6" t="s">
        <v>594</v>
      </c>
      <c r="D73" s="7" t="s">
        <v>90</v>
      </c>
      <c r="E73" s="7" t="s">
        <v>93</v>
      </c>
    </row>
    <row r="74" spans="1:5" x14ac:dyDescent="0.3">
      <c r="A74" s="6" t="s">
        <v>270</v>
      </c>
      <c r="B74" s="6" t="s">
        <v>548</v>
      </c>
      <c r="C74" s="6" t="s">
        <v>598</v>
      </c>
      <c r="D74" s="7" t="s">
        <v>90</v>
      </c>
      <c r="E74" s="7" t="s">
        <v>93</v>
      </c>
    </row>
    <row r="75" spans="1:5" x14ac:dyDescent="0.3">
      <c r="A75" s="6" t="s">
        <v>270</v>
      </c>
      <c r="B75" s="6" t="s">
        <v>548</v>
      </c>
      <c r="C75" s="6" t="s">
        <v>603</v>
      </c>
      <c r="D75" s="7" t="s">
        <v>90</v>
      </c>
      <c r="E75" s="7" t="s">
        <v>93</v>
      </c>
    </row>
    <row r="76" spans="1:5" x14ac:dyDescent="0.3">
      <c r="A76" s="6" t="s">
        <v>270</v>
      </c>
      <c r="B76" s="6" t="s">
        <v>548</v>
      </c>
      <c r="C76" s="6" t="s">
        <v>609</v>
      </c>
      <c r="D76" s="7" t="s">
        <v>90</v>
      </c>
      <c r="E76" s="7" t="s">
        <v>93</v>
      </c>
    </row>
    <row r="77" spans="1:5" x14ac:dyDescent="0.3">
      <c r="A77" s="6" t="s">
        <v>270</v>
      </c>
      <c r="B77" s="6" t="s">
        <v>548</v>
      </c>
      <c r="C77" s="6" t="s">
        <v>613</v>
      </c>
      <c r="D77" s="7" t="s">
        <v>90</v>
      </c>
      <c r="E77" s="7" t="s">
        <v>93</v>
      </c>
    </row>
    <row r="78" spans="1:5" x14ac:dyDescent="0.3">
      <c r="A78" s="6" t="s">
        <v>270</v>
      </c>
      <c r="B78" s="6" t="s">
        <v>548</v>
      </c>
      <c r="C78" s="6" t="s">
        <v>618</v>
      </c>
      <c r="D78" s="7" t="s">
        <v>90</v>
      </c>
      <c r="E78" s="7" t="s">
        <v>93</v>
      </c>
    </row>
    <row r="79" spans="1:5" x14ac:dyDescent="0.3">
      <c r="A79" s="6" t="s">
        <v>270</v>
      </c>
      <c r="B79" s="6" t="s">
        <v>548</v>
      </c>
      <c r="C79" s="6" t="s">
        <v>623</v>
      </c>
      <c r="D79" s="7" t="s">
        <v>90</v>
      </c>
      <c r="E79" s="7" t="s">
        <v>93</v>
      </c>
    </row>
    <row r="80" spans="1:5" x14ac:dyDescent="0.3">
      <c r="A80" s="6" t="s">
        <v>270</v>
      </c>
      <c r="B80" s="6" t="s">
        <v>548</v>
      </c>
      <c r="C80" s="6" t="s">
        <v>628</v>
      </c>
      <c r="D80" s="7" t="s">
        <v>90</v>
      </c>
      <c r="E80" s="7" t="s">
        <v>93</v>
      </c>
    </row>
    <row r="81" spans="1:5" x14ac:dyDescent="0.3">
      <c r="A81" s="6" t="s">
        <v>270</v>
      </c>
      <c r="B81" s="6" t="s">
        <v>548</v>
      </c>
      <c r="C81" s="6" t="s">
        <v>633</v>
      </c>
      <c r="D81" s="7" t="s">
        <v>90</v>
      </c>
      <c r="E81" s="7" t="s">
        <v>93</v>
      </c>
    </row>
    <row r="82" spans="1:5" x14ac:dyDescent="0.3">
      <c r="A82" s="6" t="s">
        <v>270</v>
      </c>
      <c r="B82" s="6" t="s">
        <v>548</v>
      </c>
      <c r="C82" s="6" t="s">
        <v>640</v>
      </c>
      <c r="D82" s="7" t="s">
        <v>90</v>
      </c>
      <c r="E82" s="7" t="s">
        <v>93</v>
      </c>
    </row>
    <row r="83" spans="1:5" x14ac:dyDescent="0.3">
      <c r="A83" s="6" t="s">
        <v>270</v>
      </c>
      <c r="B83" s="6" t="s">
        <v>548</v>
      </c>
      <c r="C83" s="6" t="s">
        <v>644</v>
      </c>
      <c r="D83" s="7" t="s">
        <v>90</v>
      </c>
      <c r="E83" s="7" t="s">
        <v>93</v>
      </c>
    </row>
    <row r="84" spans="1:5" x14ac:dyDescent="0.3">
      <c r="A84" s="6" t="s">
        <v>270</v>
      </c>
      <c r="B84" s="6" t="s">
        <v>548</v>
      </c>
      <c r="C84" s="6" t="s">
        <v>651</v>
      </c>
      <c r="D84" s="7" t="s">
        <v>90</v>
      </c>
      <c r="E84" s="7" t="s">
        <v>93</v>
      </c>
    </row>
    <row r="85" spans="1:5" x14ac:dyDescent="0.3">
      <c r="A85" s="6" t="s">
        <v>270</v>
      </c>
      <c r="B85" s="6" t="s">
        <v>548</v>
      </c>
      <c r="C85" s="6" t="s">
        <v>656</v>
      </c>
      <c r="D85" s="7" t="s">
        <v>90</v>
      </c>
      <c r="E85" s="7" t="s">
        <v>93</v>
      </c>
    </row>
    <row r="86" spans="1:5" x14ac:dyDescent="0.3">
      <c r="A86" s="6" t="s">
        <v>270</v>
      </c>
      <c r="B86" s="6" t="s">
        <v>548</v>
      </c>
      <c r="C86" s="6" t="s">
        <v>661</v>
      </c>
      <c r="D86" s="7" t="s">
        <v>90</v>
      </c>
      <c r="E86" s="7" t="s">
        <v>93</v>
      </c>
    </row>
    <row r="87" spans="1:5" x14ac:dyDescent="0.3">
      <c r="A87" s="6" t="s">
        <v>270</v>
      </c>
      <c r="B87" s="6" t="s">
        <v>548</v>
      </c>
      <c r="C87" s="6" t="s">
        <v>666</v>
      </c>
      <c r="D87" s="7" t="s">
        <v>90</v>
      </c>
      <c r="E87" s="7" t="s">
        <v>93</v>
      </c>
    </row>
    <row r="88" spans="1:5" x14ac:dyDescent="0.3">
      <c r="A88" s="6" t="s">
        <v>270</v>
      </c>
      <c r="B88" s="6" t="s">
        <v>673</v>
      </c>
      <c r="C88" s="6" t="s">
        <v>674</v>
      </c>
      <c r="D88" s="7" t="s">
        <v>90</v>
      </c>
      <c r="E88" s="7" t="s">
        <v>93</v>
      </c>
    </row>
    <row r="89" spans="1:5" x14ac:dyDescent="0.3">
      <c r="A89" s="6" t="s">
        <v>270</v>
      </c>
      <c r="B89" s="6" t="s">
        <v>673</v>
      </c>
      <c r="C89" s="6" t="s">
        <v>679</v>
      </c>
      <c r="D89" s="7" t="s">
        <v>90</v>
      </c>
      <c r="E89" s="7" t="s">
        <v>93</v>
      </c>
    </row>
    <row r="90" spans="1:5" x14ac:dyDescent="0.3">
      <c r="A90" s="6" t="s">
        <v>292</v>
      </c>
      <c r="B90" s="6" t="s">
        <v>683</v>
      </c>
      <c r="C90" s="6" t="s">
        <v>684</v>
      </c>
      <c r="D90" s="7" t="s">
        <v>90</v>
      </c>
      <c r="E90" s="7" t="s">
        <v>93</v>
      </c>
    </row>
    <row r="91" spans="1:5" x14ac:dyDescent="0.3">
      <c r="A91" s="6" t="s">
        <v>292</v>
      </c>
      <c r="B91" s="6" t="s">
        <v>683</v>
      </c>
      <c r="C91" s="6" t="s">
        <v>690</v>
      </c>
      <c r="D91" s="7" t="s">
        <v>90</v>
      </c>
      <c r="E91" s="7" t="s">
        <v>93</v>
      </c>
    </row>
    <row r="92" spans="1:5" x14ac:dyDescent="0.3">
      <c r="A92" s="6" t="s">
        <v>292</v>
      </c>
      <c r="B92" s="6" t="s">
        <v>683</v>
      </c>
      <c r="C92" s="6" t="s">
        <v>695</v>
      </c>
      <c r="D92" s="7" t="s">
        <v>90</v>
      </c>
      <c r="E92" s="7" t="s">
        <v>93</v>
      </c>
    </row>
    <row r="93" spans="1:5" x14ac:dyDescent="0.3">
      <c r="A93" s="6" t="s">
        <v>292</v>
      </c>
      <c r="B93" s="6" t="s">
        <v>683</v>
      </c>
      <c r="C93" s="6" t="s">
        <v>701</v>
      </c>
      <c r="D93" s="7" t="s">
        <v>90</v>
      </c>
      <c r="E93" s="7" t="s">
        <v>93</v>
      </c>
    </row>
    <row r="94" spans="1:5" x14ac:dyDescent="0.3">
      <c r="A94" s="6" t="s">
        <v>292</v>
      </c>
      <c r="B94" s="6" t="s">
        <v>683</v>
      </c>
      <c r="C94" s="6" t="s">
        <v>704</v>
      </c>
      <c r="D94" s="7" t="s">
        <v>90</v>
      </c>
      <c r="E94" s="7" t="s">
        <v>93</v>
      </c>
    </row>
    <row r="95" spans="1:5" x14ac:dyDescent="0.3">
      <c r="A95" s="6" t="s">
        <v>292</v>
      </c>
      <c r="B95" s="6" t="s">
        <v>683</v>
      </c>
      <c r="C95" s="6" t="s">
        <v>710</v>
      </c>
      <c r="D95" s="7" t="s">
        <v>90</v>
      </c>
      <c r="E95" s="7" t="s">
        <v>93</v>
      </c>
    </row>
    <row r="96" spans="1:5" x14ac:dyDescent="0.3">
      <c r="A96" s="6" t="s">
        <v>292</v>
      </c>
      <c r="B96" s="6" t="s">
        <v>683</v>
      </c>
      <c r="C96" s="6" t="s">
        <v>715</v>
      </c>
      <c r="D96" s="7" t="s">
        <v>90</v>
      </c>
      <c r="E96" s="7" t="s">
        <v>93</v>
      </c>
    </row>
    <row r="97" spans="1:5" x14ac:dyDescent="0.3">
      <c r="A97" s="6" t="s">
        <v>292</v>
      </c>
      <c r="B97" s="6" t="s">
        <v>683</v>
      </c>
      <c r="C97" s="6" t="s">
        <v>718</v>
      </c>
      <c r="D97" s="7" t="s">
        <v>90</v>
      </c>
      <c r="E97" s="7" t="s">
        <v>93</v>
      </c>
    </row>
    <row r="98" spans="1:5" x14ac:dyDescent="0.3">
      <c r="A98" s="6" t="s">
        <v>292</v>
      </c>
      <c r="B98" s="6" t="s">
        <v>683</v>
      </c>
      <c r="C98" s="6" t="s">
        <v>724</v>
      </c>
      <c r="D98" s="7" t="s">
        <v>90</v>
      </c>
      <c r="E98" s="7" t="s">
        <v>93</v>
      </c>
    </row>
    <row r="99" spans="1:5" x14ac:dyDescent="0.3">
      <c r="A99" s="6" t="s">
        <v>270</v>
      </c>
      <c r="B99" s="6" t="s">
        <v>729</v>
      </c>
      <c r="C99" s="6" t="s">
        <v>730</v>
      </c>
      <c r="D99" s="7" t="s">
        <v>93</v>
      </c>
      <c r="E99" s="7" t="s">
        <v>93</v>
      </c>
    </row>
    <row r="100" spans="1:5" x14ac:dyDescent="0.3">
      <c r="A100" s="6" t="s">
        <v>270</v>
      </c>
      <c r="B100" s="6" t="s">
        <v>729</v>
      </c>
      <c r="C100" s="6" t="s">
        <v>735</v>
      </c>
      <c r="D100" s="7" t="s">
        <v>93</v>
      </c>
      <c r="E100" s="7" t="s">
        <v>93</v>
      </c>
    </row>
    <row r="101" spans="1:5" x14ac:dyDescent="0.3">
      <c r="A101" s="6" t="s">
        <v>270</v>
      </c>
      <c r="B101" s="6" t="s">
        <v>729</v>
      </c>
      <c r="C101" s="6" t="s">
        <v>740</v>
      </c>
      <c r="D101" s="7" t="s">
        <v>93</v>
      </c>
      <c r="E101" s="7" t="s">
        <v>93</v>
      </c>
    </row>
    <row r="102" spans="1:5" x14ac:dyDescent="0.3">
      <c r="A102" s="6" t="s">
        <v>270</v>
      </c>
      <c r="B102" s="6" t="s">
        <v>729</v>
      </c>
      <c r="C102" s="6" t="s">
        <v>745</v>
      </c>
      <c r="D102" s="7" t="s">
        <v>93</v>
      </c>
      <c r="E102" s="7" t="s">
        <v>93</v>
      </c>
    </row>
    <row r="103" spans="1:5" x14ac:dyDescent="0.3">
      <c r="A103" s="6" t="s">
        <v>270</v>
      </c>
      <c r="B103" s="6" t="s">
        <v>729</v>
      </c>
      <c r="C103" s="6" t="s">
        <v>751</v>
      </c>
      <c r="D103" s="7" t="s">
        <v>93</v>
      </c>
      <c r="E103" s="7" t="s">
        <v>93</v>
      </c>
    </row>
    <row r="104" spans="1:5" x14ac:dyDescent="0.3">
      <c r="A104" s="6" t="s">
        <v>270</v>
      </c>
      <c r="B104" s="6" t="s">
        <v>729</v>
      </c>
      <c r="C104" s="6" t="s">
        <v>756</v>
      </c>
      <c r="D104" s="7" t="s">
        <v>93</v>
      </c>
      <c r="E104" s="7" t="s">
        <v>93</v>
      </c>
    </row>
    <row r="105" spans="1:5" x14ac:dyDescent="0.3">
      <c r="A105" s="6" t="s">
        <v>270</v>
      </c>
      <c r="B105" s="6" t="s">
        <v>729</v>
      </c>
      <c r="C105" s="6" t="s">
        <v>761</v>
      </c>
      <c r="D105" s="7" t="s">
        <v>93</v>
      </c>
      <c r="E105" s="7" t="s">
        <v>93</v>
      </c>
    </row>
    <row r="106" spans="1:5" x14ac:dyDescent="0.3">
      <c r="A106" s="6" t="s">
        <v>270</v>
      </c>
      <c r="B106" s="6" t="s">
        <v>729</v>
      </c>
      <c r="C106" s="6" t="s">
        <v>766</v>
      </c>
      <c r="D106" s="7" t="s">
        <v>93</v>
      </c>
      <c r="E106" s="7" t="s">
        <v>93</v>
      </c>
    </row>
    <row r="107" spans="1:5" x14ac:dyDescent="0.3">
      <c r="A107" s="6" t="s">
        <v>270</v>
      </c>
      <c r="B107" s="6" t="s">
        <v>729</v>
      </c>
      <c r="C107" s="6" t="s">
        <v>769</v>
      </c>
      <c r="D107" s="7" t="s">
        <v>93</v>
      </c>
      <c r="E107" s="7" t="s">
        <v>93</v>
      </c>
    </row>
    <row r="108" spans="1:5" x14ac:dyDescent="0.3">
      <c r="A108" s="6" t="s">
        <v>270</v>
      </c>
      <c r="B108" s="6" t="s">
        <v>729</v>
      </c>
      <c r="C108" s="6" t="s">
        <v>774</v>
      </c>
      <c r="D108" s="7" t="s">
        <v>93</v>
      </c>
      <c r="E108" s="7" t="s">
        <v>93</v>
      </c>
    </row>
    <row r="109" spans="1:5" x14ac:dyDescent="0.3">
      <c r="A109" s="6" t="s">
        <v>270</v>
      </c>
      <c r="B109" s="6" t="s">
        <v>729</v>
      </c>
      <c r="C109" s="6" t="s">
        <v>778</v>
      </c>
      <c r="D109" s="7" t="s">
        <v>93</v>
      </c>
      <c r="E109" s="7" t="s">
        <v>93</v>
      </c>
    </row>
    <row r="110" spans="1:5" x14ac:dyDescent="0.3">
      <c r="A110" s="6" t="s">
        <v>270</v>
      </c>
      <c r="B110" s="6" t="s">
        <v>729</v>
      </c>
      <c r="C110" s="6" t="s">
        <v>783</v>
      </c>
      <c r="D110" s="7" t="s">
        <v>93</v>
      </c>
      <c r="E110" s="7" t="s">
        <v>93</v>
      </c>
    </row>
    <row r="111" spans="1:5" x14ac:dyDescent="0.3">
      <c r="A111" s="6" t="s">
        <v>270</v>
      </c>
      <c r="B111" s="6" t="s">
        <v>729</v>
      </c>
      <c r="C111" s="6" t="s">
        <v>787</v>
      </c>
      <c r="D111" s="7" t="s">
        <v>93</v>
      </c>
      <c r="E111" s="7" t="s">
        <v>93</v>
      </c>
    </row>
    <row r="112" spans="1:5" x14ac:dyDescent="0.3">
      <c r="A112" s="6" t="s">
        <v>270</v>
      </c>
      <c r="B112" s="6" t="s">
        <v>729</v>
      </c>
      <c r="C112" s="6" t="s">
        <v>791</v>
      </c>
      <c r="D112" s="7" t="s">
        <v>93</v>
      </c>
      <c r="E112" s="7" t="s">
        <v>93</v>
      </c>
    </row>
    <row r="113" spans="1:5" x14ac:dyDescent="0.3">
      <c r="A113" s="6" t="s">
        <v>270</v>
      </c>
      <c r="B113" s="6" t="s">
        <v>729</v>
      </c>
      <c r="C113" s="6" t="s">
        <v>798</v>
      </c>
      <c r="D113" s="7" t="s">
        <v>93</v>
      </c>
      <c r="E113" s="7" t="s">
        <v>93</v>
      </c>
    </row>
    <row r="114" spans="1:5" x14ac:dyDescent="0.3">
      <c r="A114" s="6" t="s">
        <v>270</v>
      </c>
      <c r="B114" s="6" t="s">
        <v>729</v>
      </c>
      <c r="C114" s="6" t="s">
        <v>805</v>
      </c>
      <c r="D114" s="7" t="s">
        <v>93</v>
      </c>
      <c r="E114" s="7" t="s">
        <v>93</v>
      </c>
    </row>
    <row r="115" spans="1:5" x14ac:dyDescent="0.3">
      <c r="A115" s="6" t="s">
        <v>270</v>
      </c>
      <c r="B115" s="6" t="s">
        <v>729</v>
      </c>
      <c r="C115" s="6" t="s">
        <v>810</v>
      </c>
      <c r="D115" s="7" t="s">
        <v>93</v>
      </c>
      <c r="E115" s="7" t="s">
        <v>93</v>
      </c>
    </row>
    <row r="116" spans="1:5" x14ac:dyDescent="0.3">
      <c r="A116" s="6" t="s">
        <v>270</v>
      </c>
      <c r="B116" s="6" t="s">
        <v>729</v>
      </c>
      <c r="C116" s="6" t="s">
        <v>815</v>
      </c>
      <c r="D116" s="7" t="s">
        <v>93</v>
      </c>
      <c r="E116" s="7" t="s">
        <v>93</v>
      </c>
    </row>
    <row r="117" spans="1:5" x14ac:dyDescent="0.3">
      <c r="A117" s="6" t="s">
        <v>270</v>
      </c>
      <c r="B117" s="6" t="s">
        <v>729</v>
      </c>
      <c r="C117" s="6" t="s">
        <v>820</v>
      </c>
      <c r="D117" s="7" t="s">
        <v>93</v>
      </c>
      <c r="E117" s="7" t="s">
        <v>93</v>
      </c>
    </row>
    <row r="118" spans="1:5" x14ac:dyDescent="0.3">
      <c r="A118" s="6" t="s">
        <v>270</v>
      </c>
      <c r="B118" s="6" t="s">
        <v>729</v>
      </c>
      <c r="C118" s="6" t="s">
        <v>824</v>
      </c>
      <c r="D118" s="7" t="s">
        <v>93</v>
      </c>
      <c r="E118" s="7" t="s">
        <v>93</v>
      </c>
    </row>
    <row r="119" spans="1:5" x14ac:dyDescent="0.3">
      <c r="A119" s="6" t="s">
        <v>270</v>
      </c>
      <c r="B119" s="6" t="s">
        <v>729</v>
      </c>
      <c r="C119" s="6" t="s">
        <v>828</v>
      </c>
      <c r="D119" s="7" t="s">
        <v>93</v>
      </c>
      <c r="E119" s="7" t="s">
        <v>93</v>
      </c>
    </row>
    <row r="120" spans="1:5" x14ac:dyDescent="0.3">
      <c r="A120" s="6" t="s">
        <v>270</v>
      </c>
      <c r="B120" s="6" t="s">
        <v>729</v>
      </c>
      <c r="C120" s="6" t="s">
        <v>833</v>
      </c>
      <c r="D120" s="7" t="s">
        <v>93</v>
      </c>
      <c r="E120" s="7" t="s">
        <v>93</v>
      </c>
    </row>
    <row r="121" spans="1:5" x14ac:dyDescent="0.3">
      <c r="A121" s="6" t="s">
        <v>270</v>
      </c>
      <c r="B121" s="6" t="s">
        <v>729</v>
      </c>
      <c r="C121" s="6" t="s">
        <v>839</v>
      </c>
      <c r="D121" s="7" t="s">
        <v>93</v>
      </c>
      <c r="E121" s="7" t="s">
        <v>93</v>
      </c>
    </row>
    <row r="122" spans="1:5" x14ac:dyDescent="0.3">
      <c r="A122" s="6" t="s">
        <v>270</v>
      </c>
      <c r="B122" s="6" t="s">
        <v>729</v>
      </c>
      <c r="C122" s="6" t="s">
        <v>843</v>
      </c>
      <c r="D122" s="7" t="s">
        <v>93</v>
      </c>
      <c r="E122" s="7" t="s">
        <v>93</v>
      </c>
    </row>
    <row r="123" spans="1:5" x14ac:dyDescent="0.3">
      <c r="A123" s="6" t="s">
        <v>270</v>
      </c>
      <c r="B123" s="6" t="s">
        <v>729</v>
      </c>
      <c r="C123" s="6" t="s">
        <v>848</v>
      </c>
      <c r="D123" s="7" t="s">
        <v>93</v>
      </c>
      <c r="E123" s="7" t="s">
        <v>93</v>
      </c>
    </row>
    <row r="124" spans="1:5" x14ac:dyDescent="0.3">
      <c r="A124" s="6" t="s">
        <v>270</v>
      </c>
      <c r="B124" s="6" t="s">
        <v>729</v>
      </c>
      <c r="C124" s="6" t="s">
        <v>854</v>
      </c>
      <c r="D124" s="7" t="s">
        <v>93</v>
      </c>
      <c r="E124" s="7" t="s">
        <v>93</v>
      </c>
    </row>
    <row r="125" spans="1:5" x14ac:dyDescent="0.3">
      <c r="A125" s="6" t="s">
        <v>270</v>
      </c>
      <c r="B125" s="6" t="s">
        <v>729</v>
      </c>
      <c r="C125" s="6" t="s">
        <v>859</v>
      </c>
      <c r="D125" s="7" t="s">
        <v>93</v>
      </c>
      <c r="E125" s="7" t="s">
        <v>93</v>
      </c>
    </row>
    <row r="126" spans="1:5" x14ac:dyDescent="0.3">
      <c r="A126" s="6" t="s">
        <v>270</v>
      </c>
      <c r="B126" s="6" t="s">
        <v>861</v>
      </c>
      <c r="C126" s="6" t="s">
        <v>862</v>
      </c>
      <c r="D126" s="7" t="s">
        <v>90</v>
      </c>
      <c r="E126" s="7" t="s">
        <v>93</v>
      </c>
    </row>
    <row r="127" spans="1:5" x14ac:dyDescent="0.3">
      <c r="A127" s="6" t="s">
        <v>270</v>
      </c>
      <c r="B127" s="6" t="s">
        <v>861</v>
      </c>
      <c r="C127" s="6" t="s">
        <v>869</v>
      </c>
      <c r="D127" s="7" t="s">
        <v>90</v>
      </c>
      <c r="E127" s="7" t="s">
        <v>93</v>
      </c>
    </row>
    <row r="128" spans="1:5" x14ac:dyDescent="0.3">
      <c r="A128" s="6" t="s">
        <v>270</v>
      </c>
      <c r="B128" s="6" t="s">
        <v>871</v>
      </c>
      <c r="C128" s="6" t="s">
        <v>872</v>
      </c>
      <c r="D128" s="7" t="s">
        <v>90</v>
      </c>
      <c r="E128" s="7" t="s">
        <v>93</v>
      </c>
    </row>
    <row r="129" spans="1:5" x14ac:dyDescent="0.3">
      <c r="A129" s="6" t="s">
        <v>270</v>
      </c>
      <c r="B129" s="6" t="s">
        <v>871</v>
      </c>
      <c r="C129" s="6" t="s">
        <v>878</v>
      </c>
      <c r="D129" s="7" t="s">
        <v>90</v>
      </c>
      <c r="E129" s="7" t="s">
        <v>93</v>
      </c>
    </row>
    <row r="130" spans="1:5" x14ac:dyDescent="0.3">
      <c r="A130" s="6" t="s">
        <v>270</v>
      </c>
      <c r="B130" s="6" t="s">
        <v>871</v>
      </c>
      <c r="C130" s="6" t="s">
        <v>882</v>
      </c>
      <c r="D130" s="7" t="s">
        <v>90</v>
      </c>
      <c r="E130" s="7" t="s">
        <v>93</v>
      </c>
    </row>
    <row r="131" spans="1:5" x14ac:dyDescent="0.3">
      <c r="A131" s="6" t="s">
        <v>262</v>
      </c>
      <c r="B131" s="6" t="s">
        <v>887</v>
      </c>
      <c r="C131" s="6" t="s">
        <v>888</v>
      </c>
      <c r="D131" s="7" t="s">
        <v>90</v>
      </c>
      <c r="E131" s="7" t="s">
        <v>93</v>
      </c>
    </row>
    <row r="132" spans="1:5" x14ac:dyDescent="0.3">
      <c r="A132" s="6" t="s">
        <v>262</v>
      </c>
      <c r="B132" s="6" t="s">
        <v>887</v>
      </c>
      <c r="C132" s="6" t="s">
        <v>894</v>
      </c>
      <c r="D132" s="7" t="s">
        <v>90</v>
      </c>
      <c r="E132" s="7" t="s">
        <v>93</v>
      </c>
    </row>
    <row r="133" spans="1:5" x14ac:dyDescent="0.3">
      <c r="A133" s="6" t="s">
        <v>270</v>
      </c>
      <c r="B133" s="6" t="s">
        <v>897</v>
      </c>
      <c r="C133" s="6" t="s">
        <v>898</v>
      </c>
      <c r="D133" s="7" t="s">
        <v>90</v>
      </c>
      <c r="E133" s="7" t="s">
        <v>93</v>
      </c>
    </row>
    <row r="134" spans="1:5" x14ac:dyDescent="0.3">
      <c r="A134" s="6" t="s">
        <v>270</v>
      </c>
      <c r="B134" s="6" t="s">
        <v>897</v>
      </c>
      <c r="C134" s="6" t="s">
        <v>904</v>
      </c>
      <c r="D134" s="7" t="s">
        <v>90</v>
      </c>
      <c r="E134" s="7" t="s">
        <v>93</v>
      </c>
    </row>
    <row r="135" spans="1:5" x14ac:dyDescent="0.3">
      <c r="A135" s="6" t="s">
        <v>270</v>
      </c>
      <c r="B135" s="6" t="s">
        <v>897</v>
      </c>
      <c r="C135" s="6" t="s">
        <v>909</v>
      </c>
      <c r="D135" s="7" t="s">
        <v>90</v>
      </c>
      <c r="E135" s="7" t="s">
        <v>93</v>
      </c>
    </row>
    <row r="136" spans="1:5" x14ac:dyDescent="0.3">
      <c r="A136" s="6" t="s">
        <v>270</v>
      </c>
      <c r="B136" s="6" t="s">
        <v>897</v>
      </c>
      <c r="C136" s="6" t="s">
        <v>914</v>
      </c>
      <c r="D136" s="7" t="s">
        <v>90</v>
      </c>
      <c r="E136" s="7" t="s">
        <v>93</v>
      </c>
    </row>
    <row r="137" spans="1:5" x14ac:dyDescent="0.3">
      <c r="A137" s="6" t="s">
        <v>292</v>
      </c>
      <c r="B137" s="6" t="s">
        <v>919</v>
      </c>
      <c r="C137" s="6" t="s">
        <v>920</v>
      </c>
      <c r="D137" s="7" t="s">
        <v>90</v>
      </c>
      <c r="E137" s="7" t="s">
        <v>93</v>
      </c>
    </row>
    <row r="138" spans="1:5" x14ac:dyDescent="0.3">
      <c r="A138" s="6" t="s">
        <v>292</v>
      </c>
      <c r="B138" s="6" t="s">
        <v>919</v>
      </c>
      <c r="C138" s="6" t="s">
        <v>926</v>
      </c>
      <c r="D138" s="7" t="s">
        <v>90</v>
      </c>
      <c r="E138" s="7" t="s">
        <v>93</v>
      </c>
    </row>
    <row r="139" spans="1:5" x14ac:dyDescent="0.3">
      <c r="A139" s="6" t="s">
        <v>292</v>
      </c>
      <c r="B139" s="6" t="s">
        <v>919</v>
      </c>
      <c r="C139" s="6" t="s">
        <v>930</v>
      </c>
      <c r="D139" s="7" t="s">
        <v>90</v>
      </c>
      <c r="E139" s="7" t="s">
        <v>93</v>
      </c>
    </row>
    <row r="140" spans="1:5" x14ac:dyDescent="0.3">
      <c r="A140" s="6" t="s">
        <v>292</v>
      </c>
      <c r="B140" s="6" t="s">
        <v>919</v>
      </c>
      <c r="C140" s="6" t="s">
        <v>937</v>
      </c>
      <c r="D140" s="7" t="s">
        <v>90</v>
      </c>
      <c r="E140" s="7" t="s">
        <v>93</v>
      </c>
    </row>
    <row r="141" spans="1:5" x14ac:dyDescent="0.3">
      <c r="A141" s="6" t="s">
        <v>292</v>
      </c>
      <c r="B141" s="6" t="s">
        <v>919</v>
      </c>
      <c r="C141" s="6" t="s">
        <v>942</v>
      </c>
      <c r="D141" s="7" t="s">
        <v>90</v>
      </c>
      <c r="E141" s="7" t="s">
        <v>93</v>
      </c>
    </row>
    <row r="142" spans="1:5" x14ac:dyDescent="0.3">
      <c r="A142" s="6" t="s">
        <v>292</v>
      </c>
      <c r="B142" s="6" t="s">
        <v>919</v>
      </c>
      <c r="C142" s="6" t="s">
        <v>946</v>
      </c>
      <c r="D142" s="7" t="s">
        <v>90</v>
      </c>
      <c r="E142" s="7" t="s">
        <v>93</v>
      </c>
    </row>
    <row r="143" spans="1:5" x14ac:dyDescent="0.3">
      <c r="A143" s="6" t="s">
        <v>292</v>
      </c>
      <c r="B143" s="6" t="s">
        <v>919</v>
      </c>
      <c r="C143" s="6" t="s">
        <v>952</v>
      </c>
      <c r="D143" s="7" t="s">
        <v>90</v>
      </c>
      <c r="E143" s="7" t="s">
        <v>93</v>
      </c>
    </row>
    <row r="144" spans="1:5" x14ac:dyDescent="0.3">
      <c r="A144" s="6" t="s">
        <v>292</v>
      </c>
      <c r="B144" s="6" t="s">
        <v>919</v>
      </c>
      <c r="C144" s="6" t="s">
        <v>956</v>
      </c>
      <c r="D144" s="7" t="s">
        <v>90</v>
      </c>
      <c r="E144" s="7" t="s">
        <v>93</v>
      </c>
    </row>
    <row r="145" spans="1:5" x14ac:dyDescent="0.3">
      <c r="A145" s="6" t="s">
        <v>292</v>
      </c>
      <c r="B145" s="6" t="s">
        <v>961</v>
      </c>
      <c r="C145" s="6" t="s">
        <v>962</v>
      </c>
      <c r="D145" s="7" t="s">
        <v>90</v>
      </c>
      <c r="E145" s="7" t="s">
        <v>93</v>
      </c>
    </row>
    <row r="146" spans="1:5" x14ac:dyDescent="0.3">
      <c r="A146" s="6" t="s">
        <v>292</v>
      </c>
      <c r="B146" s="6" t="s">
        <v>961</v>
      </c>
      <c r="C146" s="6" t="s">
        <v>969</v>
      </c>
      <c r="D146" s="7" t="s">
        <v>90</v>
      </c>
      <c r="E146" s="7" t="s">
        <v>93</v>
      </c>
    </row>
    <row r="147" spans="1:5" x14ac:dyDescent="0.3">
      <c r="A147" s="6" t="s">
        <v>292</v>
      </c>
      <c r="B147" s="6" t="s">
        <v>961</v>
      </c>
      <c r="C147" s="6" t="s">
        <v>973</v>
      </c>
      <c r="D147" s="7" t="s">
        <v>90</v>
      </c>
      <c r="E147" s="7" t="s">
        <v>93</v>
      </c>
    </row>
    <row r="148" spans="1:5" x14ac:dyDescent="0.3">
      <c r="A148" s="6" t="s">
        <v>292</v>
      </c>
      <c r="B148" s="6" t="s">
        <v>961</v>
      </c>
      <c r="C148" s="6" t="s">
        <v>976</v>
      </c>
      <c r="D148" s="7" t="s">
        <v>90</v>
      </c>
      <c r="E148" s="7" t="s">
        <v>93</v>
      </c>
    </row>
    <row r="149" spans="1:5" x14ac:dyDescent="0.3">
      <c r="A149" s="6" t="s">
        <v>292</v>
      </c>
      <c r="B149" s="6" t="s">
        <v>961</v>
      </c>
      <c r="C149" s="6" t="s">
        <v>981</v>
      </c>
      <c r="D149" s="7" t="s">
        <v>90</v>
      </c>
      <c r="E149" s="7" t="s">
        <v>93</v>
      </c>
    </row>
    <row r="150" spans="1:5" x14ac:dyDescent="0.3">
      <c r="A150" s="6" t="s">
        <v>292</v>
      </c>
      <c r="B150" s="6" t="s">
        <v>961</v>
      </c>
      <c r="C150" s="6" t="s">
        <v>985</v>
      </c>
      <c r="D150" s="7" t="s">
        <v>90</v>
      </c>
      <c r="E150" s="7" t="s">
        <v>93</v>
      </c>
    </row>
    <row r="151" spans="1:5" x14ac:dyDescent="0.3">
      <c r="A151" s="6" t="s">
        <v>292</v>
      </c>
      <c r="B151" s="6" t="s">
        <v>961</v>
      </c>
      <c r="C151" s="6" t="s">
        <v>991</v>
      </c>
      <c r="D151" s="7" t="s">
        <v>90</v>
      </c>
      <c r="E151" s="7" t="s">
        <v>93</v>
      </c>
    </row>
    <row r="152" spans="1:5" x14ac:dyDescent="0.3">
      <c r="A152" s="6" t="s">
        <v>292</v>
      </c>
      <c r="B152" s="6" t="s">
        <v>961</v>
      </c>
      <c r="C152" s="6" t="s">
        <v>995</v>
      </c>
      <c r="D152" s="7" t="s">
        <v>90</v>
      </c>
      <c r="E152" s="7" t="s">
        <v>93</v>
      </c>
    </row>
    <row r="153" spans="1:5" x14ac:dyDescent="0.3">
      <c r="A153" s="6" t="s">
        <v>292</v>
      </c>
      <c r="B153" s="6" t="s">
        <v>961</v>
      </c>
      <c r="C153" s="6" t="s">
        <v>1000</v>
      </c>
      <c r="D153" s="7" t="s">
        <v>90</v>
      </c>
      <c r="E153" s="7" t="s">
        <v>93</v>
      </c>
    </row>
    <row r="154" spans="1:5" x14ac:dyDescent="0.3">
      <c r="A154" s="6" t="s">
        <v>292</v>
      </c>
      <c r="B154" s="6" t="s">
        <v>961</v>
      </c>
      <c r="C154" s="6" t="s">
        <v>1004</v>
      </c>
      <c r="D154" s="7" t="s">
        <v>90</v>
      </c>
      <c r="E154" s="7" t="s">
        <v>93</v>
      </c>
    </row>
    <row r="155" spans="1:5" x14ac:dyDescent="0.3">
      <c r="A155" s="6" t="s">
        <v>292</v>
      </c>
      <c r="B155" s="6" t="s">
        <v>1008</v>
      </c>
      <c r="C155" s="6" t="s">
        <v>1009</v>
      </c>
      <c r="D155" s="7" t="s">
        <v>90</v>
      </c>
      <c r="E155" s="7" t="s">
        <v>93</v>
      </c>
    </row>
    <row r="156" spans="1:5" x14ac:dyDescent="0.3">
      <c r="A156" s="6" t="s">
        <v>292</v>
      </c>
      <c r="B156" s="6" t="s">
        <v>1008</v>
      </c>
      <c r="C156" s="6" t="s">
        <v>1014</v>
      </c>
      <c r="D156" s="7" t="s">
        <v>90</v>
      </c>
      <c r="E156" s="7" t="s">
        <v>93</v>
      </c>
    </row>
    <row r="157" spans="1:5" x14ac:dyDescent="0.3">
      <c r="A157" s="6" t="s">
        <v>292</v>
      </c>
      <c r="B157" s="6" t="s">
        <v>1008</v>
      </c>
      <c r="C157" s="6" t="s">
        <v>1019</v>
      </c>
      <c r="D157" s="7" t="s">
        <v>90</v>
      </c>
      <c r="E157" s="7" t="s">
        <v>93</v>
      </c>
    </row>
    <row r="158" spans="1:5" x14ac:dyDescent="0.3">
      <c r="A158" s="6" t="s">
        <v>292</v>
      </c>
      <c r="B158" s="6" t="s">
        <v>1008</v>
      </c>
      <c r="C158" s="6" t="s">
        <v>1024</v>
      </c>
      <c r="D158" s="7" t="s">
        <v>90</v>
      </c>
      <c r="E158" s="7" t="s">
        <v>93</v>
      </c>
    </row>
    <row r="159" spans="1:5" x14ac:dyDescent="0.3">
      <c r="A159" s="6" t="s">
        <v>292</v>
      </c>
      <c r="B159" s="6" t="s">
        <v>1008</v>
      </c>
      <c r="C159" s="6" t="s">
        <v>1029</v>
      </c>
      <c r="D159" s="7" t="s">
        <v>90</v>
      </c>
      <c r="E159" s="7" t="s">
        <v>93</v>
      </c>
    </row>
    <row r="160" spans="1:5" x14ac:dyDescent="0.3">
      <c r="A160" s="6" t="s">
        <v>292</v>
      </c>
      <c r="B160" s="6" t="s">
        <v>1008</v>
      </c>
      <c r="C160" s="6" t="s">
        <v>1034</v>
      </c>
      <c r="D160" s="7" t="s">
        <v>90</v>
      </c>
      <c r="E160" s="7" t="s">
        <v>93</v>
      </c>
    </row>
    <row r="161" spans="1:5" x14ac:dyDescent="0.3">
      <c r="A161" s="6" t="s">
        <v>292</v>
      </c>
      <c r="B161" s="6" t="s">
        <v>1008</v>
      </c>
      <c r="C161" s="6" t="s">
        <v>1039</v>
      </c>
      <c r="D161" s="7" t="s">
        <v>90</v>
      </c>
      <c r="E161" s="7" t="s">
        <v>93</v>
      </c>
    </row>
    <row r="162" spans="1:5" x14ac:dyDescent="0.3">
      <c r="A162" s="6" t="s">
        <v>292</v>
      </c>
      <c r="B162" s="6" t="s">
        <v>1008</v>
      </c>
      <c r="C162" s="6" t="s">
        <v>1043</v>
      </c>
      <c r="D162" s="7" t="s">
        <v>90</v>
      </c>
      <c r="E162" s="7" t="s">
        <v>93</v>
      </c>
    </row>
    <row r="163" spans="1:5" x14ac:dyDescent="0.3">
      <c r="A163" s="6" t="s">
        <v>292</v>
      </c>
      <c r="B163" s="6" t="s">
        <v>1008</v>
      </c>
      <c r="C163" s="6" t="s">
        <v>1049</v>
      </c>
      <c r="D163" s="7" t="s">
        <v>90</v>
      </c>
      <c r="E163" s="7" t="s">
        <v>93</v>
      </c>
    </row>
    <row r="164" spans="1:5" x14ac:dyDescent="0.3">
      <c r="A164" s="6" t="s">
        <v>292</v>
      </c>
      <c r="B164" s="6" t="s">
        <v>1008</v>
      </c>
      <c r="C164" s="6" t="s">
        <v>1052</v>
      </c>
      <c r="D164" s="7" t="s">
        <v>90</v>
      </c>
      <c r="E164" s="7" t="s">
        <v>93</v>
      </c>
    </row>
    <row r="165" spans="1:5" x14ac:dyDescent="0.3">
      <c r="A165" s="6" t="s">
        <v>292</v>
      </c>
      <c r="B165" s="6" t="s">
        <v>1059</v>
      </c>
      <c r="C165" s="6" t="s">
        <v>1060</v>
      </c>
      <c r="D165" s="7" t="s">
        <v>90</v>
      </c>
      <c r="E165" s="7" t="s">
        <v>93</v>
      </c>
    </row>
    <row r="166" spans="1:5" x14ac:dyDescent="0.3">
      <c r="A166" s="6" t="s">
        <v>292</v>
      </c>
      <c r="B166" s="6" t="s">
        <v>1059</v>
      </c>
      <c r="C166" s="6" t="s">
        <v>1068</v>
      </c>
      <c r="D166" s="7" t="s">
        <v>90</v>
      </c>
      <c r="E166" s="7" t="s">
        <v>93</v>
      </c>
    </row>
    <row r="167" spans="1:5" x14ac:dyDescent="0.3">
      <c r="A167" s="6" t="s">
        <v>292</v>
      </c>
      <c r="B167" s="6" t="s">
        <v>1073</v>
      </c>
      <c r="C167" s="6" t="s">
        <v>1074</v>
      </c>
      <c r="D167" s="7" t="s">
        <v>93</v>
      </c>
      <c r="E167" s="7" t="s">
        <v>93</v>
      </c>
    </row>
    <row r="168" spans="1:5" x14ac:dyDescent="0.3">
      <c r="A168" s="6" t="s">
        <v>292</v>
      </c>
      <c r="B168" s="6" t="s">
        <v>1073</v>
      </c>
      <c r="C168" s="6" t="s">
        <v>1078</v>
      </c>
      <c r="D168" s="7" t="s">
        <v>93</v>
      </c>
      <c r="E168" s="7" t="s">
        <v>93</v>
      </c>
    </row>
    <row r="169" spans="1:5" x14ac:dyDescent="0.3">
      <c r="A169" s="6" t="s">
        <v>292</v>
      </c>
      <c r="B169" s="6" t="s">
        <v>1073</v>
      </c>
      <c r="C169" s="6" t="s">
        <v>1084</v>
      </c>
      <c r="D169" s="7" t="s">
        <v>93</v>
      </c>
      <c r="E169" s="7" t="s">
        <v>93</v>
      </c>
    </row>
    <row r="170" spans="1:5" x14ac:dyDescent="0.3">
      <c r="A170" s="6" t="s">
        <v>292</v>
      </c>
      <c r="B170" s="6" t="s">
        <v>1073</v>
      </c>
      <c r="C170" s="6" t="s">
        <v>1088</v>
      </c>
      <c r="D170" s="7" t="s">
        <v>93</v>
      </c>
      <c r="E170" s="7" t="s">
        <v>93</v>
      </c>
    </row>
    <row r="171" spans="1:5" x14ac:dyDescent="0.3">
      <c r="A171" s="6" t="s">
        <v>292</v>
      </c>
      <c r="B171" s="6" t="s">
        <v>1073</v>
      </c>
      <c r="C171" s="6" t="s">
        <v>1093</v>
      </c>
      <c r="D171" s="7" t="s">
        <v>93</v>
      </c>
      <c r="E171" s="7" t="s">
        <v>93</v>
      </c>
    </row>
    <row r="172" spans="1:5" x14ac:dyDescent="0.3">
      <c r="A172" s="6" t="s">
        <v>292</v>
      </c>
      <c r="B172" s="6" t="s">
        <v>1073</v>
      </c>
      <c r="C172" s="6" t="s">
        <v>1098</v>
      </c>
      <c r="D172" s="7" t="s">
        <v>93</v>
      </c>
      <c r="E172" s="7" t="s">
        <v>93</v>
      </c>
    </row>
    <row r="173" spans="1:5" x14ac:dyDescent="0.3">
      <c r="A173" s="6" t="s">
        <v>292</v>
      </c>
      <c r="B173" s="6" t="s">
        <v>1073</v>
      </c>
      <c r="C173" s="6" t="s">
        <v>1102</v>
      </c>
      <c r="D173" s="7" t="s">
        <v>93</v>
      </c>
      <c r="E173" s="7" t="s">
        <v>93</v>
      </c>
    </row>
    <row r="174" spans="1:5" x14ac:dyDescent="0.3">
      <c r="A174" s="6" t="s">
        <v>292</v>
      </c>
      <c r="B174" s="6" t="s">
        <v>1073</v>
      </c>
      <c r="C174" s="6" t="s">
        <v>1105</v>
      </c>
      <c r="D174" s="7" t="s">
        <v>93</v>
      </c>
      <c r="E174" s="7" t="s">
        <v>93</v>
      </c>
    </row>
    <row r="175" spans="1:5" x14ac:dyDescent="0.3">
      <c r="A175" s="6" t="s">
        <v>292</v>
      </c>
      <c r="B175" s="6" t="s">
        <v>1073</v>
      </c>
      <c r="C175" s="6" t="s">
        <v>1111</v>
      </c>
      <c r="D175" s="7" t="s">
        <v>93</v>
      </c>
      <c r="E175" s="7" t="s">
        <v>93</v>
      </c>
    </row>
    <row r="176" spans="1:5" x14ac:dyDescent="0.3">
      <c r="A176" s="6" t="s">
        <v>292</v>
      </c>
      <c r="B176" s="6" t="s">
        <v>1073</v>
      </c>
      <c r="C176" s="6" t="s">
        <v>1115</v>
      </c>
      <c r="D176" s="7" t="s">
        <v>93</v>
      </c>
      <c r="E176" s="7" t="s">
        <v>93</v>
      </c>
    </row>
    <row r="177" spans="1:5" x14ac:dyDescent="0.3">
      <c r="A177" s="6" t="s">
        <v>292</v>
      </c>
      <c r="B177" s="6" t="s">
        <v>1073</v>
      </c>
      <c r="C177" s="6" t="s">
        <v>1119</v>
      </c>
      <c r="D177" s="7" t="s">
        <v>93</v>
      </c>
      <c r="E177" s="7" t="s">
        <v>93</v>
      </c>
    </row>
    <row r="178" spans="1:5" x14ac:dyDescent="0.3">
      <c r="A178" s="6" t="s">
        <v>292</v>
      </c>
      <c r="B178" s="6" t="s">
        <v>1073</v>
      </c>
      <c r="C178" s="6" t="s">
        <v>1125</v>
      </c>
      <c r="D178" s="7" t="s">
        <v>93</v>
      </c>
      <c r="E178" s="7" t="s">
        <v>93</v>
      </c>
    </row>
    <row r="179" spans="1:5" x14ac:dyDescent="0.3">
      <c r="A179" s="6" t="s">
        <v>292</v>
      </c>
      <c r="B179" s="6" t="s">
        <v>1073</v>
      </c>
      <c r="C179" s="6" t="s">
        <v>1128</v>
      </c>
      <c r="D179" s="7" t="s">
        <v>93</v>
      </c>
      <c r="E179" s="7" t="s">
        <v>93</v>
      </c>
    </row>
    <row r="180" spans="1:5" x14ac:dyDescent="0.3">
      <c r="A180" s="6" t="s">
        <v>292</v>
      </c>
      <c r="B180" s="6" t="s">
        <v>1073</v>
      </c>
      <c r="C180" s="6" t="s">
        <v>1132</v>
      </c>
      <c r="D180" s="7" t="s">
        <v>93</v>
      </c>
      <c r="E180" s="7" t="s">
        <v>93</v>
      </c>
    </row>
    <row r="181" spans="1:5" x14ac:dyDescent="0.3">
      <c r="A181" s="6" t="s">
        <v>292</v>
      </c>
      <c r="B181" s="6" t="s">
        <v>1073</v>
      </c>
      <c r="C181" s="6" t="s">
        <v>1137</v>
      </c>
      <c r="D181" s="7" t="s">
        <v>93</v>
      </c>
      <c r="E181" s="7" t="s">
        <v>93</v>
      </c>
    </row>
    <row r="182" spans="1:5" x14ac:dyDescent="0.3">
      <c r="A182" s="6" t="s">
        <v>292</v>
      </c>
      <c r="B182" s="6" t="s">
        <v>1073</v>
      </c>
      <c r="C182" s="6" t="s">
        <v>1141</v>
      </c>
      <c r="D182" s="7" t="s">
        <v>93</v>
      </c>
      <c r="E182" s="7" t="s">
        <v>93</v>
      </c>
    </row>
    <row r="183" spans="1:5" x14ac:dyDescent="0.3">
      <c r="A183" s="6" t="s">
        <v>292</v>
      </c>
      <c r="B183" s="6" t="s">
        <v>1073</v>
      </c>
      <c r="C183" s="6" t="s">
        <v>1146</v>
      </c>
      <c r="D183" s="7" t="s">
        <v>93</v>
      </c>
      <c r="E183" s="7" t="s">
        <v>93</v>
      </c>
    </row>
    <row r="184" spans="1:5" x14ac:dyDescent="0.3">
      <c r="A184" s="6" t="s">
        <v>292</v>
      </c>
      <c r="B184" s="6" t="s">
        <v>1073</v>
      </c>
      <c r="C184" s="6" t="s">
        <v>1151</v>
      </c>
      <c r="D184" s="7" t="s">
        <v>93</v>
      </c>
      <c r="E184" s="7" t="s">
        <v>93</v>
      </c>
    </row>
    <row r="185" spans="1:5" x14ac:dyDescent="0.3">
      <c r="A185" s="6" t="s">
        <v>292</v>
      </c>
      <c r="B185" s="6" t="s">
        <v>1073</v>
      </c>
      <c r="C185" s="6" t="s">
        <v>1156</v>
      </c>
      <c r="D185" s="7" t="s">
        <v>93</v>
      </c>
      <c r="E185" s="7" t="s">
        <v>93</v>
      </c>
    </row>
    <row r="186" spans="1:5" x14ac:dyDescent="0.3">
      <c r="A186" s="6" t="s">
        <v>292</v>
      </c>
      <c r="B186" s="6" t="s">
        <v>1073</v>
      </c>
      <c r="C186" s="6" t="s">
        <v>1161</v>
      </c>
      <c r="D186" s="7" t="s">
        <v>93</v>
      </c>
      <c r="E186" s="7" t="s">
        <v>93</v>
      </c>
    </row>
    <row r="187" spans="1:5" x14ac:dyDescent="0.3">
      <c r="A187" s="6" t="s">
        <v>292</v>
      </c>
      <c r="B187" s="6" t="s">
        <v>1073</v>
      </c>
      <c r="C187" s="6" t="s">
        <v>1166</v>
      </c>
      <c r="D187" s="7" t="s">
        <v>93</v>
      </c>
      <c r="E187" s="7" t="s">
        <v>93</v>
      </c>
    </row>
    <row r="188" spans="1:5" x14ac:dyDescent="0.3">
      <c r="A188" s="6" t="s">
        <v>292</v>
      </c>
      <c r="B188" s="6" t="s">
        <v>1073</v>
      </c>
      <c r="C188" s="6" t="s">
        <v>1171</v>
      </c>
      <c r="D188" s="7" t="s">
        <v>93</v>
      </c>
      <c r="E188" s="7" t="s">
        <v>93</v>
      </c>
    </row>
    <row r="189" spans="1:5" x14ac:dyDescent="0.3">
      <c r="A189" s="6" t="s">
        <v>292</v>
      </c>
      <c r="B189" s="6" t="s">
        <v>1073</v>
      </c>
      <c r="C189" s="6" t="s">
        <v>1176</v>
      </c>
      <c r="D189" s="7" t="s">
        <v>93</v>
      </c>
      <c r="E189" s="7" t="s">
        <v>93</v>
      </c>
    </row>
    <row r="190" spans="1:5" x14ac:dyDescent="0.3">
      <c r="A190" s="6" t="s">
        <v>292</v>
      </c>
      <c r="B190" s="6" t="s">
        <v>1073</v>
      </c>
      <c r="C190" s="6" t="s">
        <v>1179</v>
      </c>
      <c r="D190" s="7" t="s">
        <v>93</v>
      </c>
      <c r="E190" s="7" t="s">
        <v>93</v>
      </c>
    </row>
    <row r="191" spans="1:5" x14ac:dyDescent="0.3">
      <c r="A191" s="6" t="s">
        <v>292</v>
      </c>
      <c r="B191" s="6" t="s">
        <v>1073</v>
      </c>
      <c r="C191" s="6" t="s">
        <v>1184</v>
      </c>
      <c r="D191" s="7" t="s">
        <v>93</v>
      </c>
      <c r="E191" s="7" t="s">
        <v>93</v>
      </c>
    </row>
    <row r="192" spans="1:5" x14ac:dyDescent="0.3">
      <c r="A192" s="6" t="s">
        <v>292</v>
      </c>
      <c r="B192" s="6" t="s">
        <v>1073</v>
      </c>
      <c r="C192" s="6" t="s">
        <v>1190</v>
      </c>
      <c r="D192" s="7" t="s">
        <v>93</v>
      </c>
      <c r="E192" s="7" t="s">
        <v>93</v>
      </c>
    </row>
    <row r="193" spans="1:5" x14ac:dyDescent="0.3">
      <c r="A193" s="6" t="s">
        <v>292</v>
      </c>
      <c r="B193" s="6" t="s">
        <v>1073</v>
      </c>
      <c r="C193" s="6" t="s">
        <v>1195</v>
      </c>
      <c r="D193" s="7" t="s">
        <v>93</v>
      </c>
      <c r="E193" s="7" t="s">
        <v>93</v>
      </c>
    </row>
    <row r="194" spans="1:5" x14ac:dyDescent="0.3">
      <c r="A194" s="6" t="s">
        <v>292</v>
      </c>
      <c r="B194" s="6" t="s">
        <v>1073</v>
      </c>
      <c r="C194" s="6" t="s">
        <v>1199</v>
      </c>
      <c r="D194" s="7" t="s">
        <v>93</v>
      </c>
      <c r="E194" s="7" t="s">
        <v>93</v>
      </c>
    </row>
    <row r="195" spans="1:5" x14ac:dyDescent="0.3">
      <c r="A195" s="6" t="s">
        <v>292</v>
      </c>
      <c r="B195" s="6" t="s">
        <v>1073</v>
      </c>
      <c r="C195" s="6" t="s">
        <v>1204</v>
      </c>
      <c r="D195" s="7" t="s">
        <v>93</v>
      </c>
      <c r="E195" s="7" t="s">
        <v>93</v>
      </c>
    </row>
    <row r="196" spans="1:5" x14ac:dyDescent="0.3">
      <c r="A196" s="6" t="s">
        <v>292</v>
      </c>
      <c r="B196" s="6" t="s">
        <v>1073</v>
      </c>
      <c r="C196" s="6" t="s">
        <v>1210</v>
      </c>
      <c r="D196" s="7" t="s">
        <v>93</v>
      </c>
      <c r="E196" s="7" t="s">
        <v>93</v>
      </c>
    </row>
    <row r="197" spans="1:5" x14ac:dyDescent="0.3">
      <c r="A197" s="6" t="s">
        <v>292</v>
      </c>
      <c r="B197" s="6" t="s">
        <v>1073</v>
      </c>
      <c r="C197" s="6" t="s">
        <v>1215</v>
      </c>
      <c r="D197" s="7" t="s">
        <v>93</v>
      </c>
      <c r="E197" s="7" t="s">
        <v>93</v>
      </c>
    </row>
    <row r="198" spans="1:5" x14ac:dyDescent="0.3">
      <c r="A198" s="6" t="s">
        <v>292</v>
      </c>
      <c r="B198" s="6" t="s">
        <v>1073</v>
      </c>
      <c r="C198" s="6" t="s">
        <v>1221</v>
      </c>
      <c r="D198" s="7" t="s">
        <v>93</v>
      </c>
      <c r="E198" s="7" t="s">
        <v>93</v>
      </c>
    </row>
    <row r="199" spans="1:5" x14ac:dyDescent="0.3">
      <c r="A199" s="6" t="s">
        <v>292</v>
      </c>
      <c r="B199" s="6" t="s">
        <v>1073</v>
      </c>
      <c r="C199" s="6" t="s">
        <v>1224</v>
      </c>
      <c r="D199" s="7" t="s">
        <v>93</v>
      </c>
      <c r="E199" s="7" t="s">
        <v>93</v>
      </c>
    </row>
    <row r="200" spans="1:5" x14ac:dyDescent="0.3">
      <c r="A200" s="6" t="s">
        <v>292</v>
      </c>
      <c r="B200" s="6" t="s">
        <v>1073</v>
      </c>
      <c r="C200" s="6" t="s">
        <v>1230</v>
      </c>
      <c r="D200" s="7" t="s">
        <v>93</v>
      </c>
      <c r="E200" s="7" t="s">
        <v>93</v>
      </c>
    </row>
    <row r="201" spans="1:5" x14ac:dyDescent="0.3">
      <c r="A201" s="6" t="s">
        <v>292</v>
      </c>
      <c r="B201" s="6" t="s">
        <v>1073</v>
      </c>
      <c r="C201" s="6" t="s">
        <v>1235</v>
      </c>
      <c r="D201" s="7" t="s">
        <v>93</v>
      </c>
      <c r="E201" s="7" t="s">
        <v>93</v>
      </c>
    </row>
    <row r="202" spans="1:5" x14ac:dyDescent="0.3">
      <c r="A202" s="6" t="s">
        <v>292</v>
      </c>
      <c r="B202" s="6" t="s">
        <v>1073</v>
      </c>
      <c r="C202" s="6" t="s">
        <v>1240</v>
      </c>
      <c r="D202" s="7" t="s">
        <v>93</v>
      </c>
      <c r="E202" s="7" t="s">
        <v>93</v>
      </c>
    </row>
    <row r="203" spans="1:5" x14ac:dyDescent="0.3">
      <c r="A203" s="6" t="s">
        <v>292</v>
      </c>
      <c r="B203" s="6" t="s">
        <v>1073</v>
      </c>
      <c r="C203" s="6" t="s">
        <v>1244</v>
      </c>
      <c r="D203" s="7" t="s">
        <v>93</v>
      </c>
      <c r="E203" s="7" t="s">
        <v>93</v>
      </c>
    </row>
    <row r="204" spans="1:5" x14ac:dyDescent="0.3">
      <c r="A204" s="6" t="s">
        <v>292</v>
      </c>
      <c r="B204" s="6" t="s">
        <v>1073</v>
      </c>
      <c r="C204" s="6" t="s">
        <v>1249</v>
      </c>
      <c r="D204" s="7" t="s">
        <v>93</v>
      </c>
      <c r="E204" s="7" t="s">
        <v>93</v>
      </c>
    </row>
    <row r="205" spans="1:5" x14ac:dyDescent="0.3">
      <c r="A205" s="6" t="s">
        <v>292</v>
      </c>
      <c r="B205" s="6" t="s">
        <v>1073</v>
      </c>
      <c r="C205" s="6" t="s">
        <v>1254</v>
      </c>
      <c r="D205" s="7" t="s">
        <v>93</v>
      </c>
      <c r="E205" s="7" t="s">
        <v>93</v>
      </c>
    </row>
    <row r="206" spans="1:5" x14ac:dyDescent="0.3">
      <c r="A206" s="6" t="s">
        <v>292</v>
      </c>
      <c r="B206" s="6" t="s">
        <v>1073</v>
      </c>
      <c r="C206" s="6" t="s">
        <v>1259</v>
      </c>
      <c r="D206" s="7" t="s">
        <v>93</v>
      </c>
      <c r="E206" s="7" t="s">
        <v>93</v>
      </c>
    </row>
    <row r="207" spans="1:5" x14ac:dyDescent="0.3">
      <c r="A207" s="6" t="s">
        <v>292</v>
      </c>
      <c r="B207" s="6" t="s">
        <v>1073</v>
      </c>
      <c r="C207" s="6" t="s">
        <v>1261</v>
      </c>
      <c r="D207" s="7" t="s">
        <v>93</v>
      </c>
      <c r="E207" s="7" t="s">
        <v>93</v>
      </c>
    </row>
    <row r="208" spans="1:5" x14ac:dyDescent="0.3">
      <c r="A208" s="6" t="s">
        <v>292</v>
      </c>
      <c r="B208" s="6" t="s">
        <v>1073</v>
      </c>
      <c r="C208" s="6" t="s">
        <v>1266</v>
      </c>
      <c r="D208" s="7" t="s">
        <v>93</v>
      </c>
      <c r="E208" s="7" t="s">
        <v>93</v>
      </c>
    </row>
    <row r="209" spans="1:5" x14ac:dyDescent="0.3">
      <c r="A209" s="6" t="s">
        <v>292</v>
      </c>
      <c r="B209" s="6" t="s">
        <v>1073</v>
      </c>
      <c r="C209" s="6" t="s">
        <v>1271</v>
      </c>
      <c r="D209" s="7" t="s">
        <v>93</v>
      </c>
      <c r="E209" s="7" t="s">
        <v>93</v>
      </c>
    </row>
    <row r="210" spans="1:5" x14ac:dyDescent="0.3">
      <c r="A210" s="6" t="s">
        <v>292</v>
      </c>
      <c r="B210" s="6" t="s">
        <v>1073</v>
      </c>
      <c r="C210" s="6" t="s">
        <v>1277</v>
      </c>
      <c r="D210" s="7" t="s">
        <v>93</v>
      </c>
      <c r="E210" s="7" t="s">
        <v>93</v>
      </c>
    </row>
    <row r="211" spans="1:5" x14ac:dyDescent="0.3">
      <c r="A211" s="6" t="s">
        <v>292</v>
      </c>
      <c r="B211" s="6" t="s">
        <v>1073</v>
      </c>
      <c r="C211" s="6" t="s">
        <v>1283</v>
      </c>
      <c r="D211" s="7" t="s">
        <v>93</v>
      </c>
      <c r="E211" s="7" t="s">
        <v>93</v>
      </c>
    </row>
    <row r="212" spans="1:5" x14ac:dyDescent="0.3">
      <c r="A212" s="6" t="s">
        <v>202</v>
      </c>
      <c r="B212" s="6" t="s">
        <v>1288</v>
      </c>
      <c r="C212" s="6" t="s">
        <v>1289</v>
      </c>
      <c r="D212" s="7" t="s">
        <v>90</v>
      </c>
      <c r="E212" s="7" t="s">
        <v>93</v>
      </c>
    </row>
    <row r="213" spans="1:5" x14ac:dyDescent="0.3">
      <c r="A213" s="6" t="s">
        <v>202</v>
      </c>
      <c r="B213" s="6" t="s">
        <v>1288</v>
      </c>
      <c r="C213" s="6" t="s">
        <v>1294</v>
      </c>
      <c r="D213" s="7" t="s">
        <v>90</v>
      </c>
      <c r="E213" s="7" t="s">
        <v>93</v>
      </c>
    </row>
    <row r="214" spans="1:5" x14ac:dyDescent="0.3">
      <c r="A214" s="6" t="s">
        <v>202</v>
      </c>
      <c r="B214" s="6" t="s">
        <v>1288</v>
      </c>
      <c r="C214" s="6" t="s">
        <v>1300</v>
      </c>
      <c r="D214" s="7" t="s">
        <v>90</v>
      </c>
      <c r="E214" s="7" t="s">
        <v>93</v>
      </c>
    </row>
    <row r="215" spans="1:5" x14ac:dyDescent="0.3">
      <c r="A215" s="6" t="s">
        <v>202</v>
      </c>
      <c r="B215" s="6" t="s">
        <v>1288</v>
      </c>
      <c r="C215" s="6" t="s">
        <v>1305</v>
      </c>
      <c r="D215" s="7" t="s">
        <v>90</v>
      </c>
      <c r="E215" s="7" t="s">
        <v>93</v>
      </c>
    </row>
    <row r="216" spans="1:5" x14ac:dyDescent="0.3">
      <c r="A216" s="6" t="s">
        <v>202</v>
      </c>
      <c r="B216" s="6" t="s">
        <v>1288</v>
      </c>
      <c r="C216" s="6" t="s">
        <v>1309</v>
      </c>
      <c r="D216" s="7" t="s">
        <v>90</v>
      </c>
      <c r="E216" s="7" t="s">
        <v>93</v>
      </c>
    </row>
    <row r="217" spans="1:5" x14ac:dyDescent="0.3">
      <c r="A217" s="6" t="s">
        <v>202</v>
      </c>
      <c r="B217" s="6" t="s">
        <v>1288</v>
      </c>
      <c r="C217" s="6" t="s">
        <v>1312</v>
      </c>
      <c r="D217" s="7" t="s">
        <v>90</v>
      </c>
      <c r="E217" s="7" t="s">
        <v>93</v>
      </c>
    </row>
    <row r="218" spans="1:5" x14ac:dyDescent="0.3">
      <c r="A218" s="6" t="s">
        <v>202</v>
      </c>
      <c r="B218" s="6" t="s">
        <v>1288</v>
      </c>
      <c r="C218" s="6" t="s">
        <v>1317</v>
      </c>
      <c r="D218" s="7" t="s">
        <v>90</v>
      </c>
      <c r="E218" s="7" t="s">
        <v>93</v>
      </c>
    </row>
    <row r="219" spans="1:5" x14ac:dyDescent="0.3">
      <c r="A219" s="6" t="s">
        <v>202</v>
      </c>
      <c r="B219" s="6" t="s">
        <v>1288</v>
      </c>
      <c r="C219" s="6" t="s">
        <v>1322</v>
      </c>
      <c r="D219" s="7" t="s">
        <v>90</v>
      </c>
      <c r="E219" s="7" t="s">
        <v>93</v>
      </c>
    </row>
    <row r="220" spans="1:5" x14ac:dyDescent="0.3">
      <c r="A220" s="6" t="s">
        <v>202</v>
      </c>
      <c r="B220" s="6" t="s">
        <v>1288</v>
      </c>
      <c r="C220" s="6" t="s">
        <v>1327</v>
      </c>
      <c r="D220" s="7" t="s">
        <v>90</v>
      </c>
      <c r="E220" s="7" t="s">
        <v>93</v>
      </c>
    </row>
    <row r="221" spans="1:5" x14ac:dyDescent="0.3">
      <c r="A221" s="6" t="s">
        <v>202</v>
      </c>
      <c r="B221" s="6" t="s">
        <v>1288</v>
      </c>
      <c r="C221" s="6" t="s">
        <v>1332</v>
      </c>
      <c r="D221" s="7" t="s">
        <v>90</v>
      </c>
      <c r="E221" s="7" t="s">
        <v>93</v>
      </c>
    </row>
    <row r="222" spans="1:5" x14ac:dyDescent="0.3">
      <c r="A222" s="6" t="s">
        <v>202</v>
      </c>
      <c r="B222" s="6" t="s">
        <v>1288</v>
      </c>
      <c r="C222" s="6" t="s">
        <v>1336</v>
      </c>
      <c r="D222" s="7" t="s">
        <v>90</v>
      </c>
      <c r="E222" s="7" t="s">
        <v>93</v>
      </c>
    </row>
    <row r="223" spans="1:5" x14ac:dyDescent="0.3">
      <c r="A223" s="6" t="s">
        <v>202</v>
      </c>
      <c r="B223" s="6" t="s">
        <v>1288</v>
      </c>
      <c r="C223" s="6" t="s">
        <v>1341</v>
      </c>
      <c r="D223" s="7" t="s">
        <v>90</v>
      </c>
      <c r="E223" s="7" t="s">
        <v>93</v>
      </c>
    </row>
    <row r="224" spans="1:5" x14ac:dyDescent="0.3">
      <c r="A224" s="6" t="s">
        <v>202</v>
      </c>
      <c r="B224" s="6" t="s">
        <v>1288</v>
      </c>
      <c r="C224" s="6" t="s">
        <v>1345</v>
      </c>
      <c r="D224" s="7" t="s">
        <v>90</v>
      </c>
      <c r="E224" s="7" t="s">
        <v>93</v>
      </c>
    </row>
    <row r="225" spans="1:5" x14ac:dyDescent="0.3">
      <c r="A225" s="6" t="s">
        <v>202</v>
      </c>
      <c r="B225" s="6" t="s">
        <v>1288</v>
      </c>
      <c r="C225" s="6" t="s">
        <v>1350</v>
      </c>
      <c r="D225" s="7" t="s">
        <v>90</v>
      </c>
      <c r="E225" s="7" t="s">
        <v>93</v>
      </c>
    </row>
    <row r="226" spans="1:5" x14ac:dyDescent="0.3">
      <c r="A226" s="6" t="s">
        <v>202</v>
      </c>
      <c r="B226" s="6" t="s">
        <v>1288</v>
      </c>
      <c r="C226" s="6" t="s">
        <v>1354</v>
      </c>
      <c r="D226" s="7" t="s">
        <v>90</v>
      </c>
      <c r="E226" s="7" t="s">
        <v>93</v>
      </c>
    </row>
    <row r="227" spans="1:5" x14ac:dyDescent="0.3">
      <c r="A227" s="6" t="s">
        <v>202</v>
      </c>
      <c r="B227" s="6" t="s">
        <v>1288</v>
      </c>
      <c r="C227" s="6" t="s">
        <v>1358</v>
      </c>
      <c r="D227" s="7" t="s">
        <v>90</v>
      </c>
      <c r="E227" s="7" t="s">
        <v>93</v>
      </c>
    </row>
    <row r="228" spans="1:5" x14ac:dyDescent="0.3">
      <c r="A228" s="6" t="s">
        <v>202</v>
      </c>
      <c r="B228" s="6" t="s">
        <v>1288</v>
      </c>
      <c r="C228" s="6" t="s">
        <v>1365</v>
      </c>
      <c r="D228" s="7" t="s">
        <v>90</v>
      </c>
      <c r="E228" s="7" t="s">
        <v>93</v>
      </c>
    </row>
    <row r="229" spans="1:5" x14ac:dyDescent="0.3">
      <c r="A229" s="6" t="s">
        <v>202</v>
      </c>
      <c r="B229" s="6" t="s">
        <v>1288</v>
      </c>
      <c r="C229" s="6" t="s">
        <v>1369</v>
      </c>
      <c r="D229" s="7" t="s">
        <v>90</v>
      </c>
      <c r="E229" s="7" t="s">
        <v>93</v>
      </c>
    </row>
    <row r="230" spans="1:5" x14ac:dyDescent="0.3">
      <c r="A230" s="6" t="s">
        <v>202</v>
      </c>
      <c r="B230" s="6" t="s">
        <v>1288</v>
      </c>
      <c r="C230" s="6" t="s">
        <v>1372</v>
      </c>
      <c r="D230" s="7" t="s">
        <v>90</v>
      </c>
      <c r="E230" s="7" t="s">
        <v>93</v>
      </c>
    </row>
    <row r="231" spans="1:5" x14ac:dyDescent="0.3">
      <c r="A231" s="6" t="s">
        <v>202</v>
      </c>
      <c r="B231" s="6" t="s">
        <v>1288</v>
      </c>
      <c r="C231" s="6" t="s">
        <v>1377</v>
      </c>
      <c r="D231" s="7" t="s">
        <v>90</v>
      </c>
      <c r="E231" s="7" t="s">
        <v>93</v>
      </c>
    </row>
    <row r="232" spans="1:5" x14ac:dyDescent="0.3">
      <c r="A232" s="6" t="s">
        <v>202</v>
      </c>
      <c r="B232" s="6" t="s">
        <v>1288</v>
      </c>
      <c r="C232" s="6" t="s">
        <v>1381</v>
      </c>
      <c r="D232" s="7" t="s">
        <v>90</v>
      </c>
      <c r="E232" s="7" t="s">
        <v>93</v>
      </c>
    </row>
    <row r="233" spans="1:5" x14ac:dyDescent="0.3">
      <c r="A233" s="6" t="s">
        <v>202</v>
      </c>
      <c r="B233" s="6" t="s">
        <v>1288</v>
      </c>
      <c r="C233" s="6" t="s">
        <v>1386</v>
      </c>
      <c r="D233" s="7" t="s">
        <v>90</v>
      </c>
      <c r="E233" s="7" t="s">
        <v>93</v>
      </c>
    </row>
    <row r="234" spans="1:5" x14ac:dyDescent="0.3">
      <c r="A234" s="6" t="s">
        <v>202</v>
      </c>
      <c r="B234" s="6" t="s">
        <v>1288</v>
      </c>
      <c r="C234" s="6" t="s">
        <v>1390</v>
      </c>
      <c r="D234" s="7" t="s">
        <v>90</v>
      </c>
      <c r="E234" s="7" t="s">
        <v>93</v>
      </c>
    </row>
    <row r="235" spans="1:5" x14ac:dyDescent="0.3">
      <c r="A235" s="6" t="s">
        <v>202</v>
      </c>
      <c r="B235" s="6" t="s">
        <v>1288</v>
      </c>
      <c r="C235" s="6" t="s">
        <v>1394</v>
      </c>
      <c r="D235" s="7" t="s">
        <v>90</v>
      </c>
      <c r="E235" s="7" t="s">
        <v>93</v>
      </c>
    </row>
    <row r="236" spans="1:5" x14ac:dyDescent="0.3">
      <c r="A236" s="6" t="s">
        <v>202</v>
      </c>
      <c r="B236" s="6" t="s">
        <v>1288</v>
      </c>
      <c r="C236" s="6" t="s">
        <v>1398</v>
      </c>
      <c r="D236" s="7" t="s">
        <v>90</v>
      </c>
      <c r="E236" s="7" t="s">
        <v>93</v>
      </c>
    </row>
    <row r="237" spans="1:5" x14ac:dyDescent="0.3">
      <c r="A237" s="6" t="s">
        <v>202</v>
      </c>
      <c r="B237" s="6" t="s">
        <v>1288</v>
      </c>
      <c r="C237" s="6" t="s">
        <v>1404</v>
      </c>
      <c r="D237" s="7" t="s">
        <v>90</v>
      </c>
      <c r="E237" s="7" t="s">
        <v>93</v>
      </c>
    </row>
    <row r="238" spans="1:5" x14ac:dyDescent="0.3">
      <c r="A238" s="6" t="s">
        <v>202</v>
      </c>
      <c r="B238" s="6" t="s">
        <v>1288</v>
      </c>
      <c r="C238" s="6" t="s">
        <v>1410</v>
      </c>
      <c r="D238" s="7" t="s">
        <v>90</v>
      </c>
      <c r="E238" s="7" t="s">
        <v>93</v>
      </c>
    </row>
    <row r="239" spans="1:5" x14ac:dyDescent="0.3">
      <c r="A239" s="6" t="s">
        <v>202</v>
      </c>
      <c r="B239" s="6" t="s">
        <v>1288</v>
      </c>
      <c r="C239" s="6" t="s">
        <v>1415</v>
      </c>
      <c r="D239" s="7" t="s">
        <v>90</v>
      </c>
      <c r="E239" s="7" t="s">
        <v>93</v>
      </c>
    </row>
    <row r="240" spans="1:5" x14ac:dyDescent="0.3">
      <c r="A240" s="6" t="s">
        <v>202</v>
      </c>
      <c r="B240" s="6" t="s">
        <v>1288</v>
      </c>
      <c r="C240" s="6" t="s">
        <v>1419</v>
      </c>
      <c r="D240" s="7" t="s">
        <v>90</v>
      </c>
      <c r="E240" s="7" t="s">
        <v>93</v>
      </c>
    </row>
    <row r="241" spans="1:5" x14ac:dyDescent="0.3">
      <c r="A241" s="6" t="s">
        <v>202</v>
      </c>
      <c r="B241" s="6" t="s">
        <v>1288</v>
      </c>
      <c r="C241" s="6" t="s">
        <v>1423</v>
      </c>
      <c r="D241" s="7" t="s">
        <v>90</v>
      </c>
      <c r="E241" s="7" t="s">
        <v>93</v>
      </c>
    </row>
    <row r="242" spans="1:5" x14ac:dyDescent="0.3">
      <c r="A242" s="6" t="s">
        <v>202</v>
      </c>
      <c r="B242" s="6" t="s">
        <v>1288</v>
      </c>
      <c r="C242" s="6" t="s">
        <v>1427</v>
      </c>
      <c r="D242" s="7" t="s">
        <v>90</v>
      </c>
      <c r="E242" s="7" t="s">
        <v>93</v>
      </c>
    </row>
    <row r="243" spans="1:5" x14ac:dyDescent="0.3">
      <c r="A243" s="6" t="s">
        <v>202</v>
      </c>
      <c r="B243" s="6" t="s">
        <v>1288</v>
      </c>
      <c r="C243" s="6" t="s">
        <v>1430</v>
      </c>
      <c r="D243" s="7" t="s">
        <v>90</v>
      </c>
      <c r="E243" s="7" t="s">
        <v>93</v>
      </c>
    </row>
    <row r="244" spans="1:5" x14ac:dyDescent="0.3">
      <c r="A244" s="6" t="s">
        <v>202</v>
      </c>
      <c r="B244" s="6" t="s">
        <v>1288</v>
      </c>
      <c r="C244" s="6" t="s">
        <v>1436</v>
      </c>
      <c r="D244" s="7" t="s">
        <v>90</v>
      </c>
      <c r="E244" s="7" t="s">
        <v>93</v>
      </c>
    </row>
    <row r="245" spans="1:5" x14ac:dyDescent="0.3">
      <c r="A245" s="6" t="s">
        <v>202</v>
      </c>
      <c r="B245" s="6" t="s">
        <v>1288</v>
      </c>
      <c r="C245" s="6" t="s">
        <v>1441</v>
      </c>
      <c r="D245" s="7" t="s">
        <v>90</v>
      </c>
      <c r="E245" s="7" t="s">
        <v>93</v>
      </c>
    </row>
    <row r="246" spans="1:5" x14ac:dyDescent="0.3">
      <c r="A246" s="6" t="s">
        <v>202</v>
      </c>
      <c r="B246" s="6" t="s">
        <v>1288</v>
      </c>
      <c r="C246" s="6" t="s">
        <v>1445</v>
      </c>
      <c r="D246" s="7" t="s">
        <v>90</v>
      </c>
      <c r="E246" s="7" t="s">
        <v>93</v>
      </c>
    </row>
    <row r="247" spans="1:5" x14ac:dyDescent="0.3">
      <c r="A247" s="6" t="s">
        <v>202</v>
      </c>
      <c r="B247" s="6" t="s">
        <v>1288</v>
      </c>
      <c r="C247" s="6" t="s">
        <v>1450</v>
      </c>
      <c r="D247" s="7" t="s">
        <v>90</v>
      </c>
      <c r="E247" s="7" t="s">
        <v>93</v>
      </c>
    </row>
    <row r="248" spans="1:5" x14ac:dyDescent="0.3">
      <c r="A248" s="6" t="s">
        <v>202</v>
      </c>
      <c r="B248" s="6" t="s">
        <v>1288</v>
      </c>
      <c r="C248" s="6" t="s">
        <v>1454</v>
      </c>
      <c r="D248" s="7" t="s">
        <v>90</v>
      </c>
      <c r="E248" s="7" t="s">
        <v>93</v>
      </c>
    </row>
    <row r="249" spans="1:5" x14ac:dyDescent="0.3">
      <c r="A249" s="6" t="s">
        <v>202</v>
      </c>
      <c r="B249" s="6" t="s">
        <v>1288</v>
      </c>
      <c r="C249" s="6" t="s">
        <v>1459</v>
      </c>
      <c r="D249" s="7" t="s">
        <v>90</v>
      </c>
      <c r="E249" s="7" t="s">
        <v>93</v>
      </c>
    </row>
    <row r="250" spans="1:5" x14ac:dyDescent="0.3">
      <c r="A250" s="6" t="s">
        <v>202</v>
      </c>
      <c r="B250" s="6" t="s">
        <v>1288</v>
      </c>
      <c r="C250" s="6" t="s">
        <v>1464</v>
      </c>
      <c r="D250" s="7" t="s">
        <v>90</v>
      </c>
      <c r="E250" s="7" t="s">
        <v>93</v>
      </c>
    </row>
    <row r="251" spans="1:5" x14ac:dyDescent="0.3">
      <c r="A251" s="6" t="s">
        <v>202</v>
      </c>
      <c r="B251" s="6" t="s">
        <v>1288</v>
      </c>
      <c r="C251" s="6" t="s">
        <v>1469</v>
      </c>
      <c r="D251" s="7" t="s">
        <v>90</v>
      </c>
      <c r="E251" s="7" t="s">
        <v>93</v>
      </c>
    </row>
    <row r="252" spans="1:5" x14ac:dyDescent="0.3">
      <c r="A252" s="6" t="s">
        <v>202</v>
      </c>
      <c r="B252" s="6" t="s">
        <v>1472</v>
      </c>
      <c r="C252" s="6" t="s">
        <v>1473</v>
      </c>
      <c r="D252" s="7" t="s">
        <v>90</v>
      </c>
      <c r="E252" s="7" t="s">
        <v>93</v>
      </c>
    </row>
    <row r="253" spans="1:5" x14ac:dyDescent="0.3">
      <c r="A253" s="6" t="s">
        <v>202</v>
      </c>
      <c r="B253" s="6" t="s">
        <v>1472</v>
      </c>
      <c r="C253" s="6" t="s">
        <v>1481</v>
      </c>
      <c r="D253" s="7" t="s">
        <v>90</v>
      </c>
      <c r="E253" s="7" t="s">
        <v>93</v>
      </c>
    </row>
    <row r="254" spans="1:5" x14ac:dyDescent="0.3">
      <c r="A254" s="6" t="s">
        <v>202</v>
      </c>
      <c r="B254" s="6" t="s">
        <v>1472</v>
      </c>
      <c r="C254" s="6" t="s">
        <v>1486</v>
      </c>
      <c r="D254" s="7" t="s">
        <v>90</v>
      </c>
      <c r="E254" s="7" t="s">
        <v>93</v>
      </c>
    </row>
    <row r="255" spans="1:5" x14ac:dyDescent="0.3">
      <c r="A255" s="6" t="s">
        <v>202</v>
      </c>
      <c r="B255" s="6" t="s">
        <v>1472</v>
      </c>
      <c r="C255" s="6" t="s">
        <v>1490</v>
      </c>
      <c r="D255" s="7" t="s">
        <v>90</v>
      </c>
      <c r="E255" s="7" t="s">
        <v>93</v>
      </c>
    </row>
    <row r="256" spans="1:5" x14ac:dyDescent="0.3">
      <c r="A256" s="6" t="s">
        <v>202</v>
      </c>
      <c r="B256" s="6" t="s">
        <v>1472</v>
      </c>
      <c r="C256" s="6" t="s">
        <v>1494</v>
      </c>
      <c r="D256" s="7" t="s">
        <v>90</v>
      </c>
      <c r="E256" s="7" t="s">
        <v>93</v>
      </c>
    </row>
    <row r="257" spans="1:5" x14ac:dyDescent="0.3">
      <c r="A257" s="6" t="s">
        <v>202</v>
      </c>
      <c r="B257" s="6" t="s">
        <v>1472</v>
      </c>
      <c r="C257" s="6" t="s">
        <v>1497</v>
      </c>
      <c r="D257" s="7" t="s">
        <v>90</v>
      </c>
      <c r="E257" s="7" t="s">
        <v>93</v>
      </c>
    </row>
    <row r="258" spans="1:5" x14ac:dyDescent="0.3">
      <c r="A258" s="6" t="s">
        <v>202</v>
      </c>
      <c r="B258" s="6" t="s">
        <v>1472</v>
      </c>
      <c r="C258" s="6" t="s">
        <v>1502</v>
      </c>
      <c r="D258" s="7" t="s">
        <v>90</v>
      </c>
      <c r="E258" s="7" t="s">
        <v>93</v>
      </c>
    </row>
    <row r="259" spans="1:5" x14ac:dyDescent="0.3">
      <c r="A259" s="6" t="s">
        <v>202</v>
      </c>
      <c r="B259" s="6" t="s">
        <v>1472</v>
      </c>
      <c r="C259" s="6" t="s">
        <v>1507</v>
      </c>
      <c r="D259" s="7" t="s">
        <v>90</v>
      </c>
      <c r="E259" s="7" t="s">
        <v>93</v>
      </c>
    </row>
    <row r="260" spans="1:5" x14ac:dyDescent="0.3">
      <c r="A260" s="6" t="s">
        <v>202</v>
      </c>
      <c r="B260" s="6" t="s">
        <v>1472</v>
      </c>
      <c r="C260" s="6" t="s">
        <v>1512</v>
      </c>
      <c r="D260" s="7" t="s">
        <v>90</v>
      </c>
      <c r="E260" s="7" t="s">
        <v>93</v>
      </c>
    </row>
    <row r="261" spans="1:5" x14ac:dyDescent="0.3">
      <c r="A261" s="6" t="s">
        <v>202</v>
      </c>
      <c r="B261" s="6" t="s">
        <v>1472</v>
      </c>
      <c r="C261" s="6" t="s">
        <v>1517</v>
      </c>
      <c r="D261" s="7" t="s">
        <v>90</v>
      </c>
      <c r="E261" s="7" t="s">
        <v>93</v>
      </c>
    </row>
    <row r="262" spans="1:5" x14ac:dyDescent="0.3">
      <c r="A262" s="6" t="s">
        <v>202</v>
      </c>
      <c r="B262" s="6" t="s">
        <v>1472</v>
      </c>
      <c r="C262" s="6" t="s">
        <v>1521</v>
      </c>
      <c r="D262" s="7" t="s">
        <v>90</v>
      </c>
      <c r="E262" s="7" t="s">
        <v>93</v>
      </c>
    </row>
    <row r="263" spans="1:5" x14ac:dyDescent="0.3">
      <c r="A263" s="6" t="s">
        <v>202</v>
      </c>
      <c r="B263" s="6" t="s">
        <v>1472</v>
      </c>
      <c r="C263" s="6" t="s">
        <v>1527</v>
      </c>
      <c r="D263" s="7" t="s">
        <v>90</v>
      </c>
      <c r="E263" s="7" t="s">
        <v>93</v>
      </c>
    </row>
    <row r="264" spans="1:5" x14ac:dyDescent="0.3">
      <c r="A264" s="6" t="s">
        <v>202</v>
      </c>
      <c r="B264" s="6" t="s">
        <v>1472</v>
      </c>
      <c r="C264" s="6" t="s">
        <v>1530</v>
      </c>
      <c r="D264" s="7" t="s">
        <v>90</v>
      </c>
      <c r="E264" s="7" t="s">
        <v>93</v>
      </c>
    </row>
    <row r="265" spans="1:5" x14ac:dyDescent="0.3">
      <c r="A265" s="6" t="s">
        <v>202</v>
      </c>
      <c r="B265" s="6" t="s">
        <v>1472</v>
      </c>
      <c r="C265" s="6" t="s">
        <v>1535</v>
      </c>
      <c r="D265" s="7" t="s">
        <v>90</v>
      </c>
      <c r="E265" s="7" t="s">
        <v>93</v>
      </c>
    </row>
    <row r="266" spans="1:5" x14ac:dyDescent="0.3">
      <c r="A266" s="6" t="s">
        <v>202</v>
      </c>
      <c r="B266" s="6" t="s">
        <v>1472</v>
      </c>
      <c r="C266" s="6" t="s">
        <v>1540</v>
      </c>
      <c r="D266" s="7" t="s">
        <v>90</v>
      </c>
      <c r="E266" s="7" t="s">
        <v>93</v>
      </c>
    </row>
    <row r="267" spans="1:5" x14ac:dyDescent="0.3">
      <c r="A267" s="6" t="s">
        <v>202</v>
      </c>
      <c r="B267" s="6" t="s">
        <v>1472</v>
      </c>
      <c r="C267" s="6" t="s">
        <v>1544</v>
      </c>
      <c r="D267" s="7" t="s">
        <v>90</v>
      </c>
      <c r="E267" s="7" t="s">
        <v>93</v>
      </c>
    </row>
    <row r="268" spans="1:5" x14ac:dyDescent="0.3">
      <c r="A268" s="6" t="s">
        <v>202</v>
      </c>
      <c r="B268" s="6" t="s">
        <v>1472</v>
      </c>
      <c r="C268" s="6" t="s">
        <v>1550</v>
      </c>
      <c r="D268" s="7" t="s">
        <v>90</v>
      </c>
      <c r="E268" s="7" t="s">
        <v>93</v>
      </c>
    </row>
    <row r="269" spans="1:5" x14ac:dyDescent="0.3">
      <c r="A269" s="6" t="s">
        <v>202</v>
      </c>
      <c r="B269" s="6" t="s">
        <v>1472</v>
      </c>
      <c r="C269" s="6" t="s">
        <v>1554</v>
      </c>
      <c r="D269" s="7" t="s">
        <v>90</v>
      </c>
      <c r="E269" s="7" t="s">
        <v>93</v>
      </c>
    </row>
    <row r="270" spans="1:5" x14ac:dyDescent="0.3">
      <c r="A270" s="6" t="s">
        <v>202</v>
      </c>
      <c r="B270" s="6" t="s">
        <v>1472</v>
      </c>
      <c r="C270" s="6" t="s">
        <v>1558</v>
      </c>
      <c r="D270" s="7" t="s">
        <v>90</v>
      </c>
      <c r="E270" s="7" t="s">
        <v>93</v>
      </c>
    </row>
    <row r="271" spans="1:5" x14ac:dyDescent="0.3">
      <c r="A271" s="6" t="s">
        <v>202</v>
      </c>
      <c r="B271" s="6" t="s">
        <v>1472</v>
      </c>
      <c r="C271" s="6" t="s">
        <v>1560</v>
      </c>
      <c r="D271" s="7" t="s">
        <v>90</v>
      </c>
      <c r="E271" s="7" t="s">
        <v>93</v>
      </c>
    </row>
    <row r="272" spans="1:5" x14ac:dyDescent="0.3">
      <c r="A272" s="6" t="s">
        <v>202</v>
      </c>
      <c r="B272" s="6" t="s">
        <v>1564</v>
      </c>
      <c r="C272" s="6" t="s">
        <v>1565</v>
      </c>
      <c r="D272" s="7" t="s">
        <v>90</v>
      </c>
      <c r="E272" s="7" t="s">
        <v>93</v>
      </c>
    </row>
    <row r="273" spans="1:5" x14ac:dyDescent="0.3">
      <c r="A273" s="6" t="s">
        <v>202</v>
      </c>
      <c r="B273" s="6" t="s">
        <v>1564</v>
      </c>
      <c r="C273" s="6" t="s">
        <v>1571</v>
      </c>
      <c r="D273" s="7" t="s">
        <v>90</v>
      </c>
      <c r="E273" s="7" t="s">
        <v>93</v>
      </c>
    </row>
    <row r="274" spans="1:5" x14ac:dyDescent="0.3">
      <c r="A274" s="6" t="s">
        <v>202</v>
      </c>
      <c r="B274" s="6" t="s">
        <v>1564</v>
      </c>
      <c r="C274" s="6" t="s">
        <v>1576</v>
      </c>
      <c r="D274" s="7" t="s">
        <v>90</v>
      </c>
      <c r="E274" s="7" t="s">
        <v>93</v>
      </c>
    </row>
    <row r="275" spans="1:5" x14ac:dyDescent="0.3">
      <c r="A275" s="6" t="s">
        <v>202</v>
      </c>
      <c r="B275" s="6" t="s">
        <v>1564</v>
      </c>
      <c r="C275" s="6" t="s">
        <v>1581</v>
      </c>
      <c r="D275" s="7" t="s">
        <v>90</v>
      </c>
      <c r="E275" s="7" t="s">
        <v>93</v>
      </c>
    </row>
    <row r="276" spans="1:5" x14ac:dyDescent="0.3">
      <c r="A276" s="6" t="s">
        <v>202</v>
      </c>
      <c r="B276" s="6" t="s">
        <v>1564</v>
      </c>
      <c r="C276" s="6" t="s">
        <v>1585</v>
      </c>
      <c r="D276" s="7" t="s">
        <v>90</v>
      </c>
      <c r="E276" s="7" t="s">
        <v>93</v>
      </c>
    </row>
    <row r="277" spans="1:5" x14ac:dyDescent="0.3">
      <c r="A277" s="6" t="s">
        <v>202</v>
      </c>
      <c r="B277" s="6" t="s">
        <v>1564</v>
      </c>
      <c r="C277" s="6" t="s">
        <v>1589</v>
      </c>
      <c r="D277" s="7" t="s">
        <v>90</v>
      </c>
      <c r="E277" s="7" t="s">
        <v>93</v>
      </c>
    </row>
    <row r="278" spans="1:5" x14ac:dyDescent="0.3">
      <c r="A278" s="6" t="s">
        <v>202</v>
      </c>
      <c r="B278" s="6" t="s">
        <v>1564</v>
      </c>
      <c r="C278" s="6" t="s">
        <v>1593</v>
      </c>
      <c r="D278" s="7" t="s">
        <v>90</v>
      </c>
      <c r="E278" s="7" t="s">
        <v>93</v>
      </c>
    </row>
    <row r="279" spans="1:5" x14ac:dyDescent="0.3">
      <c r="A279" s="6" t="s">
        <v>202</v>
      </c>
      <c r="B279" s="6" t="s">
        <v>1564</v>
      </c>
      <c r="C279" s="6" t="s">
        <v>1597</v>
      </c>
      <c r="D279" s="7" t="s">
        <v>90</v>
      </c>
      <c r="E279" s="7" t="s">
        <v>93</v>
      </c>
    </row>
    <row r="280" spans="1:5" x14ac:dyDescent="0.3">
      <c r="A280" s="6" t="s">
        <v>202</v>
      </c>
      <c r="B280" s="6" t="s">
        <v>1564</v>
      </c>
      <c r="C280" s="6" t="s">
        <v>1602</v>
      </c>
      <c r="D280" s="7" t="s">
        <v>90</v>
      </c>
      <c r="E280" s="7" t="s">
        <v>93</v>
      </c>
    </row>
    <row r="281" spans="1:5" x14ac:dyDescent="0.3">
      <c r="A281" s="6" t="s">
        <v>202</v>
      </c>
      <c r="B281" s="6" t="s">
        <v>1564</v>
      </c>
      <c r="C281" s="6" t="s">
        <v>1605</v>
      </c>
      <c r="D281" s="7" t="s">
        <v>90</v>
      </c>
      <c r="E281" s="7" t="s">
        <v>93</v>
      </c>
    </row>
    <row r="282" spans="1:5" x14ac:dyDescent="0.3">
      <c r="A282" s="6" t="s">
        <v>202</v>
      </c>
      <c r="B282" s="6" t="s">
        <v>1564</v>
      </c>
      <c r="C282" s="6" t="s">
        <v>1610</v>
      </c>
      <c r="D282" s="7" t="s">
        <v>90</v>
      </c>
      <c r="E282" s="7" t="s">
        <v>93</v>
      </c>
    </row>
    <row r="283" spans="1:5" x14ac:dyDescent="0.3">
      <c r="A283" s="6" t="s">
        <v>202</v>
      </c>
      <c r="B283" s="6" t="s">
        <v>1564</v>
      </c>
      <c r="C283" s="6" t="s">
        <v>1614</v>
      </c>
      <c r="D283" s="7" t="s">
        <v>90</v>
      </c>
      <c r="E283" s="7" t="s">
        <v>93</v>
      </c>
    </row>
    <row r="284" spans="1:5" x14ac:dyDescent="0.3">
      <c r="A284" s="6" t="s">
        <v>202</v>
      </c>
      <c r="B284" s="6" t="s">
        <v>1564</v>
      </c>
      <c r="C284" s="6" t="s">
        <v>1617</v>
      </c>
      <c r="D284" s="7" t="s">
        <v>90</v>
      </c>
      <c r="E284" s="7" t="s">
        <v>93</v>
      </c>
    </row>
    <row r="285" spans="1:5" x14ac:dyDescent="0.3">
      <c r="A285" s="6" t="s">
        <v>202</v>
      </c>
      <c r="B285" s="6" t="s">
        <v>1564</v>
      </c>
      <c r="C285" s="6" t="s">
        <v>1623</v>
      </c>
      <c r="D285" s="7" t="s">
        <v>90</v>
      </c>
      <c r="E285" s="7" t="s">
        <v>93</v>
      </c>
    </row>
    <row r="286" spans="1:5" x14ac:dyDescent="0.3">
      <c r="A286" s="6" t="s">
        <v>202</v>
      </c>
      <c r="B286" s="6" t="s">
        <v>1564</v>
      </c>
      <c r="C286" s="6" t="s">
        <v>1626</v>
      </c>
      <c r="D286" s="7" t="s">
        <v>90</v>
      </c>
      <c r="E286" s="7" t="s">
        <v>93</v>
      </c>
    </row>
    <row r="287" spans="1:5" x14ac:dyDescent="0.3">
      <c r="A287" s="6" t="s">
        <v>202</v>
      </c>
      <c r="B287" s="6" t="s">
        <v>1564</v>
      </c>
      <c r="C287" s="6" t="s">
        <v>1630</v>
      </c>
      <c r="D287" s="7" t="s">
        <v>90</v>
      </c>
      <c r="E287" s="7" t="s">
        <v>93</v>
      </c>
    </row>
    <row r="288" spans="1:5" x14ac:dyDescent="0.3">
      <c r="A288" s="6" t="s">
        <v>202</v>
      </c>
      <c r="B288" s="6" t="s">
        <v>1564</v>
      </c>
      <c r="C288" s="6" t="s">
        <v>1636</v>
      </c>
      <c r="D288" s="7" t="s">
        <v>90</v>
      </c>
      <c r="E288" s="7" t="s">
        <v>93</v>
      </c>
    </row>
    <row r="289" spans="1:5" x14ac:dyDescent="0.3">
      <c r="A289" s="6" t="s">
        <v>202</v>
      </c>
      <c r="B289" s="6" t="s">
        <v>1564</v>
      </c>
      <c r="C289" s="6" t="s">
        <v>1641</v>
      </c>
      <c r="D289" s="7" t="s">
        <v>90</v>
      </c>
      <c r="E289" s="7" t="s">
        <v>93</v>
      </c>
    </row>
    <row r="290" spans="1:5" x14ac:dyDescent="0.3">
      <c r="A290" s="6" t="s">
        <v>202</v>
      </c>
      <c r="B290" s="6" t="s">
        <v>1564</v>
      </c>
      <c r="C290" s="6" t="s">
        <v>1645</v>
      </c>
      <c r="D290" s="7" t="s">
        <v>90</v>
      </c>
      <c r="E290" s="7" t="s">
        <v>93</v>
      </c>
    </row>
    <row r="291" spans="1:5" x14ac:dyDescent="0.3">
      <c r="A291" s="6" t="s">
        <v>202</v>
      </c>
      <c r="B291" s="6" t="s">
        <v>1564</v>
      </c>
      <c r="C291" s="6" t="s">
        <v>1651</v>
      </c>
      <c r="D291" s="7" t="s">
        <v>90</v>
      </c>
      <c r="E291" s="7" t="s">
        <v>93</v>
      </c>
    </row>
    <row r="292" spans="1:5" x14ac:dyDescent="0.3">
      <c r="A292" s="6" t="s">
        <v>202</v>
      </c>
      <c r="B292" s="6" t="s">
        <v>1564</v>
      </c>
      <c r="C292" s="6" t="s">
        <v>1655</v>
      </c>
      <c r="D292" s="7" t="s">
        <v>90</v>
      </c>
      <c r="E292" s="7" t="s">
        <v>93</v>
      </c>
    </row>
    <row r="293" spans="1:5" x14ac:dyDescent="0.3">
      <c r="A293" s="6" t="s">
        <v>202</v>
      </c>
      <c r="B293" s="6" t="s">
        <v>1564</v>
      </c>
      <c r="C293" s="6" t="s">
        <v>1659</v>
      </c>
      <c r="D293" s="7" t="s">
        <v>90</v>
      </c>
      <c r="E293" s="7" t="s">
        <v>93</v>
      </c>
    </row>
    <row r="294" spans="1:5" x14ac:dyDescent="0.3">
      <c r="A294" s="6" t="s">
        <v>202</v>
      </c>
      <c r="B294" s="6" t="s">
        <v>1564</v>
      </c>
      <c r="C294" s="6" t="s">
        <v>1665</v>
      </c>
      <c r="D294" s="7" t="s">
        <v>90</v>
      </c>
      <c r="E294" s="7" t="s">
        <v>93</v>
      </c>
    </row>
    <row r="295" spans="1:5" x14ac:dyDescent="0.3">
      <c r="A295" s="6" t="s">
        <v>202</v>
      </c>
      <c r="B295" s="6" t="s">
        <v>1564</v>
      </c>
      <c r="C295" s="6" t="s">
        <v>1670</v>
      </c>
      <c r="D295" s="7" t="s">
        <v>90</v>
      </c>
      <c r="E295" s="7" t="s">
        <v>93</v>
      </c>
    </row>
    <row r="296" spans="1:5" x14ac:dyDescent="0.3">
      <c r="A296" s="6" t="s">
        <v>202</v>
      </c>
      <c r="B296" s="6" t="s">
        <v>1564</v>
      </c>
      <c r="C296" s="6" t="s">
        <v>1675</v>
      </c>
      <c r="D296" s="7" t="s">
        <v>90</v>
      </c>
      <c r="E296" s="7" t="s">
        <v>93</v>
      </c>
    </row>
    <row r="297" spans="1:5" x14ac:dyDescent="0.3">
      <c r="A297" s="6" t="s">
        <v>202</v>
      </c>
      <c r="B297" s="6" t="s">
        <v>1564</v>
      </c>
      <c r="C297" s="6" t="s">
        <v>1681</v>
      </c>
      <c r="D297" s="7" t="s">
        <v>90</v>
      </c>
      <c r="E297" s="7" t="s">
        <v>93</v>
      </c>
    </row>
    <row r="298" spans="1:5" x14ac:dyDescent="0.3">
      <c r="A298" s="6" t="s">
        <v>202</v>
      </c>
      <c r="B298" s="6" t="s">
        <v>1564</v>
      </c>
      <c r="C298" s="6" t="s">
        <v>1686</v>
      </c>
      <c r="D298" s="7" t="s">
        <v>90</v>
      </c>
      <c r="E298" s="7" t="s">
        <v>93</v>
      </c>
    </row>
    <row r="299" spans="1:5" x14ac:dyDescent="0.3">
      <c r="A299" s="6" t="s">
        <v>202</v>
      </c>
      <c r="B299" s="6" t="s">
        <v>1564</v>
      </c>
      <c r="C299" s="6" t="s">
        <v>1692</v>
      </c>
      <c r="D299" s="7" t="s">
        <v>90</v>
      </c>
      <c r="E299" s="7" t="s">
        <v>93</v>
      </c>
    </row>
    <row r="300" spans="1:5" x14ac:dyDescent="0.3">
      <c r="A300" s="6" t="s">
        <v>202</v>
      </c>
      <c r="B300" s="6" t="s">
        <v>1564</v>
      </c>
      <c r="C300" s="6" t="s">
        <v>1697</v>
      </c>
      <c r="D300" s="7" t="s">
        <v>90</v>
      </c>
      <c r="E300" s="7" t="s">
        <v>93</v>
      </c>
    </row>
    <row r="301" spans="1:5" x14ac:dyDescent="0.3">
      <c r="A301" s="6" t="s">
        <v>202</v>
      </c>
      <c r="B301" s="6" t="s">
        <v>1564</v>
      </c>
      <c r="C301" s="6" t="s">
        <v>1700</v>
      </c>
      <c r="D301" s="7" t="s">
        <v>90</v>
      </c>
      <c r="E301" s="7" t="s">
        <v>93</v>
      </c>
    </row>
    <row r="302" spans="1:5" x14ac:dyDescent="0.3">
      <c r="A302" s="6" t="s">
        <v>202</v>
      </c>
      <c r="B302" s="6" t="s">
        <v>1564</v>
      </c>
      <c r="C302" s="6" t="s">
        <v>1703</v>
      </c>
      <c r="D302" s="7" t="s">
        <v>90</v>
      </c>
      <c r="E302" s="7" t="s">
        <v>93</v>
      </c>
    </row>
    <row r="303" spans="1:5" x14ac:dyDescent="0.3">
      <c r="A303" s="6" t="s">
        <v>202</v>
      </c>
      <c r="B303" s="6" t="s">
        <v>1564</v>
      </c>
      <c r="C303" s="6" t="s">
        <v>1707</v>
      </c>
      <c r="D303" s="7" t="s">
        <v>90</v>
      </c>
      <c r="E303" s="7" t="s">
        <v>93</v>
      </c>
    </row>
    <row r="304" spans="1:5" x14ac:dyDescent="0.3">
      <c r="A304" s="6" t="s">
        <v>202</v>
      </c>
      <c r="B304" s="6" t="s">
        <v>1564</v>
      </c>
      <c r="C304" s="6" t="s">
        <v>1713</v>
      </c>
      <c r="D304" s="7" t="s">
        <v>90</v>
      </c>
      <c r="E304" s="7" t="s">
        <v>93</v>
      </c>
    </row>
    <row r="305" spans="1:5" x14ac:dyDescent="0.3">
      <c r="A305" s="6" t="s">
        <v>202</v>
      </c>
      <c r="B305" s="6" t="s">
        <v>1564</v>
      </c>
      <c r="C305" s="6" t="s">
        <v>1719</v>
      </c>
      <c r="D305" s="7" t="s">
        <v>90</v>
      </c>
      <c r="E305" s="7" t="s">
        <v>93</v>
      </c>
    </row>
    <row r="306" spans="1:5" x14ac:dyDescent="0.3">
      <c r="A306" s="6" t="s">
        <v>202</v>
      </c>
      <c r="B306" s="6" t="s">
        <v>1564</v>
      </c>
      <c r="C306" s="6" t="s">
        <v>1723</v>
      </c>
      <c r="D306" s="7" t="s">
        <v>90</v>
      </c>
      <c r="E306" s="7" t="s">
        <v>93</v>
      </c>
    </row>
    <row r="307" spans="1:5" x14ac:dyDescent="0.3">
      <c r="A307" s="6" t="s">
        <v>202</v>
      </c>
      <c r="B307" s="6" t="s">
        <v>1564</v>
      </c>
      <c r="C307" s="6" t="s">
        <v>1726</v>
      </c>
      <c r="D307" s="7" t="s">
        <v>90</v>
      </c>
      <c r="E307" s="7" t="s">
        <v>93</v>
      </c>
    </row>
    <row r="308" spans="1:5" x14ac:dyDescent="0.3">
      <c r="A308" s="6" t="s">
        <v>202</v>
      </c>
      <c r="B308" s="6" t="s">
        <v>1564</v>
      </c>
      <c r="C308" s="6" t="s">
        <v>1732</v>
      </c>
      <c r="D308" s="7" t="s">
        <v>90</v>
      </c>
      <c r="E308" s="7" t="s">
        <v>93</v>
      </c>
    </row>
    <row r="309" spans="1:5" x14ac:dyDescent="0.3">
      <c r="A309" s="6" t="s">
        <v>202</v>
      </c>
      <c r="B309" s="6" t="s">
        <v>1564</v>
      </c>
      <c r="C309" s="6" t="s">
        <v>1737</v>
      </c>
      <c r="D309" s="7" t="s">
        <v>90</v>
      </c>
      <c r="E309" s="7" t="s">
        <v>93</v>
      </c>
    </row>
    <row r="310" spans="1:5" x14ac:dyDescent="0.3">
      <c r="A310" s="6" t="s">
        <v>202</v>
      </c>
      <c r="B310" s="6" t="s">
        <v>1564</v>
      </c>
      <c r="C310" s="6" t="s">
        <v>1740</v>
      </c>
      <c r="D310" s="7" t="s">
        <v>90</v>
      </c>
      <c r="E310" s="7" t="s">
        <v>93</v>
      </c>
    </row>
    <row r="311" spans="1:5" x14ac:dyDescent="0.3">
      <c r="A311" s="6" t="s">
        <v>202</v>
      </c>
      <c r="B311" s="6" t="s">
        <v>1564</v>
      </c>
      <c r="C311" s="6" t="s">
        <v>1744</v>
      </c>
      <c r="D311" s="7" t="s">
        <v>90</v>
      </c>
      <c r="E311" s="7" t="s">
        <v>93</v>
      </c>
    </row>
    <row r="312" spans="1:5" x14ac:dyDescent="0.3">
      <c r="A312" s="6" t="s">
        <v>202</v>
      </c>
      <c r="B312" s="6" t="s">
        <v>1564</v>
      </c>
      <c r="C312" s="6" t="s">
        <v>1749</v>
      </c>
      <c r="D312" s="7" t="s">
        <v>90</v>
      </c>
      <c r="E312" s="7" t="s">
        <v>93</v>
      </c>
    </row>
    <row r="313" spans="1:5" x14ac:dyDescent="0.3">
      <c r="A313" s="6" t="s">
        <v>202</v>
      </c>
      <c r="B313" s="6" t="s">
        <v>1564</v>
      </c>
      <c r="C313" s="6" t="s">
        <v>1754</v>
      </c>
      <c r="D313" s="7" t="s">
        <v>90</v>
      </c>
      <c r="E313" s="7" t="s">
        <v>93</v>
      </c>
    </row>
    <row r="314" spans="1:5" x14ac:dyDescent="0.3">
      <c r="A314" s="6" t="s">
        <v>202</v>
      </c>
      <c r="B314" s="6" t="s">
        <v>1564</v>
      </c>
      <c r="C314" s="6" t="s">
        <v>1759</v>
      </c>
      <c r="D314" s="7" t="s">
        <v>90</v>
      </c>
      <c r="E314" s="7" t="s">
        <v>93</v>
      </c>
    </row>
    <row r="315" spans="1:5" x14ac:dyDescent="0.3">
      <c r="A315" s="6" t="s">
        <v>202</v>
      </c>
      <c r="B315" s="6" t="s">
        <v>1564</v>
      </c>
      <c r="C315" s="6" t="s">
        <v>1763</v>
      </c>
      <c r="D315" s="7" t="s">
        <v>90</v>
      </c>
      <c r="E315" s="7" t="s">
        <v>93</v>
      </c>
    </row>
    <row r="316" spans="1:5" x14ac:dyDescent="0.3">
      <c r="A316" s="6" t="s">
        <v>202</v>
      </c>
      <c r="B316" s="6" t="s">
        <v>1564</v>
      </c>
      <c r="C316" s="6" t="s">
        <v>1767</v>
      </c>
      <c r="D316" s="7" t="s">
        <v>90</v>
      </c>
      <c r="E316" s="7" t="s">
        <v>93</v>
      </c>
    </row>
    <row r="317" spans="1:5" x14ac:dyDescent="0.3">
      <c r="A317" s="6" t="s">
        <v>202</v>
      </c>
      <c r="B317" s="6" t="s">
        <v>1564</v>
      </c>
      <c r="C317" s="6" t="s">
        <v>1772</v>
      </c>
      <c r="D317" s="7" t="s">
        <v>90</v>
      </c>
      <c r="E317" s="7" t="s">
        <v>93</v>
      </c>
    </row>
    <row r="318" spans="1:5" x14ac:dyDescent="0.3">
      <c r="A318" s="6" t="s">
        <v>202</v>
      </c>
      <c r="B318" s="6" t="s">
        <v>1564</v>
      </c>
      <c r="C318" s="6" t="s">
        <v>1776</v>
      </c>
      <c r="D318" s="7" t="s">
        <v>90</v>
      </c>
      <c r="E318" s="7" t="s">
        <v>93</v>
      </c>
    </row>
    <row r="319" spans="1:5" x14ac:dyDescent="0.3">
      <c r="A319" s="6" t="s">
        <v>202</v>
      </c>
      <c r="B319" s="6" t="s">
        <v>1564</v>
      </c>
      <c r="C319" s="6" t="s">
        <v>1781</v>
      </c>
      <c r="D319" s="7" t="s">
        <v>90</v>
      </c>
      <c r="E319" s="7" t="s">
        <v>93</v>
      </c>
    </row>
    <row r="320" spans="1:5" x14ac:dyDescent="0.3">
      <c r="A320" s="6" t="s">
        <v>202</v>
      </c>
      <c r="B320" s="6" t="s">
        <v>1564</v>
      </c>
      <c r="C320" s="6" t="s">
        <v>1787</v>
      </c>
      <c r="D320" s="7" t="s">
        <v>90</v>
      </c>
      <c r="E320" s="7" t="s">
        <v>93</v>
      </c>
    </row>
    <row r="321" spans="1:5" x14ac:dyDescent="0.3">
      <c r="A321" s="6" t="s">
        <v>202</v>
      </c>
      <c r="B321" s="6" t="s">
        <v>1564</v>
      </c>
      <c r="C321" s="6" t="s">
        <v>1791</v>
      </c>
      <c r="D321" s="7" t="s">
        <v>90</v>
      </c>
      <c r="E321" s="7" t="s">
        <v>93</v>
      </c>
    </row>
    <row r="322" spans="1:5" x14ac:dyDescent="0.3">
      <c r="A322" s="6" t="s">
        <v>202</v>
      </c>
      <c r="B322" s="6" t="s">
        <v>1564</v>
      </c>
      <c r="C322" s="6" t="s">
        <v>1796</v>
      </c>
      <c r="D322" s="7" t="s">
        <v>90</v>
      </c>
      <c r="E322" s="7" t="s">
        <v>93</v>
      </c>
    </row>
    <row r="323" spans="1:5" x14ac:dyDescent="0.3">
      <c r="A323" s="6" t="s">
        <v>202</v>
      </c>
      <c r="B323" s="6" t="s">
        <v>1564</v>
      </c>
      <c r="C323" s="6" t="s">
        <v>1802</v>
      </c>
      <c r="D323" s="7" t="s">
        <v>90</v>
      </c>
      <c r="E323" s="7" t="s">
        <v>93</v>
      </c>
    </row>
    <row r="324" spans="1:5" x14ac:dyDescent="0.3">
      <c r="A324" s="6" t="s">
        <v>202</v>
      </c>
      <c r="B324" s="6" t="s">
        <v>1564</v>
      </c>
      <c r="C324" s="6" t="s">
        <v>1807</v>
      </c>
      <c r="D324" s="7" t="s">
        <v>90</v>
      </c>
      <c r="E324" s="7" t="s">
        <v>93</v>
      </c>
    </row>
    <row r="325" spans="1:5" x14ac:dyDescent="0.3">
      <c r="A325" s="6" t="s">
        <v>202</v>
      </c>
      <c r="B325" s="6" t="s">
        <v>1564</v>
      </c>
      <c r="C325" s="6" t="s">
        <v>1812</v>
      </c>
      <c r="D325" s="7" t="s">
        <v>90</v>
      </c>
      <c r="E325" s="7" t="s">
        <v>93</v>
      </c>
    </row>
    <row r="326" spans="1:5" x14ac:dyDescent="0.3">
      <c r="A326" s="6" t="s">
        <v>270</v>
      </c>
      <c r="B326" s="6" t="s">
        <v>1818</v>
      </c>
      <c r="C326" s="6" t="s">
        <v>1819</v>
      </c>
      <c r="D326" s="7" t="s">
        <v>90</v>
      </c>
      <c r="E326" s="7" t="s">
        <v>93</v>
      </c>
    </row>
    <row r="327" spans="1:5" x14ac:dyDescent="0.3">
      <c r="A327" s="6" t="s">
        <v>270</v>
      </c>
      <c r="B327" s="6" t="s">
        <v>1818</v>
      </c>
      <c r="C327" s="6" t="s">
        <v>1825</v>
      </c>
      <c r="D327" s="7" t="s">
        <v>90</v>
      </c>
      <c r="E327" s="7" t="s">
        <v>93</v>
      </c>
    </row>
    <row r="328" spans="1:5" x14ac:dyDescent="0.3">
      <c r="A328" s="6" t="s">
        <v>270</v>
      </c>
      <c r="B328" s="6" t="s">
        <v>1818</v>
      </c>
      <c r="C328" s="6" t="s">
        <v>1831</v>
      </c>
      <c r="D328" s="7" t="s">
        <v>90</v>
      </c>
      <c r="E328" s="7" t="s">
        <v>93</v>
      </c>
    </row>
    <row r="329" spans="1:5" x14ac:dyDescent="0.3">
      <c r="A329" s="6" t="s">
        <v>270</v>
      </c>
      <c r="B329" s="6" t="s">
        <v>1818</v>
      </c>
      <c r="C329" s="6" t="s">
        <v>1836</v>
      </c>
      <c r="D329" s="7" t="s">
        <v>90</v>
      </c>
      <c r="E329" s="7" t="s">
        <v>93</v>
      </c>
    </row>
    <row r="330" spans="1:5" x14ac:dyDescent="0.3">
      <c r="A330" s="6" t="s">
        <v>270</v>
      </c>
      <c r="B330" s="6" t="s">
        <v>1818</v>
      </c>
      <c r="C330" s="6" t="s">
        <v>1841</v>
      </c>
      <c r="D330" s="7" t="s">
        <v>90</v>
      </c>
      <c r="E330" s="7" t="s">
        <v>93</v>
      </c>
    </row>
    <row r="331" spans="1:5" x14ac:dyDescent="0.3">
      <c r="A331" s="6" t="s">
        <v>270</v>
      </c>
      <c r="B331" s="6" t="s">
        <v>1818</v>
      </c>
      <c r="C331" s="6" t="s">
        <v>1847</v>
      </c>
      <c r="D331" s="7" t="s">
        <v>90</v>
      </c>
      <c r="E331" s="7" t="s">
        <v>93</v>
      </c>
    </row>
    <row r="332" spans="1:5" x14ac:dyDescent="0.3">
      <c r="A332" s="6" t="s">
        <v>270</v>
      </c>
      <c r="B332" s="6" t="s">
        <v>1818</v>
      </c>
      <c r="C332" s="6" t="s">
        <v>1852</v>
      </c>
      <c r="D332" s="7" t="s">
        <v>90</v>
      </c>
      <c r="E332" s="7" t="s">
        <v>93</v>
      </c>
    </row>
    <row r="333" spans="1:5" x14ac:dyDescent="0.3">
      <c r="A333" s="6" t="s">
        <v>270</v>
      </c>
      <c r="B333" s="6" t="s">
        <v>1818</v>
      </c>
      <c r="C333" s="6" t="s">
        <v>1857</v>
      </c>
      <c r="D333" s="7" t="s">
        <v>90</v>
      </c>
      <c r="E333" s="7" t="s">
        <v>93</v>
      </c>
    </row>
    <row r="334" spans="1:5" x14ac:dyDescent="0.3">
      <c r="A334" s="6" t="s">
        <v>270</v>
      </c>
      <c r="B334" s="6" t="s">
        <v>1818</v>
      </c>
      <c r="C334" s="6" t="s">
        <v>1862</v>
      </c>
      <c r="D334" s="7" t="s">
        <v>90</v>
      </c>
      <c r="E334" s="7" t="s">
        <v>93</v>
      </c>
    </row>
    <row r="335" spans="1:5" x14ac:dyDescent="0.3">
      <c r="A335" s="6" t="s">
        <v>270</v>
      </c>
      <c r="B335" s="6" t="s">
        <v>1818</v>
      </c>
      <c r="C335" s="6" t="s">
        <v>1868</v>
      </c>
      <c r="D335" s="7" t="s">
        <v>90</v>
      </c>
      <c r="E335" s="7" t="s">
        <v>93</v>
      </c>
    </row>
    <row r="336" spans="1:5" x14ac:dyDescent="0.3">
      <c r="A336" s="6" t="s">
        <v>270</v>
      </c>
      <c r="B336" s="6" t="s">
        <v>1818</v>
      </c>
      <c r="C336" s="6" t="s">
        <v>1872</v>
      </c>
      <c r="D336" s="7" t="s">
        <v>90</v>
      </c>
      <c r="E336" s="7" t="s">
        <v>93</v>
      </c>
    </row>
    <row r="337" spans="1:5" x14ac:dyDescent="0.3">
      <c r="A337" s="6" t="s">
        <v>270</v>
      </c>
      <c r="B337" s="6" t="s">
        <v>1818</v>
      </c>
      <c r="C337" s="6" t="s">
        <v>1876</v>
      </c>
      <c r="D337" s="7" t="s">
        <v>90</v>
      </c>
      <c r="E337" s="7" t="s">
        <v>93</v>
      </c>
    </row>
    <row r="338" spans="1:5" x14ac:dyDescent="0.3">
      <c r="A338" s="6" t="s">
        <v>270</v>
      </c>
      <c r="B338" s="6" t="s">
        <v>1818</v>
      </c>
      <c r="C338" s="6" t="s">
        <v>1882</v>
      </c>
      <c r="D338" s="7" t="s">
        <v>90</v>
      </c>
      <c r="E338" s="7" t="s">
        <v>93</v>
      </c>
    </row>
    <row r="339" spans="1:5" x14ac:dyDescent="0.3">
      <c r="A339" s="6" t="s">
        <v>262</v>
      </c>
      <c r="B339" s="6" t="s">
        <v>1887</v>
      </c>
      <c r="C339" s="6" t="s">
        <v>1888</v>
      </c>
      <c r="D339" s="7" t="s">
        <v>90</v>
      </c>
      <c r="E339" s="7" t="s">
        <v>93</v>
      </c>
    </row>
    <row r="340" spans="1:5" x14ac:dyDescent="0.3">
      <c r="A340" s="6" t="s">
        <v>262</v>
      </c>
      <c r="B340" s="6" t="s">
        <v>1887</v>
      </c>
      <c r="C340" s="6" t="s">
        <v>1894</v>
      </c>
      <c r="D340" s="7" t="s">
        <v>90</v>
      </c>
      <c r="E340" s="7" t="s">
        <v>93</v>
      </c>
    </row>
    <row r="341" spans="1:5" x14ac:dyDescent="0.3">
      <c r="A341" s="6" t="s">
        <v>262</v>
      </c>
      <c r="B341" s="6" t="s">
        <v>1887</v>
      </c>
      <c r="C341" s="6" t="s">
        <v>1899</v>
      </c>
      <c r="D341" s="7" t="s">
        <v>90</v>
      </c>
      <c r="E341" s="7" t="s">
        <v>93</v>
      </c>
    </row>
    <row r="342" spans="1:5" x14ac:dyDescent="0.3">
      <c r="A342" s="6" t="s">
        <v>262</v>
      </c>
      <c r="B342" s="6" t="s">
        <v>1887</v>
      </c>
      <c r="C342" s="6" t="s">
        <v>1903</v>
      </c>
      <c r="D342" s="7" t="s">
        <v>90</v>
      </c>
      <c r="E342" s="7" t="s">
        <v>93</v>
      </c>
    </row>
    <row r="343" spans="1:5" x14ac:dyDescent="0.3">
      <c r="A343" s="6" t="s">
        <v>262</v>
      </c>
      <c r="B343" s="6" t="s">
        <v>1887</v>
      </c>
      <c r="C343" s="6" t="s">
        <v>1906</v>
      </c>
      <c r="D343" s="7" t="s">
        <v>90</v>
      </c>
      <c r="E343" s="7" t="s">
        <v>93</v>
      </c>
    </row>
    <row r="344" spans="1:5" x14ac:dyDescent="0.3">
      <c r="A344" s="6" t="s">
        <v>262</v>
      </c>
      <c r="B344" s="6" t="s">
        <v>1887</v>
      </c>
      <c r="C344" s="6" t="s">
        <v>1911</v>
      </c>
      <c r="D344" s="7" t="s">
        <v>90</v>
      </c>
      <c r="E344" s="7" t="s">
        <v>93</v>
      </c>
    </row>
    <row r="345" spans="1:5" x14ac:dyDescent="0.3">
      <c r="A345" s="6" t="s">
        <v>262</v>
      </c>
      <c r="B345" s="6" t="s">
        <v>1887</v>
      </c>
      <c r="C345" s="6" t="s">
        <v>1915</v>
      </c>
      <c r="D345" s="7" t="s">
        <v>90</v>
      </c>
      <c r="E345" s="7" t="s">
        <v>93</v>
      </c>
    </row>
    <row r="346" spans="1:5" x14ac:dyDescent="0.3">
      <c r="A346" s="6" t="s">
        <v>262</v>
      </c>
      <c r="B346" s="6" t="s">
        <v>1887</v>
      </c>
      <c r="C346" s="6" t="s">
        <v>1918</v>
      </c>
      <c r="D346" s="7" t="s">
        <v>90</v>
      </c>
      <c r="E346" s="7" t="s">
        <v>93</v>
      </c>
    </row>
    <row r="347" spans="1:5" x14ac:dyDescent="0.3">
      <c r="A347" s="6" t="s">
        <v>262</v>
      </c>
      <c r="B347" s="6" t="s">
        <v>1887</v>
      </c>
      <c r="C347" s="6" t="s">
        <v>1922</v>
      </c>
      <c r="D347" s="7" t="s">
        <v>90</v>
      </c>
      <c r="E347" s="7" t="s">
        <v>93</v>
      </c>
    </row>
    <row r="348" spans="1:5" x14ac:dyDescent="0.3">
      <c r="A348" s="6" t="s">
        <v>262</v>
      </c>
      <c r="B348" s="6" t="s">
        <v>1887</v>
      </c>
      <c r="C348" s="6" t="s">
        <v>1926</v>
      </c>
      <c r="D348" s="7" t="s">
        <v>90</v>
      </c>
      <c r="E348" s="7" t="s">
        <v>93</v>
      </c>
    </row>
    <row r="349" spans="1:5" x14ac:dyDescent="0.3">
      <c r="A349" s="6" t="s">
        <v>262</v>
      </c>
      <c r="B349" s="6" t="s">
        <v>1887</v>
      </c>
      <c r="C349" s="6" t="s">
        <v>1931</v>
      </c>
      <c r="D349" s="7" t="s">
        <v>90</v>
      </c>
      <c r="E349" s="7" t="s">
        <v>93</v>
      </c>
    </row>
    <row r="350" spans="1:5" x14ac:dyDescent="0.3">
      <c r="A350" s="6" t="s">
        <v>262</v>
      </c>
      <c r="B350" s="6" t="s">
        <v>1887</v>
      </c>
      <c r="C350" s="6" t="s">
        <v>1937</v>
      </c>
      <c r="D350" s="7" t="s">
        <v>90</v>
      </c>
      <c r="E350" s="7" t="s">
        <v>93</v>
      </c>
    </row>
    <row r="351" spans="1:5" x14ac:dyDescent="0.3">
      <c r="A351" s="6" t="s">
        <v>262</v>
      </c>
      <c r="B351" s="6" t="s">
        <v>1887</v>
      </c>
      <c r="C351" s="6" t="s">
        <v>1940</v>
      </c>
      <c r="D351" s="7" t="s">
        <v>90</v>
      </c>
      <c r="E351" s="7" t="s">
        <v>93</v>
      </c>
    </row>
    <row r="352" spans="1:5" x14ac:dyDescent="0.3">
      <c r="A352" s="6" t="s">
        <v>262</v>
      </c>
      <c r="B352" s="6" t="s">
        <v>1887</v>
      </c>
      <c r="C352" s="6" t="s">
        <v>1944</v>
      </c>
      <c r="D352" s="7" t="s">
        <v>90</v>
      </c>
      <c r="E352" s="7" t="s">
        <v>93</v>
      </c>
    </row>
    <row r="353" spans="1:5" x14ac:dyDescent="0.3">
      <c r="A353" s="6" t="s">
        <v>262</v>
      </c>
      <c r="B353" s="6" t="s">
        <v>1887</v>
      </c>
      <c r="C353" s="6" t="s">
        <v>1948</v>
      </c>
      <c r="D353" s="7" t="s">
        <v>90</v>
      </c>
      <c r="E353" s="7" t="s">
        <v>93</v>
      </c>
    </row>
    <row r="354" spans="1:5" x14ac:dyDescent="0.3">
      <c r="A354" s="6" t="s">
        <v>270</v>
      </c>
      <c r="B354" s="6" t="s">
        <v>1953</v>
      </c>
      <c r="C354" s="6" t="s">
        <v>1954</v>
      </c>
      <c r="D354" s="7" t="s">
        <v>90</v>
      </c>
      <c r="E354" s="7" t="s">
        <v>93</v>
      </c>
    </row>
    <row r="355" spans="1:5" x14ac:dyDescent="0.3">
      <c r="A355" s="6" t="s">
        <v>270</v>
      </c>
      <c r="B355" s="6" t="s">
        <v>1953</v>
      </c>
      <c r="C355" s="6" t="s">
        <v>1958</v>
      </c>
      <c r="D355" s="7" t="s">
        <v>90</v>
      </c>
      <c r="E355" s="7" t="s">
        <v>93</v>
      </c>
    </row>
    <row r="356" spans="1:5" x14ac:dyDescent="0.3">
      <c r="A356" s="6" t="s">
        <v>270</v>
      </c>
      <c r="B356" s="6" t="s">
        <v>1953</v>
      </c>
      <c r="C356" s="6" t="s">
        <v>1963</v>
      </c>
      <c r="D356" s="7" t="s">
        <v>90</v>
      </c>
      <c r="E356" s="7" t="s">
        <v>93</v>
      </c>
    </row>
    <row r="357" spans="1:5" x14ac:dyDescent="0.3">
      <c r="A357" s="6" t="s">
        <v>270</v>
      </c>
      <c r="B357" s="6" t="s">
        <v>1953</v>
      </c>
      <c r="C357" s="6" t="s">
        <v>1967</v>
      </c>
      <c r="D357" s="7" t="s">
        <v>90</v>
      </c>
      <c r="E357" s="7" t="s">
        <v>93</v>
      </c>
    </row>
    <row r="358" spans="1:5" x14ac:dyDescent="0.3">
      <c r="A358" s="6" t="s">
        <v>270</v>
      </c>
      <c r="B358" s="6" t="s">
        <v>1953</v>
      </c>
      <c r="C358" s="6" t="s">
        <v>1971</v>
      </c>
      <c r="D358" s="7" t="s">
        <v>90</v>
      </c>
      <c r="E358" s="7" t="s">
        <v>93</v>
      </c>
    </row>
    <row r="359" spans="1:5" x14ac:dyDescent="0.3">
      <c r="A359" s="6" t="s">
        <v>270</v>
      </c>
      <c r="B359" s="6" t="s">
        <v>1953</v>
      </c>
      <c r="C359" s="6" t="s">
        <v>1976</v>
      </c>
      <c r="D359" s="7" t="s">
        <v>90</v>
      </c>
      <c r="E359" s="7" t="s">
        <v>93</v>
      </c>
    </row>
    <row r="360" spans="1:5" x14ac:dyDescent="0.3">
      <c r="A360" s="6" t="s">
        <v>270</v>
      </c>
      <c r="B360" s="6" t="s">
        <v>1953</v>
      </c>
      <c r="C360" s="6" t="s">
        <v>1979</v>
      </c>
      <c r="D360" s="7" t="s">
        <v>90</v>
      </c>
      <c r="E360" s="7" t="s">
        <v>93</v>
      </c>
    </row>
    <row r="361" spans="1:5" x14ac:dyDescent="0.3">
      <c r="A361" s="6" t="s">
        <v>202</v>
      </c>
      <c r="B361" s="6" t="s">
        <v>1983</v>
      </c>
      <c r="C361" s="6" t="s">
        <v>1984</v>
      </c>
      <c r="D361" s="7" t="s">
        <v>90</v>
      </c>
      <c r="E361" s="7" t="s">
        <v>93</v>
      </c>
    </row>
    <row r="362" spans="1:5" x14ac:dyDescent="0.3">
      <c r="A362" s="6" t="s">
        <v>202</v>
      </c>
      <c r="B362" s="6" t="s">
        <v>1983</v>
      </c>
      <c r="C362" s="6" t="s">
        <v>1989</v>
      </c>
      <c r="D362" s="7" t="s">
        <v>90</v>
      </c>
      <c r="E362" s="7" t="s">
        <v>93</v>
      </c>
    </row>
    <row r="363" spans="1:5" x14ac:dyDescent="0.3">
      <c r="A363" s="6" t="s">
        <v>202</v>
      </c>
      <c r="B363" s="6" t="s">
        <v>1983</v>
      </c>
      <c r="C363" s="6" t="s">
        <v>1995</v>
      </c>
      <c r="D363" s="7" t="s">
        <v>90</v>
      </c>
      <c r="E363" s="7" t="s">
        <v>93</v>
      </c>
    </row>
    <row r="364" spans="1:5" x14ac:dyDescent="0.3">
      <c r="A364" s="6" t="s">
        <v>202</v>
      </c>
      <c r="B364" s="6" t="s">
        <v>1983</v>
      </c>
      <c r="C364" s="6" t="s">
        <v>1999</v>
      </c>
      <c r="D364" s="7" t="s">
        <v>90</v>
      </c>
      <c r="E364" s="7" t="s">
        <v>93</v>
      </c>
    </row>
    <row r="365" spans="1:5" x14ac:dyDescent="0.3">
      <c r="A365" s="6" t="s">
        <v>202</v>
      </c>
      <c r="B365" s="6" t="s">
        <v>1983</v>
      </c>
      <c r="C365" s="6" t="s">
        <v>2003</v>
      </c>
      <c r="D365" s="7" t="s">
        <v>90</v>
      </c>
      <c r="E365" s="7" t="s">
        <v>93</v>
      </c>
    </row>
    <row r="366" spans="1:5" x14ac:dyDescent="0.3">
      <c r="A366" s="6" t="s">
        <v>202</v>
      </c>
      <c r="B366" s="6" t="s">
        <v>1983</v>
      </c>
      <c r="C366" s="6" t="s">
        <v>2007</v>
      </c>
      <c r="D366" s="7" t="s">
        <v>90</v>
      </c>
      <c r="E366" s="7" t="s">
        <v>93</v>
      </c>
    </row>
    <row r="367" spans="1:5" x14ac:dyDescent="0.3">
      <c r="A367" s="6" t="s">
        <v>202</v>
      </c>
      <c r="B367" s="6" t="s">
        <v>1983</v>
      </c>
      <c r="C367" s="6" t="s">
        <v>2011</v>
      </c>
      <c r="D367" s="7" t="s">
        <v>90</v>
      </c>
      <c r="E367" s="7" t="s">
        <v>93</v>
      </c>
    </row>
    <row r="368" spans="1:5" x14ac:dyDescent="0.3">
      <c r="A368" s="6" t="s">
        <v>202</v>
      </c>
      <c r="B368" s="6" t="s">
        <v>1983</v>
      </c>
      <c r="C368" s="6" t="s">
        <v>2016</v>
      </c>
      <c r="D368" s="7" t="s">
        <v>90</v>
      </c>
      <c r="E368" s="7" t="s">
        <v>93</v>
      </c>
    </row>
    <row r="369" spans="1:5" x14ac:dyDescent="0.3">
      <c r="A369" s="6" t="s">
        <v>202</v>
      </c>
      <c r="B369" s="6" t="s">
        <v>1983</v>
      </c>
      <c r="C369" s="6" t="s">
        <v>2021</v>
      </c>
      <c r="D369" s="7" t="s">
        <v>90</v>
      </c>
      <c r="E369" s="7" t="s">
        <v>93</v>
      </c>
    </row>
    <row r="370" spans="1:5" x14ac:dyDescent="0.3">
      <c r="A370" s="6" t="s">
        <v>202</v>
      </c>
      <c r="B370" s="6" t="s">
        <v>1983</v>
      </c>
      <c r="C370" s="6" t="s">
        <v>2026</v>
      </c>
      <c r="D370" s="7" t="s">
        <v>90</v>
      </c>
      <c r="E370" s="7" t="s">
        <v>93</v>
      </c>
    </row>
    <row r="371" spans="1:5" x14ac:dyDescent="0.3">
      <c r="A371" s="6" t="s">
        <v>202</v>
      </c>
      <c r="B371" s="6" t="s">
        <v>1983</v>
      </c>
      <c r="C371" s="6" t="s">
        <v>2030</v>
      </c>
      <c r="D371" s="7" t="s">
        <v>90</v>
      </c>
      <c r="E371" s="7" t="s">
        <v>93</v>
      </c>
    </row>
    <row r="372" spans="1:5" x14ac:dyDescent="0.3">
      <c r="A372" s="6" t="s">
        <v>202</v>
      </c>
      <c r="B372" s="6" t="s">
        <v>1983</v>
      </c>
      <c r="C372" s="6" t="s">
        <v>2034</v>
      </c>
      <c r="D372" s="7" t="s">
        <v>90</v>
      </c>
      <c r="E372" s="7" t="s">
        <v>93</v>
      </c>
    </row>
    <row r="373" spans="1:5" x14ac:dyDescent="0.3">
      <c r="A373" s="6" t="s">
        <v>202</v>
      </c>
      <c r="B373" s="6" t="s">
        <v>1983</v>
      </c>
      <c r="C373" s="6" t="s">
        <v>2040</v>
      </c>
      <c r="D373" s="7" t="s">
        <v>90</v>
      </c>
      <c r="E373" s="7" t="s">
        <v>93</v>
      </c>
    </row>
    <row r="374" spans="1:5" x14ac:dyDescent="0.3">
      <c r="A374" s="6" t="s">
        <v>262</v>
      </c>
      <c r="B374" s="6" t="s">
        <v>2046</v>
      </c>
      <c r="C374" s="6" t="s">
        <v>2047</v>
      </c>
      <c r="D374" s="7" t="s">
        <v>90</v>
      </c>
      <c r="E374" s="7" t="s">
        <v>93</v>
      </c>
    </row>
    <row r="375" spans="1:5" x14ac:dyDescent="0.3">
      <c r="A375" s="6" t="s">
        <v>262</v>
      </c>
      <c r="B375" s="6" t="s">
        <v>2046</v>
      </c>
      <c r="C375" s="6" t="s">
        <v>2052</v>
      </c>
      <c r="D375" s="7" t="s">
        <v>90</v>
      </c>
      <c r="E375" s="7" t="s">
        <v>93</v>
      </c>
    </row>
    <row r="376" spans="1:5" x14ac:dyDescent="0.3">
      <c r="A376" s="6" t="s">
        <v>262</v>
      </c>
      <c r="B376" s="6" t="s">
        <v>2046</v>
      </c>
      <c r="C376" s="6" t="s">
        <v>2056</v>
      </c>
      <c r="D376" s="7" t="s">
        <v>90</v>
      </c>
      <c r="E376" s="7" t="s">
        <v>93</v>
      </c>
    </row>
    <row r="377" spans="1:5" x14ac:dyDescent="0.3">
      <c r="A377" s="6" t="s">
        <v>262</v>
      </c>
      <c r="B377" s="6" t="s">
        <v>2046</v>
      </c>
      <c r="C377" s="6" t="s">
        <v>2061</v>
      </c>
      <c r="D377" s="7" t="s">
        <v>90</v>
      </c>
      <c r="E377" s="7" t="s">
        <v>93</v>
      </c>
    </row>
    <row r="378" spans="1:5" x14ac:dyDescent="0.3">
      <c r="A378" s="6" t="s">
        <v>262</v>
      </c>
      <c r="B378" s="6" t="s">
        <v>2046</v>
      </c>
      <c r="C378" s="6" t="s">
        <v>2066</v>
      </c>
      <c r="D378" s="7" t="s">
        <v>90</v>
      </c>
      <c r="E378" s="7" t="s">
        <v>93</v>
      </c>
    </row>
    <row r="379" spans="1:5" x14ac:dyDescent="0.3">
      <c r="A379" s="6" t="s">
        <v>262</v>
      </c>
      <c r="B379" s="6" t="s">
        <v>2046</v>
      </c>
      <c r="C379" s="6" t="s">
        <v>2070</v>
      </c>
      <c r="D379" s="7" t="s">
        <v>90</v>
      </c>
      <c r="E379" s="7" t="s">
        <v>93</v>
      </c>
    </row>
    <row r="380" spans="1:5" x14ac:dyDescent="0.3">
      <c r="A380" s="6" t="s">
        <v>262</v>
      </c>
      <c r="B380" s="6" t="s">
        <v>2046</v>
      </c>
      <c r="C380" s="6" t="s">
        <v>2075</v>
      </c>
      <c r="D380" s="7" t="s">
        <v>90</v>
      </c>
      <c r="E380" s="7" t="s">
        <v>93</v>
      </c>
    </row>
    <row r="381" spans="1:5" x14ac:dyDescent="0.3">
      <c r="A381" s="6" t="s">
        <v>262</v>
      </c>
      <c r="B381" s="6" t="s">
        <v>2046</v>
      </c>
      <c r="C381" s="6" t="s">
        <v>2078</v>
      </c>
      <c r="D381" s="7" t="s">
        <v>90</v>
      </c>
      <c r="E381" s="7" t="s">
        <v>93</v>
      </c>
    </row>
    <row r="382" spans="1:5" x14ac:dyDescent="0.3">
      <c r="A382" s="6" t="s">
        <v>262</v>
      </c>
      <c r="B382" s="6" t="s">
        <v>2046</v>
      </c>
      <c r="C382" s="6" t="s">
        <v>2082</v>
      </c>
      <c r="D382" s="7" t="s">
        <v>90</v>
      </c>
      <c r="E382" s="7" t="s">
        <v>93</v>
      </c>
    </row>
    <row r="383" spans="1:5" x14ac:dyDescent="0.3">
      <c r="A383" s="6" t="s">
        <v>262</v>
      </c>
      <c r="B383" s="6" t="s">
        <v>2046</v>
      </c>
      <c r="C383" s="6" t="s">
        <v>2086</v>
      </c>
      <c r="D383" s="7" t="s">
        <v>90</v>
      </c>
      <c r="E383" s="7" t="s">
        <v>93</v>
      </c>
    </row>
    <row r="384" spans="1:5" x14ac:dyDescent="0.3">
      <c r="A384" s="6" t="s">
        <v>262</v>
      </c>
      <c r="B384" s="6" t="s">
        <v>2046</v>
      </c>
      <c r="C384" s="6" t="s">
        <v>2091</v>
      </c>
      <c r="D384" s="7" t="s">
        <v>90</v>
      </c>
      <c r="E384" s="7" t="s">
        <v>93</v>
      </c>
    </row>
    <row r="385" spans="1:5" x14ac:dyDescent="0.3">
      <c r="A385" s="6" t="s">
        <v>262</v>
      </c>
      <c r="B385" s="6" t="s">
        <v>2046</v>
      </c>
      <c r="C385" s="6" t="s">
        <v>2095</v>
      </c>
      <c r="D385" s="7" t="s">
        <v>90</v>
      </c>
      <c r="E385" s="7" t="s">
        <v>93</v>
      </c>
    </row>
    <row r="386" spans="1:5" x14ac:dyDescent="0.3">
      <c r="A386" s="6" t="s">
        <v>262</v>
      </c>
      <c r="B386" s="6" t="s">
        <v>2046</v>
      </c>
      <c r="C386" s="6" t="s">
        <v>2099</v>
      </c>
      <c r="D386" s="7" t="s">
        <v>90</v>
      </c>
      <c r="E386" s="7" t="s">
        <v>93</v>
      </c>
    </row>
    <row r="387" spans="1:5" x14ac:dyDescent="0.3">
      <c r="A387" s="6" t="s">
        <v>262</v>
      </c>
      <c r="B387" s="6" t="s">
        <v>2046</v>
      </c>
      <c r="C387" s="6" t="s">
        <v>2103</v>
      </c>
      <c r="D387" s="7" t="s">
        <v>90</v>
      </c>
      <c r="E387" s="7" t="s">
        <v>93</v>
      </c>
    </row>
    <row r="388" spans="1:5" x14ac:dyDescent="0.3">
      <c r="A388" s="6" t="s">
        <v>262</v>
      </c>
      <c r="B388" s="6" t="s">
        <v>2046</v>
      </c>
      <c r="C388" s="6" t="s">
        <v>2110</v>
      </c>
      <c r="D388" s="7" t="s">
        <v>90</v>
      </c>
      <c r="E388" s="7" t="s">
        <v>93</v>
      </c>
    </row>
    <row r="389" spans="1:5" x14ac:dyDescent="0.3">
      <c r="A389" s="6" t="s">
        <v>270</v>
      </c>
      <c r="B389" s="6" t="s">
        <v>2114</v>
      </c>
      <c r="C389" s="6" t="s">
        <v>2115</v>
      </c>
      <c r="D389" s="7" t="s">
        <v>90</v>
      </c>
      <c r="E389" s="7" t="s">
        <v>93</v>
      </c>
    </row>
    <row r="390" spans="1:5" x14ac:dyDescent="0.3">
      <c r="A390" s="6" t="s">
        <v>270</v>
      </c>
      <c r="B390" s="6" t="s">
        <v>2114</v>
      </c>
      <c r="C390" s="6" t="s">
        <v>2121</v>
      </c>
      <c r="D390" s="7" t="s">
        <v>90</v>
      </c>
      <c r="E390" s="7" t="s">
        <v>93</v>
      </c>
    </row>
    <row r="391" spans="1:5" x14ac:dyDescent="0.3">
      <c r="A391" s="6" t="s">
        <v>270</v>
      </c>
      <c r="B391" s="6" t="s">
        <v>2114</v>
      </c>
      <c r="C391" s="6" t="s">
        <v>2125</v>
      </c>
      <c r="D391" s="7" t="s">
        <v>90</v>
      </c>
      <c r="E391" s="7" t="s">
        <v>93</v>
      </c>
    </row>
    <row r="392" spans="1:5" x14ac:dyDescent="0.3">
      <c r="A392" s="6" t="s">
        <v>270</v>
      </c>
      <c r="B392" s="6" t="s">
        <v>2114</v>
      </c>
      <c r="C392" s="6" t="s">
        <v>2130</v>
      </c>
      <c r="D392" s="7" t="s">
        <v>90</v>
      </c>
      <c r="E392" s="7" t="s">
        <v>93</v>
      </c>
    </row>
    <row r="393" spans="1:5" x14ac:dyDescent="0.3">
      <c r="A393" s="6" t="s">
        <v>270</v>
      </c>
      <c r="B393" s="6" t="s">
        <v>2114</v>
      </c>
      <c r="C393" s="6" t="s">
        <v>2136</v>
      </c>
      <c r="D393" s="7" t="s">
        <v>90</v>
      </c>
      <c r="E393" s="7" t="s">
        <v>93</v>
      </c>
    </row>
    <row r="394" spans="1:5" x14ac:dyDescent="0.3">
      <c r="A394" s="6" t="s">
        <v>270</v>
      </c>
      <c r="B394" s="6" t="s">
        <v>2114</v>
      </c>
      <c r="C394" s="6" t="s">
        <v>2140</v>
      </c>
      <c r="D394" s="7" t="s">
        <v>90</v>
      </c>
      <c r="E394" s="7" t="s">
        <v>93</v>
      </c>
    </row>
    <row r="395" spans="1:5" x14ac:dyDescent="0.3">
      <c r="A395" s="6" t="s">
        <v>270</v>
      </c>
      <c r="B395" s="6" t="s">
        <v>2114</v>
      </c>
      <c r="C395" s="6" t="s">
        <v>2145</v>
      </c>
      <c r="D395" s="7" t="s">
        <v>90</v>
      </c>
      <c r="E395" s="7" t="s">
        <v>93</v>
      </c>
    </row>
    <row r="396" spans="1:5" x14ac:dyDescent="0.3">
      <c r="A396" s="6" t="s">
        <v>270</v>
      </c>
      <c r="B396" s="6" t="s">
        <v>2114</v>
      </c>
      <c r="C396" s="6" t="s">
        <v>2151</v>
      </c>
      <c r="D396" s="7" t="s">
        <v>90</v>
      </c>
      <c r="E396" s="7" t="s">
        <v>93</v>
      </c>
    </row>
    <row r="397" spans="1:5" x14ac:dyDescent="0.3">
      <c r="A397" s="6" t="s">
        <v>270</v>
      </c>
      <c r="B397" s="6" t="s">
        <v>2114</v>
      </c>
      <c r="C397" s="6" t="s">
        <v>2155</v>
      </c>
      <c r="D397" s="7" t="s">
        <v>90</v>
      </c>
      <c r="E397" s="7" t="s">
        <v>93</v>
      </c>
    </row>
    <row r="398" spans="1:5" x14ac:dyDescent="0.3">
      <c r="A398" s="6" t="s">
        <v>270</v>
      </c>
      <c r="B398" s="6" t="s">
        <v>2114</v>
      </c>
      <c r="C398" s="6" t="s">
        <v>2160</v>
      </c>
      <c r="D398" s="7" t="s">
        <v>90</v>
      </c>
      <c r="E398" s="7" t="s">
        <v>93</v>
      </c>
    </row>
    <row r="399" spans="1:5" x14ac:dyDescent="0.3">
      <c r="A399" s="6" t="s">
        <v>270</v>
      </c>
      <c r="B399" s="6" t="s">
        <v>2114</v>
      </c>
      <c r="C399" s="6" t="s">
        <v>2165</v>
      </c>
      <c r="D399" s="7" t="s">
        <v>90</v>
      </c>
      <c r="E399" s="7" t="s">
        <v>93</v>
      </c>
    </row>
    <row r="400" spans="1:5" x14ac:dyDescent="0.3">
      <c r="A400" s="6" t="s">
        <v>270</v>
      </c>
      <c r="B400" s="6" t="s">
        <v>2114</v>
      </c>
      <c r="C400" s="6" t="s">
        <v>2168</v>
      </c>
      <c r="D400" s="7" t="s">
        <v>90</v>
      </c>
      <c r="E400" s="7" t="s">
        <v>93</v>
      </c>
    </row>
    <row r="401" spans="1:5" x14ac:dyDescent="0.3">
      <c r="A401" s="6" t="s">
        <v>270</v>
      </c>
      <c r="B401" s="6" t="s">
        <v>2114</v>
      </c>
      <c r="C401" s="6" t="s">
        <v>2174</v>
      </c>
      <c r="D401" s="7" t="s">
        <v>90</v>
      </c>
      <c r="E401" s="7" t="s">
        <v>93</v>
      </c>
    </row>
    <row r="402" spans="1:5" x14ac:dyDescent="0.3">
      <c r="A402" s="6" t="s">
        <v>270</v>
      </c>
      <c r="B402" s="6" t="s">
        <v>2114</v>
      </c>
      <c r="C402" s="6" t="s">
        <v>2177</v>
      </c>
      <c r="D402" s="7" t="s">
        <v>90</v>
      </c>
      <c r="E402" s="7" t="s">
        <v>93</v>
      </c>
    </row>
    <row r="403" spans="1:5" x14ac:dyDescent="0.3">
      <c r="A403" s="6" t="s">
        <v>270</v>
      </c>
      <c r="B403" s="6" t="s">
        <v>2114</v>
      </c>
      <c r="C403" s="6" t="s">
        <v>2183</v>
      </c>
      <c r="D403" s="7" t="s">
        <v>90</v>
      </c>
      <c r="E403" s="7" t="s">
        <v>93</v>
      </c>
    </row>
    <row r="404" spans="1:5" x14ac:dyDescent="0.3">
      <c r="A404" s="6" t="s">
        <v>270</v>
      </c>
      <c r="B404" s="6" t="s">
        <v>2114</v>
      </c>
      <c r="C404" s="6" t="s">
        <v>2189</v>
      </c>
      <c r="D404" s="7" t="s">
        <v>90</v>
      </c>
      <c r="E404" s="7" t="s">
        <v>93</v>
      </c>
    </row>
    <row r="405" spans="1:5" x14ac:dyDescent="0.3">
      <c r="A405" s="6" t="s">
        <v>270</v>
      </c>
      <c r="B405" s="6" t="s">
        <v>2114</v>
      </c>
      <c r="C405" s="6" t="s">
        <v>2195</v>
      </c>
      <c r="D405" s="7" t="s">
        <v>90</v>
      </c>
      <c r="E405" s="7" t="s">
        <v>93</v>
      </c>
    </row>
    <row r="406" spans="1:5" x14ac:dyDescent="0.3">
      <c r="A406" s="6" t="s">
        <v>270</v>
      </c>
      <c r="B406" s="6" t="s">
        <v>2114</v>
      </c>
      <c r="C406" s="6" t="s">
        <v>2200</v>
      </c>
      <c r="D406" s="7" t="s">
        <v>90</v>
      </c>
      <c r="E406" s="7" t="s">
        <v>93</v>
      </c>
    </row>
    <row r="407" spans="1:5" x14ac:dyDescent="0.3">
      <c r="A407" s="6" t="s">
        <v>270</v>
      </c>
      <c r="B407" s="6" t="s">
        <v>2114</v>
      </c>
      <c r="C407" s="6" t="s">
        <v>2205</v>
      </c>
      <c r="D407" s="7" t="s">
        <v>90</v>
      </c>
      <c r="E407" s="7" t="s">
        <v>93</v>
      </c>
    </row>
    <row r="408" spans="1:5" x14ac:dyDescent="0.3">
      <c r="A408" s="6" t="s">
        <v>270</v>
      </c>
      <c r="B408" s="6" t="s">
        <v>2114</v>
      </c>
      <c r="C408" s="6" t="s">
        <v>2210</v>
      </c>
      <c r="D408" s="7" t="s">
        <v>90</v>
      </c>
      <c r="E408" s="7" t="s">
        <v>93</v>
      </c>
    </row>
    <row r="409" spans="1:5" x14ac:dyDescent="0.3">
      <c r="A409" s="6" t="s">
        <v>270</v>
      </c>
      <c r="B409" s="6" t="s">
        <v>2114</v>
      </c>
      <c r="C409" s="6" t="s">
        <v>2215</v>
      </c>
      <c r="D409" s="7" t="s">
        <v>90</v>
      </c>
      <c r="E409" s="7" t="s">
        <v>93</v>
      </c>
    </row>
    <row r="410" spans="1:5" x14ac:dyDescent="0.3">
      <c r="A410" s="6" t="s">
        <v>270</v>
      </c>
      <c r="B410" s="6" t="s">
        <v>2114</v>
      </c>
      <c r="C410" s="6" t="s">
        <v>2219</v>
      </c>
      <c r="D410" s="7" t="s">
        <v>90</v>
      </c>
      <c r="E410" s="7" t="s">
        <v>93</v>
      </c>
    </row>
    <row r="411" spans="1:5" x14ac:dyDescent="0.3">
      <c r="A411" s="6" t="s">
        <v>270</v>
      </c>
      <c r="B411" s="6" t="s">
        <v>2114</v>
      </c>
      <c r="C411" s="6" t="s">
        <v>2223</v>
      </c>
      <c r="D411" s="7" t="s">
        <v>90</v>
      </c>
      <c r="E411" s="7" t="s">
        <v>93</v>
      </c>
    </row>
    <row r="412" spans="1:5" x14ac:dyDescent="0.3">
      <c r="A412" s="6" t="s">
        <v>270</v>
      </c>
      <c r="B412" s="6" t="s">
        <v>2114</v>
      </c>
      <c r="C412" s="6" t="s">
        <v>2229</v>
      </c>
      <c r="D412" s="7" t="s">
        <v>90</v>
      </c>
      <c r="E412" s="7" t="s">
        <v>93</v>
      </c>
    </row>
    <row r="413" spans="1:5" x14ac:dyDescent="0.3">
      <c r="A413" s="6" t="s">
        <v>270</v>
      </c>
      <c r="B413" s="6" t="s">
        <v>2114</v>
      </c>
      <c r="C413" s="6" t="s">
        <v>2234</v>
      </c>
      <c r="D413" s="7" t="s">
        <v>90</v>
      </c>
      <c r="E413" s="7" t="s">
        <v>93</v>
      </c>
    </row>
    <row r="414" spans="1:5" x14ac:dyDescent="0.3">
      <c r="A414" s="6" t="s">
        <v>270</v>
      </c>
      <c r="B414" s="6" t="s">
        <v>2114</v>
      </c>
      <c r="C414" s="6" t="s">
        <v>2239</v>
      </c>
      <c r="D414" s="7" t="s">
        <v>90</v>
      </c>
      <c r="E414" s="7" t="s">
        <v>93</v>
      </c>
    </row>
    <row r="415" spans="1:5" x14ac:dyDescent="0.3">
      <c r="A415" s="6" t="s">
        <v>270</v>
      </c>
      <c r="B415" s="6" t="s">
        <v>2114</v>
      </c>
      <c r="C415" s="6" t="s">
        <v>2246</v>
      </c>
      <c r="D415" s="7" t="s">
        <v>90</v>
      </c>
      <c r="E415" s="7" t="s">
        <v>93</v>
      </c>
    </row>
    <row r="416" spans="1:5" x14ac:dyDescent="0.3">
      <c r="A416" s="6" t="s">
        <v>270</v>
      </c>
      <c r="B416" s="6" t="s">
        <v>2114</v>
      </c>
      <c r="C416" s="6" t="s">
        <v>2251</v>
      </c>
      <c r="D416" s="7" t="s">
        <v>90</v>
      </c>
      <c r="E416" s="7" t="s">
        <v>93</v>
      </c>
    </row>
    <row r="417" spans="1:5" x14ac:dyDescent="0.3">
      <c r="A417" s="6" t="s">
        <v>270</v>
      </c>
      <c r="B417" s="6" t="s">
        <v>2114</v>
      </c>
      <c r="C417" s="6" t="s">
        <v>2255</v>
      </c>
      <c r="D417" s="7" t="s">
        <v>90</v>
      </c>
      <c r="E417" s="7" t="s">
        <v>93</v>
      </c>
    </row>
    <row r="418" spans="1:5" x14ac:dyDescent="0.3">
      <c r="A418" s="6" t="s">
        <v>270</v>
      </c>
      <c r="B418" s="6" t="s">
        <v>2114</v>
      </c>
      <c r="C418" s="6" t="s">
        <v>2261</v>
      </c>
      <c r="D418" s="7" t="s">
        <v>90</v>
      </c>
      <c r="E418" s="7" t="s">
        <v>93</v>
      </c>
    </row>
    <row r="419" spans="1:5" x14ac:dyDescent="0.3">
      <c r="A419" s="6" t="s">
        <v>270</v>
      </c>
      <c r="B419" s="6" t="s">
        <v>2114</v>
      </c>
      <c r="C419" s="6" t="s">
        <v>2263</v>
      </c>
      <c r="D419" s="7" t="s">
        <v>90</v>
      </c>
      <c r="E419" s="7" t="s">
        <v>93</v>
      </c>
    </row>
    <row r="420" spans="1:5" x14ac:dyDescent="0.3">
      <c r="A420" s="6" t="s">
        <v>270</v>
      </c>
      <c r="B420" s="6" t="s">
        <v>2114</v>
      </c>
      <c r="C420" s="6" t="s">
        <v>2268</v>
      </c>
      <c r="D420" s="7" t="s">
        <v>90</v>
      </c>
      <c r="E420" s="7" t="s">
        <v>93</v>
      </c>
    </row>
    <row r="421" spans="1:5" x14ac:dyDescent="0.3">
      <c r="A421" s="6" t="s">
        <v>270</v>
      </c>
      <c r="B421" s="6" t="s">
        <v>2114</v>
      </c>
      <c r="C421" s="6" t="s">
        <v>2274</v>
      </c>
      <c r="D421" s="7" t="s">
        <v>90</v>
      </c>
      <c r="E421" s="7" t="s">
        <v>93</v>
      </c>
    </row>
    <row r="422" spans="1:5" x14ac:dyDescent="0.3">
      <c r="A422" s="6" t="s">
        <v>270</v>
      </c>
      <c r="B422" s="6" t="s">
        <v>2114</v>
      </c>
      <c r="C422" s="6" t="s">
        <v>2279</v>
      </c>
      <c r="D422" s="7" t="s">
        <v>90</v>
      </c>
      <c r="E422" s="7" t="s">
        <v>93</v>
      </c>
    </row>
    <row r="423" spans="1:5" x14ac:dyDescent="0.3">
      <c r="A423" s="6" t="s">
        <v>270</v>
      </c>
      <c r="B423" s="6" t="s">
        <v>2114</v>
      </c>
      <c r="C423" s="6" t="s">
        <v>2283</v>
      </c>
      <c r="D423" s="7" t="s">
        <v>90</v>
      </c>
      <c r="E423" s="7" t="s">
        <v>93</v>
      </c>
    </row>
    <row r="424" spans="1:5" x14ac:dyDescent="0.3">
      <c r="A424" s="6" t="s">
        <v>270</v>
      </c>
      <c r="B424" s="6" t="s">
        <v>2114</v>
      </c>
      <c r="C424" s="6" t="s">
        <v>2287</v>
      </c>
      <c r="D424" s="7" t="s">
        <v>90</v>
      </c>
      <c r="E424" s="7" t="s">
        <v>93</v>
      </c>
    </row>
    <row r="425" spans="1:5" x14ac:dyDescent="0.3">
      <c r="A425" s="6" t="s">
        <v>270</v>
      </c>
      <c r="B425" s="6" t="s">
        <v>2114</v>
      </c>
      <c r="C425" s="6" t="s">
        <v>2291</v>
      </c>
      <c r="D425" s="7" t="s">
        <v>90</v>
      </c>
      <c r="E425" s="7" t="s">
        <v>93</v>
      </c>
    </row>
    <row r="426" spans="1:5" x14ac:dyDescent="0.3">
      <c r="A426" s="6" t="s">
        <v>292</v>
      </c>
      <c r="B426" s="6" t="s">
        <v>2295</v>
      </c>
      <c r="C426" s="6" t="s">
        <v>2296</v>
      </c>
      <c r="D426" s="7" t="s">
        <v>90</v>
      </c>
      <c r="E426" s="7" t="s">
        <v>93</v>
      </c>
    </row>
    <row r="427" spans="1:5" x14ac:dyDescent="0.3">
      <c r="A427" s="6" t="s">
        <v>292</v>
      </c>
      <c r="B427" s="6" t="s">
        <v>2295</v>
      </c>
      <c r="C427" s="6" t="s">
        <v>2302</v>
      </c>
      <c r="D427" s="7" t="s">
        <v>90</v>
      </c>
      <c r="E427" s="7" t="s">
        <v>93</v>
      </c>
    </row>
    <row r="428" spans="1:5" x14ac:dyDescent="0.3">
      <c r="A428" s="6" t="s">
        <v>292</v>
      </c>
      <c r="B428" s="6" t="s">
        <v>2295</v>
      </c>
      <c r="C428" s="6" t="s">
        <v>2306</v>
      </c>
      <c r="D428" s="7" t="s">
        <v>90</v>
      </c>
      <c r="E428" s="7" t="s">
        <v>93</v>
      </c>
    </row>
    <row r="429" spans="1:5" x14ac:dyDescent="0.3">
      <c r="A429" s="6" t="s">
        <v>292</v>
      </c>
      <c r="B429" s="6" t="s">
        <v>2295</v>
      </c>
      <c r="C429" s="6" t="s">
        <v>2309</v>
      </c>
      <c r="D429" s="7" t="s">
        <v>90</v>
      </c>
      <c r="E429" s="7" t="s">
        <v>93</v>
      </c>
    </row>
    <row r="430" spans="1:5" x14ac:dyDescent="0.3">
      <c r="A430" s="6" t="s">
        <v>292</v>
      </c>
      <c r="B430" s="6" t="s">
        <v>2295</v>
      </c>
      <c r="C430" s="6" t="s">
        <v>2314</v>
      </c>
      <c r="D430" s="7" t="s">
        <v>90</v>
      </c>
      <c r="E430" s="7" t="s">
        <v>93</v>
      </c>
    </row>
    <row r="431" spans="1:5" x14ac:dyDescent="0.3">
      <c r="A431" s="6" t="s">
        <v>292</v>
      </c>
      <c r="B431" s="6" t="s">
        <v>2295</v>
      </c>
      <c r="C431" s="6" t="s">
        <v>2318</v>
      </c>
      <c r="D431" s="7" t="s">
        <v>90</v>
      </c>
      <c r="E431" s="7" t="s">
        <v>93</v>
      </c>
    </row>
    <row r="432" spans="1:5" x14ac:dyDescent="0.3">
      <c r="A432" s="6" t="s">
        <v>292</v>
      </c>
      <c r="B432" s="6" t="s">
        <v>2295</v>
      </c>
      <c r="C432" s="6" t="s">
        <v>2322</v>
      </c>
      <c r="D432" s="7" t="s">
        <v>90</v>
      </c>
      <c r="E432" s="7" t="s">
        <v>93</v>
      </c>
    </row>
    <row r="433" spans="1:5" x14ac:dyDescent="0.3">
      <c r="A433" s="6" t="s">
        <v>292</v>
      </c>
      <c r="B433" s="6" t="s">
        <v>2295</v>
      </c>
      <c r="C433" s="6" t="s">
        <v>2328</v>
      </c>
      <c r="D433" s="7" t="s">
        <v>90</v>
      </c>
      <c r="E433" s="7" t="s">
        <v>93</v>
      </c>
    </row>
    <row r="434" spans="1:5" x14ac:dyDescent="0.3">
      <c r="A434" s="6" t="s">
        <v>292</v>
      </c>
      <c r="B434" s="6" t="s">
        <v>2295</v>
      </c>
      <c r="C434" s="6" t="s">
        <v>2333</v>
      </c>
      <c r="D434" s="7" t="s">
        <v>90</v>
      </c>
      <c r="E434" s="7" t="s">
        <v>93</v>
      </c>
    </row>
    <row r="435" spans="1:5" x14ac:dyDescent="0.3">
      <c r="A435" s="6" t="s">
        <v>292</v>
      </c>
      <c r="B435" s="6" t="s">
        <v>2295</v>
      </c>
      <c r="C435" s="6" t="s">
        <v>2337</v>
      </c>
      <c r="D435" s="7" t="s">
        <v>90</v>
      </c>
      <c r="E435" s="7" t="s">
        <v>93</v>
      </c>
    </row>
    <row r="436" spans="1:5" x14ac:dyDescent="0.3">
      <c r="A436" s="6" t="s">
        <v>292</v>
      </c>
      <c r="B436" s="6" t="s">
        <v>2295</v>
      </c>
      <c r="C436" s="6" t="s">
        <v>2343</v>
      </c>
      <c r="D436" s="7" t="s">
        <v>90</v>
      </c>
      <c r="E436" s="7" t="s">
        <v>93</v>
      </c>
    </row>
    <row r="437" spans="1:5" x14ac:dyDescent="0.3">
      <c r="A437" s="6" t="s">
        <v>292</v>
      </c>
      <c r="B437" s="6" t="s">
        <v>2295</v>
      </c>
      <c r="C437" s="6" t="s">
        <v>2347</v>
      </c>
      <c r="D437" s="7" t="s">
        <v>90</v>
      </c>
      <c r="E437" s="7" t="s">
        <v>93</v>
      </c>
    </row>
    <row r="438" spans="1:5" x14ac:dyDescent="0.3">
      <c r="A438" s="6" t="s">
        <v>292</v>
      </c>
      <c r="B438" s="6" t="s">
        <v>2295</v>
      </c>
      <c r="C438" s="6" t="s">
        <v>2350</v>
      </c>
      <c r="D438" s="7" t="s">
        <v>90</v>
      </c>
      <c r="E438" s="7" t="s">
        <v>93</v>
      </c>
    </row>
    <row r="439" spans="1:5" x14ac:dyDescent="0.3">
      <c r="A439" s="6" t="s">
        <v>292</v>
      </c>
      <c r="B439" s="6" t="s">
        <v>2295</v>
      </c>
      <c r="C439" s="6" t="s">
        <v>2355</v>
      </c>
      <c r="D439" s="7" t="s">
        <v>90</v>
      </c>
      <c r="E439" s="7" t="s">
        <v>93</v>
      </c>
    </row>
    <row r="440" spans="1:5" x14ac:dyDescent="0.3">
      <c r="A440" s="6" t="s">
        <v>292</v>
      </c>
      <c r="B440" s="6" t="s">
        <v>2295</v>
      </c>
      <c r="C440" s="6" t="s">
        <v>2360</v>
      </c>
      <c r="D440" s="7" t="s">
        <v>90</v>
      </c>
      <c r="E440" s="7" t="s">
        <v>93</v>
      </c>
    </row>
    <row r="441" spans="1:5" x14ac:dyDescent="0.3">
      <c r="A441" s="6" t="s">
        <v>292</v>
      </c>
      <c r="B441" s="6" t="s">
        <v>2295</v>
      </c>
      <c r="C441" s="6" t="s">
        <v>2362</v>
      </c>
      <c r="D441" s="7" t="s">
        <v>90</v>
      </c>
      <c r="E441" s="7" t="s">
        <v>93</v>
      </c>
    </row>
    <row r="442" spans="1:5" x14ac:dyDescent="0.3">
      <c r="A442" s="6" t="s">
        <v>292</v>
      </c>
      <c r="B442" s="6" t="s">
        <v>2295</v>
      </c>
      <c r="C442" s="6" t="s">
        <v>2366</v>
      </c>
      <c r="D442" s="7" t="s">
        <v>90</v>
      </c>
      <c r="E442" s="7" t="s">
        <v>93</v>
      </c>
    </row>
    <row r="443" spans="1:5" x14ac:dyDescent="0.3">
      <c r="A443" s="6" t="s">
        <v>292</v>
      </c>
      <c r="B443" s="6" t="s">
        <v>2295</v>
      </c>
      <c r="C443" s="6" t="s">
        <v>2371</v>
      </c>
      <c r="D443" s="7" t="s">
        <v>90</v>
      </c>
      <c r="E443" s="7" t="s">
        <v>93</v>
      </c>
    </row>
    <row r="444" spans="1:5" x14ac:dyDescent="0.3">
      <c r="A444" s="6" t="s">
        <v>292</v>
      </c>
      <c r="B444" s="6" t="s">
        <v>2295</v>
      </c>
      <c r="C444" s="6" t="s">
        <v>2376</v>
      </c>
      <c r="D444" s="7" t="s">
        <v>90</v>
      </c>
      <c r="E444" s="7" t="s">
        <v>93</v>
      </c>
    </row>
    <row r="445" spans="1:5" x14ac:dyDescent="0.3">
      <c r="A445" s="6" t="s">
        <v>292</v>
      </c>
      <c r="B445" s="6" t="s">
        <v>2295</v>
      </c>
      <c r="C445" s="6" t="s">
        <v>2378</v>
      </c>
      <c r="D445" s="7" t="s">
        <v>90</v>
      </c>
      <c r="E445" s="7" t="s">
        <v>93</v>
      </c>
    </row>
    <row r="446" spans="1:5" x14ac:dyDescent="0.3">
      <c r="A446" s="6" t="s">
        <v>292</v>
      </c>
      <c r="B446" s="6" t="s">
        <v>2295</v>
      </c>
      <c r="C446" s="6" t="s">
        <v>2382</v>
      </c>
      <c r="D446" s="7" t="s">
        <v>90</v>
      </c>
      <c r="E446" s="7" t="s">
        <v>93</v>
      </c>
    </row>
    <row r="447" spans="1:5" x14ac:dyDescent="0.3">
      <c r="A447" s="6" t="s">
        <v>292</v>
      </c>
      <c r="B447" s="6" t="s">
        <v>2295</v>
      </c>
      <c r="C447" s="6" t="s">
        <v>2387</v>
      </c>
      <c r="D447" s="7" t="s">
        <v>90</v>
      </c>
      <c r="E447" s="7" t="s">
        <v>93</v>
      </c>
    </row>
    <row r="448" spans="1:5" x14ac:dyDescent="0.3">
      <c r="A448" s="6" t="s">
        <v>292</v>
      </c>
      <c r="B448" s="6" t="s">
        <v>2295</v>
      </c>
      <c r="C448" s="6" t="s">
        <v>2392</v>
      </c>
      <c r="D448" s="7" t="s">
        <v>90</v>
      </c>
      <c r="E448" s="7" t="s">
        <v>93</v>
      </c>
    </row>
    <row r="449" spans="1:5" x14ac:dyDescent="0.3">
      <c r="A449" s="6" t="s">
        <v>292</v>
      </c>
      <c r="B449" s="6" t="s">
        <v>2394</v>
      </c>
      <c r="C449" s="6" t="s">
        <v>2395</v>
      </c>
      <c r="D449" s="7" t="s">
        <v>90</v>
      </c>
      <c r="E449" s="7" t="s">
        <v>93</v>
      </c>
    </row>
    <row r="450" spans="1:5" x14ac:dyDescent="0.3">
      <c r="A450" s="6" t="s">
        <v>292</v>
      </c>
      <c r="B450" s="6" t="s">
        <v>2394</v>
      </c>
      <c r="C450" s="6" t="s">
        <v>2401</v>
      </c>
      <c r="D450" s="7" t="s">
        <v>90</v>
      </c>
      <c r="E450" s="7" t="s">
        <v>93</v>
      </c>
    </row>
    <row r="451" spans="1:5" x14ac:dyDescent="0.3">
      <c r="A451" s="6" t="s">
        <v>292</v>
      </c>
      <c r="B451" s="6" t="s">
        <v>2394</v>
      </c>
      <c r="C451" s="6" t="s">
        <v>2407</v>
      </c>
      <c r="D451" s="7" t="s">
        <v>90</v>
      </c>
      <c r="E451" s="7" t="s">
        <v>93</v>
      </c>
    </row>
    <row r="452" spans="1:5" x14ac:dyDescent="0.3">
      <c r="A452" s="6" t="s">
        <v>292</v>
      </c>
      <c r="B452" s="6" t="s">
        <v>2394</v>
      </c>
      <c r="C452" s="6" t="s">
        <v>2411</v>
      </c>
      <c r="D452" s="7" t="s">
        <v>90</v>
      </c>
      <c r="E452" s="7" t="s">
        <v>93</v>
      </c>
    </row>
    <row r="453" spans="1:5" x14ac:dyDescent="0.3">
      <c r="A453" s="6" t="s">
        <v>292</v>
      </c>
      <c r="B453" s="6" t="s">
        <v>2394</v>
      </c>
      <c r="C453" s="6" t="s">
        <v>2416</v>
      </c>
      <c r="D453" s="7" t="s">
        <v>90</v>
      </c>
      <c r="E453" s="7" t="s">
        <v>93</v>
      </c>
    </row>
    <row r="454" spans="1:5" x14ac:dyDescent="0.3">
      <c r="A454" s="6" t="s">
        <v>292</v>
      </c>
      <c r="B454" s="6" t="s">
        <v>2394</v>
      </c>
      <c r="C454" s="6" t="s">
        <v>2419</v>
      </c>
      <c r="D454" s="7" t="s">
        <v>90</v>
      </c>
      <c r="E454" s="7" t="s">
        <v>93</v>
      </c>
    </row>
    <row r="455" spans="1:5" x14ac:dyDescent="0.3">
      <c r="A455" s="6" t="s">
        <v>292</v>
      </c>
      <c r="B455" s="6" t="s">
        <v>2394</v>
      </c>
      <c r="C455" s="6" t="s">
        <v>2422</v>
      </c>
      <c r="D455" s="7" t="s">
        <v>90</v>
      </c>
      <c r="E455" s="7" t="s">
        <v>93</v>
      </c>
    </row>
    <row r="456" spans="1:5" x14ac:dyDescent="0.3">
      <c r="A456" s="6" t="s">
        <v>292</v>
      </c>
      <c r="B456" s="6" t="s">
        <v>2394</v>
      </c>
      <c r="C456" s="6" t="s">
        <v>2426</v>
      </c>
      <c r="D456" s="7" t="s">
        <v>90</v>
      </c>
      <c r="E456" s="7" t="s">
        <v>93</v>
      </c>
    </row>
    <row r="457" spans="1:5" x14ac:dyDescent="0.3">
      <c r="A457" s="6" t="s">
        <v>292</v>
      </c>
      <c r="B457" s="6" t="s">
        <v>2394</v>
      </c>
      <c r="C457" s="6" t="s">
        <v>2430</v>
      </c>
      <c r="D457" s="7" t="s">
        <v>90</v>
      </c>
      <c r="E457" s="7" t="s">
        <v>93</v>
      </c>
    </row>
    <row r="458" spans="1:5" x14ac:dyDescent="0.3">
      <c r="A458" s="6" t="s">
        <v>292</v>
      </c>
      <c r="B458" s="6" t="s">
        <v>2394</v>
      </c>
      <c r="C458" s="6" t="s">
        <v>2433</v>
      </c>
      <c r="D458" s="7" t="s">
        <v>90</v>
      </c>
      <c r="E458" s="7" t="s">
        <v>93</v>
      </c>
    </row>
    <row r="459" spans="1:5" x14ac:dyDescent="0.3">
      <c r="A459" s="6" t="s">
        <v>292</v>
      </c>
      <c r="B459" s="6" t="s">
        <v>2394</v>
      </c>
      <c r="C459" s="6" t="s">
        <v>2439</v>
      </c>
      <c r="D459" s="7" t="s">
        <v>90</v>
      </c>
      <c r="E459" s="7" t="s">
        <v>93</v>
      </c>
    </row>
    <row r="460" spans="1:5" x14ac:dyDescent="0.3">
      <c r="A460" s="6" t="s">
        <v>292</v>
      </c>
      <c r="B460" s="6" t="s">
        <v>2394</v>
      </c>
      <c r="C460" s="6" t="s">
        <v>2444</v>
      </c>
      <c r="D460" s="7" t="s">
        <v>90</v>
      </c>
      <c r="E460" s="7" t="s">
        <v>93</v>
      </c>
    </row>
    <row r="461" spans="1:5" x14ac:dyDescent="0.3">
      <c r="A461" s="6" t="s">
        <v>292</v>
      </c>
      <c r="B461" s="6" t="s">
        <v>2394</v>
      </c>
      <c r="C461" s="6" t="s">
        <v>2448</v>
      </c>
      <c r="D461" s="7" t="s">
        <v>90</v>
      </c>
      <c r="E461" s="7" t="s">
        <v>93</v>
      </c>
    </row>
    <row r="462" spans="1:5" x14ac:dyDescent="0.3">
      <c r="A462" s="6" t="s">
        <v>292</v>
      </c>
      <c r="B462" s="6" t="s">
        <v>2394</v>
      </c>
      <c r="C462" s="6" t="s">
        <v>2452</v>
      </c>
      <c r="D462" s="7" t="s">
        <v>90</v>
      </c>
      <c r="E462" s="7" t="s">
        <v>93</v>
      </c>
    </row>
    <row r="463" spans="1:5" x14ac:dyDescent="0.3">
      <c r="A463" s="6" t="s">
        <v>292</v>
      </c>
      <c r="B463" s="6" t="s">
        <v>2394</v>
      </c>
      <c r="C463" s="6" t="s">
        <v>2457</v>
      </c>
      <c r="D463" s="7" t="s">
        <v>90</v>
      </c>
      <c r="E463" s="7" t="s">
        <v>93</v>
      </c>
    </row>
    <row r="464" spans="1:5" x14ac:dyDescent="0.3">
      <c r="A464" s="6" t="s">
        <v>292</v>
      </c>
      <c r="B464" s="6" t="s">
        <v>2461</v>
      </c>
      <c r="C464" s="6" t="s">
        <v>2462</v>
      </c>
      <c r="D464" s="7" t="s">
        <v>90</v>
      </c>
      <c r="E464" s="7" t="s">
        <v>93</v>
      </c>
    </row>
    <row r="465" spans="1:5" x14ac:dyDescent="0.3">
      <c r="A465" s="6" t="s">
        <v>292</v>
      </c>
      <c r="B465" s="6" t="s">
        <v>2461</v>
      </c>
      <c r="C465" s="6" t="s">
        <v>2467</v>
      </c>
      <c r="D465" s="7" t="s">
        <v>90</v>
      </c>
      <c r="E465" s="7" t="s">
        <v>93</v>
      </c>
    </row>
    <row r="466" spans="1:5" x14ac:dyDescent="0.3">
      <c r="A466" s="6" t="s">
        <v>292</v>
      </c>
      <c r="B466" s="6" t="s">
        <v>2461</v>
      </c>
      <c r="C466" s="6" t="s">
        <v>2472</v>
      </c>
      <c r="D466" s="7" t="s">
        <v>90</v>
      </c>
      <c r="E466" s="7" t="s">
        <v>93</v>
      </c>
    </row>
    <row r="467" spans="1:5" x14ac:dyDescent="0.3">
      <c r="A467" s="6" t="s">
        <v>292</v>
      </c>
      <c r="B467" s="6" t="s">
        <v>2461</v>
      </c>
      <c r="C467" s="6" t="s">
        <v>2476</v>
      </c>
      <c r="D467" s="7" t="s">
        <v>90</v>
      </c>
      <c r="E467" s="7" t="s">
        <v>93</v>
      </c>
    </row>
    <row r="468" spans="1:5" x14ac:dyDescent="0.3">
      <c r="A468" s="6" t="s">
        <v>270</v>
      </c>
      <c r="B468" s="6" t="s">
        <v>2480</v>
      </c>
      <c r="C468" s="6" t="s">
        <v>2481</v>
      </c>
      <c r="D468" s="7" t="s">
        <v>90</v>
      </c>
      <c r="E468" s="7" t="s">
        <v>93</v>
      </c>
    </row>
    <row r="469" spans="1:5" x14ac:dyDescent="0.3">
      <c r="A469" s="6" t="s">
        <v>270</v>
      </c>
      <c r="B469" s="6" t="s">
        <v>2480</v>
      </c>
      <c r="C469" s="6" t="s">
        <v>2488</v>
      </c>
      <c r="D469" s="7" t="s">
        <v>90</v>
      </c>
      <c r="E469" s="7" t="s">
        <v>93</v>
      </c>
    </row>
    <row r="470" spans="1:5" x14ac:dyDescent="0.3">
      <c r="A470" s="6" t="s">
        <v>270</v>
      </c>
      <c r="B470" s="6" t="s">
        <v>2480</v>
      </c>
      <c r="C470" s="6" t="s">
        <v>2493</v>
      </c>
      <c r="D470" s="7" t="s">
        <v>90</v>
      </c>
      <c r="E470" s="7" t="s">
        <v>93</v>
      </c>
    </row>
    <row r="471" spans="1:5" x14ac:dyDescent="0.3">
      <c r="A471" s="6" t="s">
        <v>270</v>
      </c>
      <c r="B471" s="6" t="s">
        <v>2480</v>
      </c>
      <c r="C471" s="6" t="s">
        <v>2496</v>
      </c>
      <c r="D471" s="7" t="s">
        <v>90</v>
      </c>
      <c r="E471" s="7" t="s">
        <v>93</v>
      </c>
    </row>
    <row r="472" spans="1:5" x14ac:dyDescent="0.3">
      <c r="A472" s="6" t="s">
        <v>262</v>
      </c>
      <c r="B472" s="6" t="s">
        <v>2500</v>
      </c>
      <c r="C472" s="6" t="s">
        <v>2501</v>
      </c>
      <c r="D472" s="7" t="s">
        <v>90</v>
      </c>
      <c r="E472" s="7" t="s">
        <v>93</v>
      </c>
    </row>
    <row r="473" spans="1:5" x14ac:dyDescent="0.3">
      <c r="A473" s="6" t="s">
        <v>262</v>
      </c>
      <c r="B473" s="6" t="s">
        <v>2500</v>
      </c>
      <c r="C473" s="6" t="s">
        <v>2506</v>
      </c>
      <c r="D473" s="7" t="s">
        <v>90</v>
      </c>
      <c r="E473" s="7" t="s">
        <v>93</v>
      </c>
    </row>
    <row r="474" spans="1:5" x14ac:dyDescent="0.3">
      <c r="A474" s="6" t="s">
        <v>262</v>
      </c>
      <c r="B474" s="6" t="s">
        <v>2500</v>
      </c>
      <c r="C474" s="6" t="s">
        <v>2508</v>
      </c>
      <c r="D474" s="7" t="s">
        <v>90</v>
      </c>
      <c r="E474" s="7" t="s">
        <v>93</v>
      </c>
    </row>
    <row r="475" spans="1:5" x14ac:dyDescent="0.3">
      <c r="A475" s="6" t="s">
        <v>262</v>
      </c>
      <c r="B475" s="6" t="s">
        <v>2500</v>
      </c>
      <c r="C475" s="6" t="s">
        <v>2514</v>
      </c>
      <c r="D475" s="7" t="s">
        <v>90</v>
      </c>
      <c r="E475" s="7" t="s">
        <v>93</v>
      </c>
    </row>
    <row r="476" spans="1:5" x14ac:dyDescent="0.3">
      <c r="A476" s="6" t="s">
        <v>262</v>
      </c>
      <c r="B476" s="6" t="s">
        <v>2500</v>
      </c>
      <c r="C476" s="6" t="s">
        <v>2519</v>
      </c>
      <c r="D476" s="7" t="s">
        <v>90</v>
      </c>
      <c r="E476" s="7" t="s">
        <v>93</v>
      </c>
    </row>
    <row r="477" spans="1:5" x14ac:dyDescent="0.3">
      <c r="A477" s="6" t="s">
        <v>262</v>
      </c>
      <c r="B477" s="6" t="s">
        <v>2500</v>
      </c>
      <c r="C477" s="6" t="s">
        <v>2523</v>
      </c>
      <c r="D477" s="7" t="s">
        <v>90</v>
      </c>
      <c r="E477" s="7" t="s">
        <v>93</v>
      </c>
    </row>
    <row r="478" spans="1:5" x14ac:dyDescent="0.3">
      <c r="A478" s="6" t="s">
        <v>262</v>
      </c>
      <c r="B478" s="6" t="s">
        <v>2500</v>
      </c>
      <c r="C478" s="6" t="s">
        <v>2527</v>
      </c>
      <c r="D478" s="7" t="s">
        <v>90</v>
      </c>
      <c r="E478" s="7" t="s">
        <v>93</v>
      </c>
    </row>
    <row r="479" spans="1:5" x14ac:dyDescent="0.3">
      <c r="A479" s="6" t="s">
        <v>262</v>
      </c>
      <c r="B479" s="6" t="s">
        <v>2500</v>
      </c>
      <c r="C479" s="6" t="s">
        <v>2531</v>
      </c>
      <c r="D479" s="7" t="s">
        <v>90</v>
      </c>
      <c r="E479" s="7" t="s">
        <v>93</v>
      </c>
    </row>
    <row r="480" spans="1:5" x14ac:dyDescent="0.3">
      <c r="A480" s="6" t="s">
        <v>262</v>
      </c>
      <c r="B480" s="6" t="s">
        <v>2500</v>
      </c>
      <c r="C480" s="6" t="s">
        <v>2536</v>
      </c>
      <c r="D480" s="7" t="s">
        <v>90</v>
      </c>
      <c r="E480" s="7" t="s">
        <v>93</v>
      </c>
    </row>
    <row r="481" spans="1:5" x14ac:dyDescent="0.3">
      <c r="A481" s="6" t="s">
        <v>262</v>
      </c>
      <c r="B481" s="6" t="s">
        <v>2500</v>
      </c>
      <c r="C481" s="6" t="s">
        <v>2540</v>
      </c>
      <c r="D481" s="7" t="s">
        <v>90</v>
      </c>
      <c r="E481" s="7" t="s">
        <v>93</v>
      </c>
    </row>
    <row r="482" spans="1:5" x14ac:dyDescent="0.3">
      <c r="A482" s="6" t="s">
        <v>262</v>
      </c>
      <c r="B482" s="6" t="s">
        <v>2500</v>
      </c>
      <c r="C482" s="6" t="s">
        <v>2545</v>
      </c>
      <c r="D482" s="7" t="s">
        <v>90</v>
      </c>
      <c r="E482" s="7" t="s">
        <v>93</v>
      </c>
    </row>
    <row r="483" spans="1:5" x14ac:dyDescent="0.3">
      <c r="A483" s="6" t="s">
        <v>262</v>
      </c>
      <c r="B483" s="6" t="s">
        <v>2500</v>
      </c>
      <c r="C483" s="6" t="s">
        <v>2550</v>
      </c>
      <c r="D483" s="7" t="s">
        <v>90</v>
      </c>
      <c r="E483" s="7" t="s">
        <v>93</v>
      </c>
    </row>
    <row r="484" spans="1:5" x14ac:dyDescent="0.3">
      <c r="A484" s="6" t="s">
        <v>262</v>
      </c>
      <c r="B484" s="6" t="s">
        <v>2554</v>
      </c>
      <c r="C484" s="6" t="s">
        <v>2555</v>
      </c>
      <c r="D484" s="7" t="s">
        <v>90</v>
      </c>
      <c r="E484" s="7" t="s">
        <v>93</v>
      </c>
    </row>
    <row r="485" spans="1:5" x14ac:dyDescent="0.3">
      <c r="A485" s="6" t="s">
        <v>262</v>
      </c>
      <c r="B485" s="6" t="s">
        <v>2554</v>
      </c>
      <c r="C485" s="6" t="s">
        <v>2562</v>
      </c>
      <c r="D485" s="7" t="s">
        <v>90</v>
      </c>
      <c r="E485" s="7" t="s">
        <v>93</v>
      </c>
    </row>
    <row r="486" spans="1:5" x14ac:dyDescent="0.3">
      <c r="A486" s="6" t="s">
        <v>262</v>
      </c>
      <c r="B486" s="6" t="s">
        <v>2554</v>
      </c>
      <c r="C486" s="6" t="s">
        <v>2566</v>
      </c>
      <c r="D486" s="7" t="s">
        <v>90</v>
      </c>
      <c r="E486" s="7" t="s">
        <v>93</v>
      </c>
    </row>
    <row r="487" spans="1:5" x14ac:dyDescent="0.3">
      <c r="A487" s="6" t="s">
        <v>262</v>
      </c>
      <c r="B487" s="6" t="s">
        <v>2554</v>
      </c>
      <c r="C487" s="6" t="s">
        <v>2570</v>
      </c>
      <c r="D487" s="7" t="s">
        <v>90</v>
      </c>
      <c r="E487" s="7" t="s">
        <v>93</v>
      </c>
    </row>
    <row r="488" spans="1:5" x14ac:dyDescent="0.3">
      <c r="A488" s="6" t="s">
        <v>262</v>
      </c>
      <c r="B488" s="6" t="s">
        <v>2554</v>
      </c>
      <c r="C488" s="6" t="s">
        <v>2576</v>
      </c>
      <c r="D488" s="7" t="s">
        <v>90</v>
      </c>
      <c r="E488" s="7" t="s">
        <v>93</v>
      </c>
    </row>
    <row r="489" spans="1:5" x14ac:dyDescent="0.3">
      <c r="A489" s="6" t="s">
        <v>262</v>
      </c>
      <c r="B489" s="6" t="s">
        <v>2554</v>
      </c>
      <c r="C489" s="6" t="s">
        <v>2580</v>
      </c>
      <c r="D489" s="7" t="s">
        <v>90</v>
      </c>
      <c r="E489" s="7" t="s">
        <v>93</v>
      </c>
    </row>
    <row r="490" spans="1:5" x14ac:dyDescent="0.3">
      <c r="A490" s="6" t="s">
        <v>262</v>
      </c>
      <c r="B490" s="6" t="s">
        <v>2554</v>
      </c>
      <c r="C490" s="6" t="s">
        <v>2584</v>
      </c>
      <c r="D490" s="7" t="s">
        <v>90</v>
      </c>
      <c r="E490" s="7" t="s">
        <v>93</v>
      </c>
    </row>
    <row r="491" spans="1:5" x14ac:dyDescent="0.3">
      <c r="A491" s="6" t="s">
        <v>262</v>
      </c>
      <c r="B491" s="6" t="s">
        <v>2554</v>
      </c>
      <c r="C491" s="6" t="s">
        <v>2589</v>
      </c>
      <c r="D491" s="7" t="s">
        <v>90</v>
      </c>
      <c r="E491" s="7" t="s">
        <v>93</v>
      </c>
    </row>
    <row r="492" spans="1:5" x14ac:dyDescent="0.3">
      <c r="A492" s="6" t="s">
        <v>262</v>
      </c>
      <c r="B492" s="6" t="s">
        <v>2554</v>
      </c>
      <c r="C492" s="6" t="s">
        <v>2594</v>
      </c>
      <c r="D492" s="7" t="s">
        <v>90</v>
      </c>
      <c r="E492" s="7" t="s">
        <v>93</v>
      </c>
    </row>
    <row r="493" spans="1:5" x14ac:dyDescent="0.3">
      <c r="A493" s="6" t="s">
        <v>262</v>
      </c>
      <c r="B493" s="6" t="s">
        <v>2554</v>
      </c>
      <c r="C493" s="6" t="s">
        <v>2600</v>
      </c>
      <c r="D493" s="7" t="s">
        <v>90</v>
      </c>
      <c r="E493" s="7" t="s">
        <v>93</v>
      </c>
    </row>
    <row r="494" spans="1:5" x14ac:dyDescent="0.3">
      <c r="A494" s="6" t="s">
        <v>262</v>
      </c>
      <c r="B494" s="6" t="s">
        <v>2554</v>
      </c>
      <c r="C494" s="6" t="s">
        <v>2606</v>
      </c>
      <c r="D494" s="7" t="s">
        <v>90</v>
      </c>
      <c r="E494" s="7" t="s">
        <v>93</v>
      </c>
    </row>
    <row r="495" spans="1:5" x14ac:dyDescent="0.3">
      <c r="A495" s="6" t="s">
        <v>202</v>
      </c>
      <c r="B495" s="6" t="s">
        <v>2610</v>
      </c>
      <c r="C495" s="6" t="s">
        <v>2611</v>
      </c>
      <c r="D495" s="7" t="s">
        <v>93</v>
      </c>
      <c r="E495" s="7" t="s">
        <v>93</v>
      </c>
    </row>
    <row r="496" spans="1:5" x14ac:dyDescent="0.3">
      <c r="A496" s="6" t="s">
        <v>202</v>
      </c>
      <c r="B496" s="6" t="s">
        <v>2610</v>
      </c>
      <c r="C496" s="6" t="s">
        <v>2617</v>
      </c>
      <c r="D496" s="7" t="s">
        <v>93</v>
      </c>
      <c r="E496" s="7" t="s">
        <v>93</v>
      </c>
    </row>
    <row r="497" spans="1:5" x14ac:dyDescent="0.3">
      <c r="A497" s="6" t="s">
        <v>202</v>
      </c>
      <c r="B497" s="6" t="s">
        <v>2610</v>
      </c>
      <c r="C497" s="6" t="s">
        <v>2622</v>
      </c>
      <c r="D497" s="7" t="s">
        <v>93</v>
      </c>
      <c r="E497" s="7" t="s">
        <v>93</v>
      </c>
    </row>
    <row r="498" spans="1:5" x14ac:dyDescent="0.3">
      <c r="A498" s="6" t="s">
        <v>202</v>
      </c>
      <c r="B498" s="6" t="s">
        <v>2610</v>
      </c>
      <c r="C498" s="6" t="s">
        <v>2627</v>
      </c>
      <c r="D498" s="7" t="s">
        <v>93</v>
      </c>
      <c r="E498" s="7" t="s">
        <v>93</v>
      </c>
    </row>
    <row r="499" spans="1:5" x14ac:dyDescent="0.3">
      <c r="A499" s="6" t="s">
        <v>202</v>
      </c>
      <c r="B499" s="6" t="s">
        <v>2610</v>
      </c>
      <c r="C499" s="6" t="s">
        <v>2632</v>
      </c>
      <c r="D499" s="7" t="s">
        <v>93</v>
      </c>
      <c r="E499" s="7" t="s">
        <v>93</v>
      </c>
    </row>
    <row r="500" spans="1:5" x14ac:dyDescent="0.3">
      <c r="A500" s="6" t="s">
        <v>202</v>
      </c>
      <c r="B500" s="6" t="s">
        <v>2610</v>
      </c>
      <c r="C500" s="6" t="s">
        <v>2636</v>
      </c>
      <c r="D500" s="7" t="s">
        <v>93</v>
      </c>
      <c r="E500" s="7" t="s">
        <v>93</v>
      </c>
    </row>
    <row r="501" spans="1:5" x14ac:dyDescent="0.3">
      <c r="A501" s="6" t="s">
        <v>202</v>
      </c>
      <c r="B501" s="6" t="s">
        <v>2610</v>
      </c>
      <c r="C501" s="6" t="s">
        <v>2640</v>
      </c>
      <c r="D501" s="7" t="s">
        <v>93</v>
      </c>
      <c r="E501" s="7" t="s">
        <v>93</v>
      </c>
    </row>
    <row r="502" spans="1:5" x14ac:dyDescent="0.3">
      <c r="A502" s="6" t="s">
        <v>202</v>
      </c>
      <c r="B502" s="6" t="s">
        <v>2610</v>
      </c>
      <c r="C502" s="6" t="s">
        <v>2646</v>
      </c>
      <c r="D502" s="7" t="s">
        <v>93</v>
      </c>
      <c r="E502" s="7" t="s">
        <v>93</v>
      </c>
    </row>
    <row r="503" spans="1:5" x14ac:dyDescent="0.3">
      <c r="A503" s="6" t="s">
        <v>202</v>
      </c>
      <c r="B503" s="6" t="s">
        <v>2610</v>
      </c>
      <c r="C503" s="6" t="s">
        <v>2650</v>
      </c>
      <c r="D503" s="7" t="s">
        <v>93</v>
      </c>
      <c r="E503" s="7" t="s">
        <v>93</v>
      </c>
    </row>
    <row r="504" spans="1:5" x14ac:dyDescent="0.3">
      <c r="A504" s="6" t="s">
        <v>202</v>
      </c>
      <c r="B504" s="6" t="s">
        <v>2610</v>
      </c>
      <c r="C504" s="6" t="s">
        <v>2654</v>
      </c>
      <c r="D504" s="7" t="s">
        <v>93</v>
      </c>
      <c r="E504" s="7" t="s">
        <v>93</v>
      </c>
    </row>
    <row r="505" spans="1:5" x14ac:dyDescent="0.3">
      <c r="A505" s="6" t="s">
        <v>202</v>
      </c>
      <c r="B505" s="6" t="s">
        <v>2610</v>
      </c>
      <c r="C505" s="6" t="s">
        <v>2659</v>
      </c>
      <c r="D505" s="7" t="s">
        <v>93</v>
      </c>
      <c r="E505" s="7" t="s">
        <v>93</v>
      </c>
    </row>
    <row r="506" spans="1:5" x14ac:dyDescent="0.3">
      <c r="A506" s="6" t="s">
        <v>202</v>
      </c>
      <c r="B506" s="6" t="s">
        <v>2610</v>
      </c>
      <c r="C506" s="6" t="s">
        <v>2664</v>
      </c>
      <c r="D506" s="7" t="s">
        <v>93</v>
      </c>
      <c r="E506" s="7" t="s">
        <v>93</v>
      </c>
    </row>
    <row r="507" spans="1:5" x14ac:dyDescent="0.3">
      <c r="A507" s="6" t="s">
        <v>202</v>
      </c>
      <c r="B507" s="6" t="s">
        <v>2610</v>
      </c>
      <c r="C507" s="6" t="s">
        <v>2668</v>
      </c>
      <c r="D507" s="7" t="s">
        <v>93</v>
      </c>
      <c r="E507" s="7" t="s">
        <v>93</v>
      </c>
    </row>
    <row r="508" spans="1:5" x14ac:dyDescent="0.3">
      <c r="A508" s="6" t="s">
        <v>202</v>
      </c>
      <c r="B508" s="6" t="s">
        <v>2610</v>
      </c>
      <c r="C508" s="6" t="s">
        <v>2672</v>
      </c>
      <c r="D508" s="7" t="s">
        <v>93</v>
      </c>
      <c r="E508" s="7" t="s">
        <v>93</v>
      </c>
    </row>
    <row r="509" spans="1:5" x14ac:dyDescent="0.3">
      <c r="A509" s="6" t="s">
        <v>202</v>
      </c>
      <c r="B509" s="6" t="s">
        <v>2610</v>
      </c>
      <c r="C509" s="6" t="s">
        <v>2676</v>
      </c>
      <c r="D509" s="7" t="s">
        <v>93</v>
      </c>
      <c r="E509" s="7" t="s">
        <v>93</v>
      </c>
    </row>
    <row r="510" spans="1:5" x14ac:dyDescent="0.3">
      <c r="A510" s="6" t="s">
        <v>202</v>
      </c>
      <c r="B510" s="6" t="s">
        <v>2610</v>
      </c>
      <c r="C510" s="6" t="s">
        <v>2681</v>
      </c>
      <c r="D510" s="7" t="s">
        <v>93</v>
      </c>
      <c r="E510" s="7" t="s">
        <v>93</v>
      </c>
    </row>
    <row r="511" spans="1:5" x14ac:dyDescent="0.3">
      <c r="A511" s="6" t="s">
        <v>202</v>
      </c>
      <c r="B511" s="6" t="s">
        <v>2610</v>
      </c>
      <c r="C511" s="6" t="s">
        <v>2685</v>
      </c>
      <c r="D511" s="7" t="s">
        <v>93</v>
      </c>
      <c r="E511" s="7" t="s">
        <v>93</v>
      </c>
    </row>
    <row r="512" spans="1:5" x14ac:dyDescent="0.3">
      <c r="A512" s="6" t="s">
        <v>202</v>
      </c>
      <c r="B512" s="6" t="s">
        <v>2610</v>
      </c>
      <c r="C512" s="6" t="s">
        <v>2690</v>
      </c>
      <c r="D512" s="7" t="s">
        <v>93</v>
      </c>
      <c r="E512" s="7" t="s">
        <v>93</v>
      </c>
    </row>
    <row r="513" spans="1:5" x14ac:dyDescent="0.3">
      <c r="A513" s="6" t="s">
        <v>202</v>
      </c>
      <c r="B513" s="6" t="s">
        <v>2610</v>
      </c>
      <c r="C513" s="6" t="s">
        <v>2695</v>
      </c>
      <c r="D513" s="7" t="s">
        <v>93</v>
      </c>
      <c r="E513" s="7" t="s">
        <v>93</v>
      </c>
    </row>
    <row r="514" spans="1:5" x14ac:dyDescent="0.3">
      <c r="A514" s="6" t="s">
        <v>202</v>
      </c>
      <c r="B514" s="6" t="s">
        <v>2610</v>
      </c>
      <c r="C514" s="6" t="s">
        <v>2699</v>
      </c>
      <c r="D514" s="7" t="s">
        <v>93</v>
      </c>
      <c r="E514" s="7" t="s">
        <v>93</v>
      </c>
    </row>
    <row r="515" spans="1:5" x14ac:dyDescent="0.3">
      <c r="A515" s="6" t="s">
        <v>262</v>
      </c>
      <c r="B515" s="6" t="s">
        <v>2705</v>
      </c>
      <c r="C515" s="6" t="s">
        <v>2706</v>
      </c>
      <c r="D515" s="7" t="s">
        <v>90</v>
      </c>
      <c r="E515" s="7" t="s">
        <v>93</v>
      </c>
    </row>
    <row r="516" spans="1:5" x14ac:dyDescent="0.3">
      <c r="A516" s="6" t="s">
        <v>262</v>
      </c>
      <c r="B516" s="6" t="s">
        <v>2705</v>
      </c>
      <c r="C516" s="6" t="s">
        <v>2712</v>
      </c>
      <c r="D516" s="7" t="s">
        <v>90</v>
      </c>
      <c r="E516" s="7" t="s">
        <v>93</v>
      </c>
    </row>
    <row r="517" spans="1:5" x14ac:dyDescent="0.3">
      <c r="A517" s="6" t="s">
        <v>262</v>
      </c>
      <c r="B517" s="6" t="s">
        <v>2705</v>
      </c>
      <c r="C517" s="6" t="s">
        <v>2716</v>
      </c>
      <c r="D517" s="7" t="s">
        <v>90</v>
      </c>
      <c r="E517" s="7" t="s">
        <v>93</v>
      </c>
    </row>
    <row r="518" spans="1:5" x14ac:dyDescent="0.3">
      <c r="A518" s="6" t="s">
        <v>262</v>
      </c>
      <c r="B518" s="6" t="s">
        <v>2705</v>
      </c>
      <c r="C518" s="6" t="s">
        <v>2721</v>
      </c>
      <c r="D518" s="7" t="s">
        <v>90</v>
      </c>
      <c r="E518" s="7" t="s">
        <v>93</v>
      </c>
    </row>
    <row r="519" spans="1:5" x14ac:dyDescent="0.3">
      <c r="A519" s="6" t="s">
        <v>262</v>
      </c>
      <c r="B519" s="6" t="s">
        <v>2705</v>
      </c>
      <c r="C519" s="6" t="s">
        <v>2725</v>
      </c>
      <c r="D519" s="7" t="s">
        <v>90</v>
      </c>
      <c r="E519" s="7" t="s">
        <v>93</v>
      </c>
    </row>
    <row r="520" spans="1:5" x14ac:dyDescent="0.3">
      <c r="A520" s="6" t="s">
        <v>262</v>
      </c>
      <c r="B520" s="6" t="s">
        <v>2705</v>
      </c>
      <c r="C520" s="6" t="s">
        <v>2731</v>
      </c>
      <c r="D520" s="7" t="s">
        <v>90</v>
      </c>
      <c r="E520" s="7" t="s">
        <v>93</v>
      </c>
    </row>
    <row r="521" spans="1:5" x14ac:dyDescent="0.3">
      <c r="A521" s="6" t="s">
        <v>262</v>
      </c>
      <c r="B521" s="6" t="s">
        <v>2705</v>
      </c>
      <c r="C521" s="6" t="s">
        <v>2735</v>
      </c>
      <c r="D521" s="7" t="s">
        <v>90</v>
      </c>
      <c r="E521" s="7" t="s">
        <v>93</v>
      </c>
    </row>
    <row r="522" spans="1:5" x14ac:dyDescent="0.3">
      <c r="A522" s="6" t="s">
        <v>262</v>
      </c>
      <c r="B522" s="6" t="s">
        <v>2705</v>
      </c>
      <c r="C522" s="6" t="s">
        <v>2739</v>
      </c>
      <c r="D522" s="7" t="s">
        <v>90</v>
      </c>
      <c r="E522" s="7" t="s">
        <v>93</v>
      </c>
    </row>
    <row r="523" spans="1:5" x14ac:dyDescent="0.3">
      <c r="A523" s="6" t="s">
        <v>262</v>
      </c>
      <c r="B523" s="6" t="s">
        <v>2705</v>
      </c>
      <c r="C523" s="6" t="s">
        <v>2742</v>
      </c>
      <c r="D523" s="7" t="s">
        <v>90</v>
      </c>
      <c r="E523" s="7" t="s">
        <v>93</v>
      </c>
    </row>
    <row r="524" spans="1:5" x14ac:dyDescent="0.3">
      <c r="A524" s="6" t="s">
        <v>262</v>
      </c>
      <c r="B524" s="6" t="s">
        <v>2705</v>
      </c>
      <c r="C524" s="6" t="s">
        <v>2748</v>
      </c>
      <c r="D524" s="7" t="s">
        <v>90</v>
      </c>
      <c r="E524" s="7" t="s">
        <v>93</v>
      </c>
    </row>
    <row r="525" spans="1:5" x14ac:dyDescent="0.3">
      <c r="A525" s="6" t="s">
        <v>262</v>
      </c>
      <c r="B525" s="6" t="s">
        <v>2705</v>
      </c>
      <c r="C525" s="6" t="s">
        <v>2752</v>
      </c>
      <c r="D525" s="7" t="s">
        <v>90</v>
      </c>
      <c r="E525" s="7" t="s">
        <v>93</v>
      </c>
    </row>
    <row r="526" spans="1:5" x14ac:dyDescent="0.3">
      <c r="A526" s="6" t="s">
        <v>262</v>
      </c>
      <c r="B526" s="6" t="s">
        <v>2705</v>
      </c>
      <c r="C526" s="6" t="s">
        <v>2755</v>
      </c>
      <c r="D526" s="7" t="s">
        <v>90</v>
      </c>
      <c r="E526" s="7" t="s">
        <v>93</v>
      </c>
    </row>
    <row r="527" spans="1:5" x14ac:dyDescent="0.3">
      <c r="A527" s="6" t="s">
        <v>262</v>
      </c>
      <c r="B527" s="6" t="s">
        <v>2705</v>
      </c>
      <c r="C527" s="6" t="s">
        <v>2758</v>
      </c>
      <c r="D527" s="7" t="s">
        <v>90</v>
      </c>
      <c r="E527" s="7" t="s">
        <v>93</v>
      </c>
    </row>
    <row r="528" spans="1:5" x14ac:dyDescent="0.3">
      <c r="A528" s="6" t="s">
        <v>262</v>
      </c>
      <c r="B528" s="6" t="s">
        <v>2705</v>
      </c>
      <c r="C528" s="6" t="s">
        <v>2763</v>
      </c>
      <c r="D528" s="7" t="s">
        <v>90</v>
      </c>
      <c r="E528" s="7" t="s">
        <v>93</v>
      </c>
    </row>
    <row r="529" spans="1:5" x14ac:dyDescent="0.3">
      <c r="A529" s="6" t="s">
        <v>262</v>
      </c>
      <c r="B529" s="6" t="s">
        <v>2705</v>
      </c>
      <c r="C529" s="6" t="s">
        <v>2767</v>
      </c>
      <c r="D529" s="7" t="s">
        <v>90</v>
      </c>
      <c r="E529" s="7" t="s">
        <v>93</v>
      </c>
    </row>
  </sheetData>
  <autoFilter ref="A1:H1" xr:uid="{6F5AC7A7-27BE-4EE5-AB36-AE5A2BE151F5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Valeur non autorisée" prompt="Choisir dans la liste" xr:uid="{FA93D258-AB3B-43B3-9799-18BADEAB90F3}">
          <x14:formula1>
            <xm:f>Referentiels!$A$4:$A$5</xm:f>
          </x14:formula1>
          <x14:formula2>
            <xm:f>0</xm:f>
          </x14:formula2>
          <xm:sqref>D2:E529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529"/>
  <sheetViews>
    <sheetView zoomScaleNormal="100" workbookViewId="0">
      <pane ySplit="1" topLeftCell="A2" activePane="bottomLeft" state="frozen"/>
      <selection pane="bottomLeft" activeCell="D9" sqref="D9"/>
    </sheetView>
  </sheetViews>
  <sheetFormatPr baseColWidth="10" defaultColWidth="8.6640625" defaultRowHeight="15" customHeight="1" x14ac:dyDescent="0.3"/>
  <cols>
    <col min="1" max="1" width="10" customWidth="1"/>
    <col min="2" max="2" width="12" customWidth="1"/>
    <col min="3" max="3" width="14" customWidth="1"/>
    <col min="4" max="4" width="18" customWidth="1"/>
    <col min="5" max="5" width="28" customWidth="1"/>
    <col min="6" max="6" width="16" customWidth="1"/>
    <col min="7" max="7" width="14" customWidth="1"/>
    <col min="8" max="8" width="19.33203125" customWidth="1"/>
    <col min="9" max="9" width="18.6640625" customWidth="1"/>
    <col min="10" max="10" width="16" customWidth="1"/>
    <col min="11" max="11" width="14" customWidth="1"/>
    <col min="12" max="12" width="18" customWidth="1"/>
    <col min="13" max="13" width="14" customWidth="1"/>
    <col min="14" max="14" width="12" customWidth="1"/>
    <col min="15" max="15" width="14" customWidth="1"/>
    <col min="16" max="17" width="18" customWidth="1"/>
    <col min="18" max="18" width="29.33203125" customWidth="1"/>
    <col min="19" max="19" width="18" customWidth="1"/>
    <col min="20" max="20" width="23.5546875" customWidth="1"/>
    <col min="21" max="22" width="18" customWidth="1"/>
    <col min="23" max="24" width="16" customWidth="1"/>
    <col min="25" max="26" width="14" customWidth="1"/>
    <col min="27" max="27" width="16" customWidth="1"/>
    <col min="28" max="29" width="14" customWidth="1"/>
    <col min="30" max="30" width="12" customWidth="1"/>
    <col min="31" max="31" width="28" customWidth="1"/>
    <col min="32" max="34" width="16" customWidth="1"/>
    <col min="35" max="36" width="18" customWidth="1"/>
    <col min="37" max="38" width="22.109375" customWidth="1"/>
    <col min="39" max="40" width="18" customWidth="1"/>
    <col min="41" max="41" width="16" customWidth="1"/>
    <col min="42" max="42" width="24" customWidth="1"/>
  </cols>
  <sheetData>
    <row r="1" spans="1:44" ht="27.75" customHeight="1" x14ac:dyDescent="0.3">
      <c r="A1" s="3" t="s">
        <v>183</v>
      </c>
      <c r="B1" s="3" t="s">
        <v>184</v>
      </c>
      <c r="C1" s="3" t="s">
        <v>185</v>
      </c>
      <c r="D1" s="3" t="s">
        <v>186</v>
      </c>
      <c r="E1" s="3" t="s">
        <v>187</v>
      </c>
      <c r="F1" s="3" t="s">
        <v>4384</v>
      </c>
      <c r="G1" s="3" t="s">
        <v>4385</v>
      </c>
      <c r="H1" s="3" t="s">
        <v>4386</v>
      </c>
      <c r="I1" s="3" t="s">
        <v>4387</v>
      </c>
      <c r="J1" s="3" t="s">
        <v>4388</v>
      </c>
      <c r="K1" s="3" t="s">
        <v>193</v>
      </c>
      <c r="L1" s="3" t="s">
        <v>4389</v>
      </c>
      <c r="M1" s="3" t="s">
        <v>5074</v>
      </c>
      <c r="N1" s="3" t="s">
        <v>4390</v>
      </c>
      <c r="O1" s="3" t="s">
        <v>4391</v>
      </c>
      <c r="P1" s="3" t="s">
        <v>4392</v>
      </c>
      <c r="Q1" s="3" t="s">
        <v>4393</v>
      </c>
      <c r="R1" s="3" t="s">
        <v>5071</v>
      </c>
      <c r="S1" s="3" t="s">
        <v>4394</v>
      </c>
      <c r="T1" s="3" t="s">
        <v>5072</v>
      </c>
      <c r="U1" s="3" t="s">
        <v>4395</v>
      </c>
      <c r="V1" s="3" t="s">
        <v>4396</v>
      </c>
      <c r="W1" s="3" t="s">
        <v>5073</v>
      </c>
      <c r="X1" s="3" t="s">
        <v>194</v>
      </c>
      <c r="Y1" s="3" t="s">
        <v>4397</v>
      </c>
      <c r="Z1" s="3" t="s">
        <v>4398</v>
      </c>
      <c r="AA1" s="3" t="s">
        <v>195</v>
      </c>
      <c r="AB1" s="3" t="s">
        <v>4399</v>
      </c>
      <c r="AC1" s="3" t="s">
        <v>4400</v>
      </c>
      <c r="AD1" s="3" t="s">
        <v>4389</v>
      </c>
      <c r="AE1" s="3" t="s">
        <v>2785</v>
      </c>
      <c r="AF1" s="3" t="s">
        <v>4401</v>
      </c>
      <c r="AG1" s="3" t="s">
        <v>4402</v>
      </c>
      <c r="AH1" s="3" t="s">
        <v>4403</v>
      </c>
      <c r="AI1" s="3" t="s">
        <v>4404</v>
      </c>
      <c r="AJ1" s="3" t="s">
        <v>4405</v>
      </c>
      <c r="AK1" s="3" t="s">
        <v>4501</v>
      </c>
      <c r="AL1" s="3" t="s">
        <v>4502</v>
      </c>
      <c r="AM1" s="3" t="s">
        <v>4406</v>
      </c>
      <c r="AN1" s="3" t="s">
        <v>4407</v>
      </c>
      <c r="AO1" s="3" t="s">
        <v>4408</v>
      </c>
      <c r="AP1" s="3" t="s">
        <v>4409</v>
      </c>
      <c r="AQ1" s="3" t="s">
        <v>4381</v>
      </c>
      <c r="AR1" s="3" t="s">
        <v>4383</v>
      </c>
    </row>
    <row r="2" spans="1:44" ht="21.75" customHeight="1" x14ac:dyDescent="0.3">
      <c r="A2" s="6" t="s">
        <v>202</v>
      </c>
      <c r="B2" s="6" t="s">
        <v>203</v>
      </c>
      <c r="C2" s="6" t="s">
        <v>204</v>
      </c>
      <c r="D2" s="6" t="s">
        <v>78</v>
      </c>
      <c r="E2" s="6" t="s">
        <v>205</v>
      </c>
      <c r="F2" s="7" t="s">
        <v>125</v>
      </c>
      <c r="G2" s="10"/>
      <c r="H2" s="7" t="s">
        <v>93</v>
      </c>
      <c r="I2" s="7"/>
      <c r="J2" s="10"/>
      <c r="K2" s="6" t="s">
        <v>93</v>
      </c>
      <c r="L2" s="7"/>
      <c r="M2" s="14"/>
      <c r="N2" s="7" t="s">
        <v>93</v>
      </c>
      <c r="O2" s="10"/>
      <c r="P2" s="7" t="s">
        <v>93</v>
      </c>
      <c r="Q2" s="15" t="str">
        <f>IF(P2="oui",MIN(Parametres!$B$4,MAX(Parametres!$B$3,IF(M2="",Parametres!$B$3,ROUND(M2*10%,0)))),"")</f>
        <v/>
      </c>
      <c r="R2" s="7" t="s">
        <v>160</v>
      </c>
      <c r="S2" s="7" t="s">
        <v>93</v>
      </c>
      <c r="T2" s="15" t="str">
        <f>IF(S2="oui",Parametres!$B$5,"")</f>
        <v/>
      </c>
      <c r="U2" s="7" t="s">
        <v>160</v>
      </c>
      <c r="V2" s="15">
        <f t="shared" ref="V2:V65" si="0">SUM(Q2,T2)</f>
        <v>0</v>
      </c>
      <c r="W2" s="15" t="str">
        <f t="shared" ref="W2:W65" si="1">IF(M2="","",M2-V2)</f>
        <v/>
      </c>
      <c r="X2" s="6" t="s">
        <v>93</v>
      </c>
      <c r="Y2" s="7" t="s">
        <v>160</v>
      </c>
      <c r="Z2" s="10"/>
      <c r="AA2" s="6" t="s">
        <v>93</v>
      </c>
      <c r="AB2" s="7" t="s">
        <v>160</v>
      </c>
      <c r="AC2" s="10"/>
      <c r="AD2" s="9" t="str">
        <f t="shared" ref="AD2:AD65" si="2">IF(K2&lt;&gt;"oui","oui",IF(OR(AND(X2="oui",Y2&lt;&gt;"fait"),AND(AA2="oui",AB2&lt;&gt;"fait"),AND(P2="oui",R2&lt;&gt;"valide"),AND(S2="oui",U2&lt;&gt;"valide"),N2&lt;&gt;"oui"),"oui","non"))</f>
        <v>oui</v>
      </c>
      <c r="AE2" s="9" t="str">
        <f t="shared" ref="AE2:AE65" si="3">IF(K2&lt;&gt;"oui","Résidence ou logement non vendable",IF(AND(X2="oui",Y2&lt;&gt;"fait"),"TAE manquant",IF(AND(AA2="oui",AB2&lt;&gt;"fait"),"SPANC manquant",IF(AND(P2="oui",R2&lt;&gt;"valide"),"Chèque primo non validé",IF(AND(S2="oui",U2&lt;&gt;"valide"),"Chèque CINOR non validé",IF(N2&lt;&gt;"oui","Prix non confirmé",""))))))</f>
        <v>Résidence ou logement non vendable</v>
      </c>
      <c r="AF2" s="7"/>
      <c r="AG2" s="10"/>
      <c r="AH2" s="10"/>
      <c r="AI2" s="7" t="s">
        <v>160</v>
      </c>
      <c r="AJ2" s="10"/>
      <c r="AK2" s="10"/>
      <c r="AL2" s="10"/>
      <c r="AM2" s="11" t="s">
        <v>160</v>
      </c>
      <c r="AN2" s="11" t="s">
        <v>160</v>
      </c>
      <c r="AO2" s="11" t="s">
        <v>160</v>
      </c>
      <c r="AP2" s="11" t="s">
        <v>160</v>
      </c>
      <c r="AQ2" s="11"/>
      <c r="AR2" s="7"/>
    </row>
    <row r="3" spans="1:44" ht="21.75" customHeight="1" x14ac:dyDescent="0.3">
      <c r="A3" s="6" t="s">
        <v>202</v>
      </c>
      <c r="B3" s="6" t="s">
        <v>203</v>
      </c>
      <c r="C3" s="6" t="s">
        <v>210</v>
      </c>
      <c r="D3" s="6" t="s">
        <v>78</v>
      </c>
      <c r="E3" s="6" t="s">
        <v>211</v>
      </c>
      <c r="F3" s="7" t="s">
        <v>125</v>
      </c>
      <c r="G3" s="10"/>
      <c r="H3" s="7" t="s">
        <v>93</v>
      </c>
      <c r="I3" s="7"/>
      <c r="J3" s="10"/>
      <c r="K3" s="6" t="s">
        <v>93</v>
      </c>
      <c r="L3" s="7"/>
      <c r="M3" s="14"/>
      <c r="N3" s="7" t="s">
        <v>93</v>
      </c>
      <c r="O3" s="10"/>
      <c r="P3" s="7" t="s">
        <v>93</v>
      </c>
      <c r="Q3" s="15" t="str">
        <f>IF(P3="oui",MIN(Parametres!$B$4,MAX(Parametres!$B$3,IF(M3="",Parametres!$B$3,ROUND(M3*10%,0)))),"")</f>
        <v/>
      </c>
      <c r="R3" s="7" t="s">
        <v>160</v>
      </c>
      <c r="S3" s="7" t="s">
        <v>93</v>
      </c>
      <c r="T3" s="15" t="str">
        <f>IF(S3="oui",Parametres!$B$5,"")</f>
        <v/>
      </c>
      <c r="U3" s="7" t="s">
        <v>160</v>
      </c>
      <c r="V3" s="15">
        <f t="shared" si="0"/>
        <v>0</v>
      </c>
      <c r="W3" s="15" t="str">
        <f t="shared" si="1"/>
        <v/>
      </c>
      <c r="X3" s="6" t="s">
        <v>93</v>
      </c>
      <c r="Y3" s="7" t="s">
        <v>160</v>
      </c>
      <c r="Z3" s="10"/>
      <c r="AA3" s="6" t="s">
        <v>93</v>
      </c>
      <c r="AB3" s="7" t="s">
        <v>160</v>
      </c>
      <c r="AC3" s="10"/>
      <c r="AD3" s="9" t="str">
        <f t="shared" si="2"/>
        <v>oui</v>
      </c>
      <c r="AE3" s="9" t="str">
        <f t="shared" si="3"/>
        <v>Résidence ou logement non vendable</v>
      </c>
      <c r="AF3" s="7"/>
      <c r="AG3" s="10"/>
      <c r="AH3" s="10"/>
      <c r="AI3" s="7" t="s">
        <v>160</v>
      </c>
      <c r="AJ3" s="10"/>
      <c r="AK3" s="10"/>
      <c r="AL3" s="10"/>
      <c r="AM3" s="11" t="s">
        <v>160</v>
      </c>
      <c r="AN3" s="11" t="s">
        <v>160</v>
      </c>
      <c r="AO3" s="11" t="s">
        <v>160</v>
      </c>
      <c r="AP3" s="11" t="s">
        <v>160</v>
      </c>
      <c r="AQ3" s="11"/>
      <c r="AR3" s="7"/>
    </row>
    <row r="4" spans="1:44" ht="21.75" customHeight="1" x14ac:dyDescent="0.3">
      <c r="A4" s="6" t="s">
        <v>202</v>
      </c>
      <c r="B4" s="6" t="s">
        <v>203</v>
      </c>
      <c r="C4" s="6" t="s">
        <v>216</v>
      </c>
      <c r="D4" s="6" t="s">
        <v>78</v>
      </c>
      <c r="E4" s="6" t="s">
        <v>217</v>
      </c>
      <c r="F4" s="7" t="s">
        <v>125</v>
      </c>
      <c r="G4" s="10"/>
      <c r="H4" s="7" t="s">
        <v>93</v>
      </c>
      <c r="I4" s="7"/>
      <c r="J4" s="10"/>
      <c r="K4" s="6" t="s">
        <v>93</v>
      </c>
      <c r="L4" s="7"/>
      <c r="M4" s="14"/>
      <c r="N4" s="7" t="s">
        <v>93</v>
      </c>
      <c r="O4" s="10"/>
      <c r="P4" s="7" t="s">
        <v>93</v>
      </c>
      <c r="Q4" s="15" t="str">
        <f>IF(P4="oui",MIN(Parametres!$B$4,MAX(Parametres!$B$3,IF(M4="",Parametres!$B$3,ROUND(M4*10%,0)))),"")</f>
        <v/>
      </c>
      <c r="R4" s="7" t="s">
        <v>160</v>
      </c>
      <c r="S4" s="7" t="s">
        <v>93</v>
      </c>
      <c r="T4" s="15" t="str">
        <f>IF(S4="oui",Parametres!$B$5,"")</f>
        <v/>
      </c>
      <c r="U4" s="7" t="s">
        <v>160</v>
      </c>
      <c r="V4" s="15">
        <f t="shared" si="0"/>
        <v>0</v>
      </c>
      <c r="W4" s="15" t="str">
        <f t="shared" si="1"/>
        <v/>
      </c>
      <c r="X4" s="6" t="s">
        <v>93</v>
      </c>
      <c r="Y4" s="7" t="s">
        <v>160</v>
      </c>
      <c r="Z4" s="10"/>
      <c r="AA4" s="6" t="s">
        <v>93</v>
      </c>
      <c r="AB4" s="7" t="s">
        <v>160</v>
      </c>
      <c r="AC4" s="10"/>
      <c r="AD4" s="9" t="str">
        <f t="shared" si="2"/>
        <v>oui</v>
      </c>
      <c r="AE4" s="9" t="str">
        <f t="shared" si="3"/>
        <v>Résidence ou logement non vendable</v>
      </c>
      <c r="AF4" s="7"/>
      <c r="AG4" s="10"/>
      <c r="AH4" s="10"/>
      <c r="AI4" s="7" t="s">
        <v>160</v>
      </c>
      <c r="AJ4" s="10"/>
      <c r="AK4" s="10"/>
      <c r="AL4" s="10"/>
      <c r="AM4" s="11" t="s">
        <v>160</v>
      </c>
      <c r="AN4" s="11" t="s">
        <v>160</v>
      </c>
      <c r="AO4" s="11" t="s">
        <v>160</v>
      </c>
      <c r="AP4" s="11" t="s">
        <v>160</v>
      </c>
      <c r="AQ4" s="11"/>
      <c r="AR4" s="7"/>
    </row>
    <row r="5" spans="1:44" ht="21.75" customHeight="1" x14ac:dyDescent="0.3">
      <c r="A5" s="6" t="s">
        <v>202</v>
      </c>
      <c r="B5" s="6" t="s">
        <v>203</v>
      </c>
      <c r="C5" s="6" t="s">
        <v>223</v>
      </c>
      <c r="D5" s="6" t="s">
        <v>78</v>
      </c>
      <c r="E5" s="6" t="s">
        <v>224</v>
      </c>
      <c r="F5" s="7" t="s">
        <v>125</v>
      </c>
      <c r="G5" s="10"/>
      <c r="H5" s="7" t="s">
        <v>93</v>
      </c>
      <c r="I5" s="7"/>
      <c r="J5" s="10"/>
      <c r="K5" s="6" t="s">
        <v>93</v>
      </c>
      <c r="L5" s="7"/>
      <c r="M5" s="14"/>
      <c r="N5" s="7" t="s">
        <v>93</v>
      </c>
      <c r="O5" s="10"/>
      <c r="P5" s="7" t="s">
        <v>93</v>
      </c>
      <c r="Q5" s="15" t="str">
        <f>IF(P5="oui",MIN(Parametres!$B$4,MAX(Parametres!$B$3,IF(M5="",Parametres!$B$3,ROUND(M5*10%,0)))),"")</f>
        <v/>
      </c>
      <c r="R5" s="7" t="s">
        <v>160</v>
      </c>
      <c r="S5" s="7" t="s">
        <v>93</v>
      </c>
      <c r="T5" s="15" t="str">
        <f>IF(S5="oui",Parametres!$B$5,"")</f>
        <v/>
      </c>
      <c r="U5" s="7" t="s">
        <v>160</v>
      </c>
      <c r="V5" s="15">
        <f t="shared" si="0"/>
        <v>0</v>
      </c>
      <c r="W5" s="15" t="str">
        <f t="shared" si="1"/>
        <v/>
      </c>
      <c r="X5" s="6" t="s">
        <v>93</v>
      </c>
      <c r="Y5" s="7" t="s">
        <v>160</v>
      </c>
      <c r="Z5" s="10"/>
      <c r="AA5" s="6" t="s">
        <v>93</v>
      </c>
      <c r="AB5" s="7" t="s">
        <v>160</v>
      </c>
      <c r="AC5" s="10"/>
      <c r="AD5" s="9" t="str">
        <f t="shared" si="2"/>
        <v>oui</v>
      </c>
      <c r="AE5" s="9" t="str">
        <f t="shared" si="3"/>
        <v>Résidence ou logement non vendable</v>
      </c>
      <c r="AF5" s="7"/>
      <c r="AG5" s="10"/>
      <c r="AH5" s="10"/>
      <c r="AI5" s="7" t="s">
        <v>160</v>
      </c>
      <c r="AJ5" s="10"/>
      <c r="AK5" s="10"/>
      <c r="AL5" s="10"/>
      <c r="AM5" s="11" t="s">
        <v>160</v>
      </c>
      <c r="AN5" s="11" t="s">
        <v>160</v>
      </c>
      <c r="AO5" s="11" t="s">
        <v>160</v>
      </c>
      <c r="AP5" s="11" t="s">
        <v>160</v>
      </c>
      <c r="AQ5" s="11"/>
      <c r="AR5" s="7"/>
    </row>
    <row r="6" spans="1:44" ht="21.75" customHeight="1" x14ac:dyDescent="0.3">
      <c r="A6" s="6" t="s">
        <v>202</v>
      </c>
      <c r="B6" s="6" t="s">
        <v>203</v>
      </c>
      <c r="C6" s="6" t="s">
        <v>228</v>
      </c>
      <c r="D6" s="6" t="s">
        <v>78</v>
      </c>
      <c r="E6" s="6" t="s">
        <v>229</v>
      </c>
      <c r="F6" s="7" t="s">
        <v>125</v>
      </c>
      <c r="G6" s="10"/>
      <c r="H6" s="7" t="s">
        <v>93</v>
      </c>
      <c r="I6" s="7"/>
      <c r="J6" s="10"/>
      <c r="K6" s="6" t="s">
        <v>93</v>
      </c>
      <c r="L6" s="7"/>
      <c r="M6" s="14"/>
      <c r="N6" s="7" t="s">
        <v>93</v>
      </c>
      <c r="O6" s="10"/>
      <c r="P6" s="7" t="s">
        <v>93</v>
      </c>
      <c r="Q6" s="15" t="str">
        <f>IF(P6="oui",MIN(Parametres!$B$4,MAX(Parametres!$B$3,IF(M6="",Parametres!$B$3,ROUND(M6*10%,0)))),"")</f>
        <v/>
      </c>
      <c r="R6" s="7" t="s">
        <v>160</v>
      </c>
      <c r="S6" s="7" t="s">
        <v>93</v>
      </c>
      <c r="T6" s="15" t="str">
        <f>IF(S6="oui",Parametres!$B$5,"")</f>
        <v/>
      </c>
      <c r="U6" s="7" t="s">
        <v>160</v>
      </c>
      <c r="V6" s="15">
        <f t="shared" si="0"/>
        <v>0</v>
      </c>
      <c r="W6" s="15" t="str">
        <f t="shared" si="1"/>
        <v/>
      </c>
      <c r="X6" s="6" t="s">
        <v>93</v>
      </c>
      <c r="Y6" s="7" t="s">
        <v>160</v>
      </c>
      <c r="Z6" s="10"/>
      <c r="AA6" s="6" t="s">
        <v>93</v>
      </c>
      <c r="AB6" s="7" t="s">
        <v>160</v>
      </c>
      <c r="AC6" s="10"/>
      <c r="AD6" s="9" t="str">
        <f t="shared" si="2"/>
        <v>oui</v>
      </c>
      <c r="AE6" s="9" t="str">
        <f t="shared" si="3"/>
        <v>Résidence ou logement non vendable</v>
      </c>
      <c r="AF6" s="7"/>
      <c r="AG6" s="10"/>
      <c r="AH6" s="10"/>
      <c r="AI6" s="7" t="s">
        <v>160</v>
      </c>
      <c r="AJ6" s="10"/>
      <c r="AK6" s="10"/>
      <c r="AL6" s="10"/>
      <c r="AM6" s="11" t="s">
        <v>160</v>
      </c>
      <c r="AN6" s="11" t="s">
        <v>160</v>
      </c>
      <c r="AO6" s="11" t="s">
        <v>160</v>
      </c>
      <c r="AP6" s="11" t="s">
        <v>160</v>
      </c>
      <c r="AQ6" s="11"/>
      <c r="AR6" s="7"/>
    </row>
    <row r="7" spans="1:44" ht="21.75" customHeight="1" x14ac:dyDescent="0.3">
      <c r="A7" s="6" t="s">
        <v>202</v>
      </c>
      <c r="B7" s="6" t="s">
        <v>203</v>
      </c>
      <c r="C7" s="6" t="s">
        <v>233</v>
      </c>
      <c r="D7" s="6" t="s">
        <v>78</v>
      </c>
      <c r="E7" s="6" t="s">
        <v>234</v>
      </c>
      <c r="F7" s="7" t="s">
        <v>125</v>
      </c>
      <c r="G7" s="10"/>
      <c r="H7" s="7" t="s">
        <v>93</v>
      </c>
      <c r="I7" s="7"/>
      <c r="J7" s="10"/>
      <c r="K7" s="6" t="s">
        <v>93</v>
      </c>
      <c r="L7" s="7"/>
      <c r="M7" s="14"/>
      <c r="N7" s="7" t="s">
        <v>93</v>
      </c>
      <c r="O7" s="10"/>
      <c r="P7" s="7" t="s">
        <v>93</v>
      </c>
      <c r="Q7" s="15" t="str">
        <f>IF(P7="oui",MIN(Parametres!$B$4,MAX(Parametres!$B$3,IF(M7="",Parametres!$B$3,ROUND(M7*10%,0)))),"")</f>
        <v/>
      </c>
      <c r="R7" s="7" t="s">
        <v>160</v>
      </c>
      <c r="S7" s="7" t="s">
        <v>93</v>
      </c>
      <c r="T7" s="15" t="str">
        <f>IF(S7="oui",Parametres!$B$5,"")</f>
        <v/>
      </c>
      <c r="U7" s="7" t="s">
        <v>160</v>
      </c>
      <c r="V7" s="15">
        <f t="shared" si="0"/>
        <v>0</v>
      </c>
      <c r="W7" s="15" t="str">
        <f t="shared" si="1"/>
        <v/>
      </c>
      <c r="X7" s="6" t="s">
        <v>93</v>
      </c>
      <c r="Y7" s="7" t="s">
        <v>160</v>
      </c>
      <c r="Z7" s="10"/>
      <c r="AA7" s="6" t="s">
        <v>93</v>
      </c>
      <c r="AB7" s="7" t="s">
        <v>160</v>
      </c>
      <c r="AC7" s="10"/>
      <c r="AD7" s="9" t="str">
        <f t="shared" si="2"/>
        <v>oui</v>
      </c>
      <c r="AE7" s="9" t="str">
        <f t="shared" si="3"/>
        <v>Résidence ou logement non vendable</v>
      </c>
      <c r="AF7" s="7"/>
      <c r="AG7" s="10"/>
      <c r="AH7" s="10"/>
      <c r="AI7" s="7" t="s">
        <v>160</v>
      </c>
      <c r="AJ7" s="10"/>
      <c r="AK7" s="10"/>
      <c r="AL7" s="10"/>
      <c r="AM7" s="11" t="s">
        <v>160</v>
      </c>
      <c r="AN7" s="11" t="s">
        <v>160</v>
      </c>
      <c r="AO7" s="11" t="s">
        <v>160</v>
      </c>
      <c r="AP7" s="11" t="s">
        <v>160</v>
      </c>
      <c r="AQ7" s="11"/>
      <c r="AR7" s="7"/>
    </row>
    <row r="8" spans="1:44" ht="21.75" customHeight="1" x14ac:dyDescent="0.3">
      <c r="A8" s="6" t="s">
        <v>202</v>
      </c>
      <c r="B8" s="6" t="s">
        <v>203</v>
      </c>
      <c r="C8" s="6" t="s">
        <v>238</v>
      </c>
      <c r="D8" s="6" t="s">
        <v>78</v>
      </c>
      <c r="E8" s="6" t="s">
        <v>239</v>
      </c>
      <c r="F8" s="7" t="s">
        <v>125</v>
      </c>
      <c r="G8" s="10"/>
      <c r="H8" s="7" t="s">
        <v>93</v>
      </c>
      <c r="I8" s="7"/>
      <c r="J8" s="10"/>
      <c r="K8" s="6" t="s">
        <v>93</v>
      </c>
      <c r="L8" s="7"/>
      <c r="M8" s="14"/>
      <c r="N8" s="7" t="s">
        <v>93</v>
      </c>
      <c r="O8" s="10"/>
      <c r="P8" s="7" t="s">
        <v>93</v>
      </c>
      <c r="Q8" s="15" t="str">
        <f>IF(P8="oui",MIN(Parametres!$B$4,MAX(Parametres!$B$3,IF(M8="",Parametres!$B$3,ROUND(M8*10%,0)))),"")</f>
        <v/>
      </c>
      <c r="R8" s="7" t="s">
        <v>160</v>
      </c>
      <c r="S8" s="7" t="s">
        <v>93</v>
      </c>
      <c r="T8" s="15" t="str">
        <f>IF(S8="oui",Parametres!$B$5,"")</f>
        <v/>
      </c>
      <c r="U8" s="7" t="s">
        <v>160</v>
      </c>
      <c r="V8" s="15">
        <f t="shared" si="0"/>
        <v>0</v>
      </c>
      <c r="W8" s="15" t="str">
        <f t="shared" si="1"/>
        <v/>
      </c>
      <c r="X8" s="6" t="s">
        <v>93</v>
      </c>
      <c r="Y8" s="7" t="s">
        <v>160</v>
      </c>
      <c r="Z8" s="10"/>
      <c r="AA8" s="6" t="s">
        <v>93</v>
      </c>
      <c r="AB8" s="7" t="s">
        <v>160</v>
      </c>
      <c r="AC8" s="10"/>
      <c r="AD8" s="9" t="str">
        <f t="shared" si="2"/>
        <v>oui</v>
      </c>
      <c r="AE8" s="9" t="str">
        <f t="shared" si="3"/>
        <v>Résidence ou logement non vendable</v>
      </c>
      <c r="AF8" s="7"/>
      <c r="AG8" s="10"/>
      <c r="AH8" s="10"/>
      <c r="AI8" s="7" t="s">
        <v>160</v>
      </c>
      <c r="AJ8" s="10"/>
      <c r="AK8" s="10"/>
      <c r="AL8" s="10"/>
      <c r="AM8" s="11" t="s">
        <v>160</v>
      </c>
      <c r="AN8" s="11" t="s">
        <v>160</v>
      </c>
      <c r="AO8" s="11" t="s">
        <v>160</v>
      </c>
      <c r="AP8" s="11" t="s">
        <v>160</v>
      </c>
      <c r="AQ8" s="11"/>
      <c r="AR8" s="7"/>
    </row>
    <row r="9" spans="1:44" ht="21.75" customHeight="1" x14ac:dyDescent="0.3">
      <c r="A9" s="6" t="s">
        <v>202</v>
      </c>
      <c r="B9" s="6" t="s">
        <v>203</v>
      </c>
      <c r="C9" s="6" t="s">
        <v>243</v>
      </c>
      <c r="D9" s="6" t="s">
        <v>78</v>
      </c>
      <c r="E9" s="6" t="s">
        <v>244</v>
      </c>
      <c r="F9" s="7" t="s">
        <v>125</v>
      </c>
      <c r="G9" s="10"/>
      <c r="H9" s="7" t="s">
        <v>93</v>
      </c>
      <c r="I9" s="7"/>
      <c r="J9" s="10"/>
      <c r="K9" s="6" t="s">
        <v>93</v>
      </c>
      <c r="L9" s="7"/>
      <c r="M9" s="14"/>
      <c r="N9" s="7" t="s">
        <v>93</v>
      </c>
      <c r="O9" s="10"/>
      <c r="P9" s="7" t="s">
        <v>93</v>
      </c>
      <c r="Q9" s="15" t="str">
        <f>IF(P9="oui",MIN(Parametres!$B$4,MAX(Parametres!$B$3,IF(M9="",Parametres!$B$3,ROUND(M9*10%,0)))),"")</f>
        <v/>
      </c>
      <c r="R9" s="7" t="s">
        <v>160</v>
      </c>
      <c r="S9" s="7" t="s">
        <v>93</v>
      </c>
      <c r="T9" s="15" t="str">
        <f>IF(S9="oui",Parametres!$B$5,"")</f>
        <v/>
      </c>
      <c r="U9" s="7" t="s">
        <v>160</v>
      </c>
      <c r="V9" s="15">
        <f t="shared" si="0"/>
        <v>0</v>
      </c>
      <c r="W9" s="15" t="str">
        <f t="shared" si="1"/>
        <v/>
      </c>
      <c r="X9" s="6" t="s">
        <v>93</v>
      </c>
      <c r="Y9" s="7" t="s">
        <v>160</v>
      </c>
      <c r="Z9" s="10"/>
      <c r="AA9" s="6" t="s">
        <v>93</v>
      </c>
      <c r="AB9" s="7" t="s">
        <v>160</v>
      </c>
      <c r="AC9" s="10"/>
      <c r="AD9" s="9" t="str">
        <f t="shared" si="2"/>
        <v>oui</v>
      </c>
      <c r="AE9" s="9" t="str">
        <f t="shared" si="3"/>
        <v>Résidence ou logement non vendable</v>
      </c>
      <c r="AF9" s="7"/>
      <c r="AG9" s="10"/>
      <c r="AH9" s="10"/>
      <c r="AI9" s="7" t="s">
        <v>160</v>
      </c>
      <c r="AJ9" s="10"/>
      <c r="AK9" s="10"/>
      <c r="AL9" s="10"/>
      <c r="AM9" s="11" t="s">
        <v>160</v>
      </c>
      <c r="AN9" s="11" t="s">
        <v>160</v>
      </c>
      <c r="AO9" s="11" t="s">
        <v>160</v>
      </c>
      <c r="AP9" s="11" t="s">
        <v>160</v>
      </c>
      <c r="AQ9" s="11"/>
      <c r="AR9" s="7"/>
    </row>
    <row r="10" spans="1:44" ht="21.75" customHeight="1" x14ac:dyDescent="0.3">
      <c r="A10" s="6" t="s">
        <v>202</v>
      </c>
      <c r="B10" s="6" t="s">
        <v>203</v>
      </c>
      <c r="C10" s="6" t="s">
        <v>249</v>
      </c>
      <c r="D10" s="6" t="s">
        <v>78</v>
      </c>
      <c r="E10" s="6" t="s">
        <v>250</v>
      </c>
      <c r="F10" s="7" t="s">
        <v>125</v>
      </c>
      <c r="G10" s="10"/>
      <c r="H10" s="7" t="s">
        <v>93</v>
      </c>
      <c r="I10" s="7"/>
      <c r="J10" s="10"/>
      <c r="K10" s="6" t="s">
        <v>93</v>
      </c>
      <c r="L10" s="7"/>
      <c r="M10" s="14"/>
      <c r="N10" s="7" t="s">
        <v>93</v>
      </c>
      <c r="O10" s="10"/>
      <c r="P10" s="7" t="s">
        <v>93</v>
      </c>
      <c r="Q10" s="15" t="str">
        <f>IF(P10="oui",MIN(Parametres!$B$4,MAX(Parametres!$B$3,IF(M10="",Parametres!$B$3,ROUND(M10*10%,0)))),"")</f>
        <v/>
      </c>
      <c r="R10" s="7" t="s">
        <v>160</v>
      </c>
      <c r="S10" s="7" t="s">
        <v>93</v>
      </c>
      <c r="T10" s="15" t="str">
        <f>IF(S10="oui",Parametres!$B$5,"")</f>
        <v/>
      </c>
      <c r="U10" s="7" t="s">
        <v>160</v>
      </c>
      <c r="V10" s="15">
        <f t="shared" si="0"/>
        <v>0</v>
      </c>
      <c r="W10" s="15" t="str">
        <f t="shared" si="1"/>
        <v/>
      </c>
      <c r="X10" s="6" t="s">
        <v>93</v>
      </c>
      <c r="Y10" s="7" t="s">
        <v>160</v>
      </c>
      <c r="Z10" s="10"/>
      <c r="AA10" s="6" t="s">
        <v>93</v>
      </c>
      <c r="AB10" s="7" t="s">
        <v>160</v>
      </c>
      <c r="AC10" s="10"/>
      <c r="AD10" s="9" t="str">
        <f t="shared" si="2"/>
        <v>oui</v>
      </c>
      <c r="AE10" s="9" t="str">
        <f t="shared" si="3"/>
        <v>Résidence ou logement non vendable</v>
      </c>
      <c r="AF10" s="7"/>
      <c r="AG10" s="10"/>
      <c r="AH10" s="10"/>
      <c r="AI10" s="7" t="s">
        <v>160</v>
      </c>
      <c r="AJ10" s="10"/>
      <c r="AK10" s="10"/>
      <c r="AL10" s="10"/>
      <c r="AM10" s="11" t="s">
        <v>160</v>
      </c>
      <c r="AN10" s="11" t="s">
        <v>160</v>
      </c>
      <c r="AO10" s="11" t="s">
        <v>160</v>
      </c>
      <c r="AP10" s="11" t="s">
        <v>160</v>
      </c>
      <c r="AQ10" s="11"/>
      <c r="AR10" s="7"/>
    </row>
    <row r="11" spans="1:44" ht="21.75" customHeight="1" x14ac:dyDescent="0.3">
      <c r="A11" s="6" t="s">
        <v>202</v>
      </c>
      <c r="B11" s="6" t="s">
        <v>203</v>
      </c>
      <c r="C11" s="6" t="s">
        <v>256</v>
      </c>
      <c r="D11" s="6" t="s">
        <v>78</v>
      </c>
      <c r="E11" s="6" t="s">
        <v>257</v>
      </c>
      <c r="F11" s="7" t="s">
        <v>125</v>
      </c>
      <c r="G11" s="10"/>
      <c r="H11" s="7" t="s">
        <v>93</v>
      </c>
      <c r="I11" s="7"/>
      <c r="J11" s="10"/>
      <c r="K11" s="6" t="s">
        <v>93</v>
      </c>
      <c r="L11" s="7"/>
      <c r="M11" s="14"/>
      <c r="N11" s="7" t="s">
        <v>93</v>
      </c>
      <c r="O11" s="10"/>
      <c r="P11" s="7" t="s">
        <v>93</v>
      </c>
      <c r="Q11" s="15" t="str">
        <f>IF(P11="oui",MIN(Parametres!$B$4,MAX(Parametres!$B$3,IF(M11="",Parametres!$B$3,ROUND(M11*10%,0)))),"")</f>
        <v/>
      </c>
      <c r="R11" s="7" t="s">
        <v>160</v>
      </c>
      <c r="S11" s="7" t="s">
        <v>93</v>
      </c>
      <c r="T11" s="15" t="str">
        <f>IF(S11="oui",Parametres!$B$5,"")</f>
        <v/>
      </c>
      <c r="U11" s="7" t="s">
        <v>160</v>
      </c>
      <c r="V11" s="15">
        <f t="shared" si="0"/>
        <v>0</v>
      </c>
      <c r="W11" s="15" t="str">
        <f t="shared" si="1"/>
        <v/>
      </c>
      <c r="X11" s="6" t="s">
        <v>93</v>
      </c>
      <c r="Y11" s="7" t="s">
        <v>160</v>
      </c>
      <c r="Z11" s="10"/>
      <c r="AA11" s="6" t="s">
        <v>93</v>
      </c>
      <c r="AB11" s="7" t="s">
        <v>160</v>
      </c>
      <c r="AC11" s="10"/>
      <c r="AD11" s="9" t="str">
        <f t="shared" si="2"/>
        <v>oui</v>
      </c>
      <c r="AE11" s="9" t="str">
        <f t="shared" si="3"/>
        <v>Résidence ou logement non vendable</v>
      </c>
      <c r="AF11" s="7"/>
      <c r="AG11" s="10"/>
      <c r="AH11" s="10"/>
      <c r="AI11" s="7" t="s">
        <v>160</v>
      </c>
      <c r="AJ11" s="10"/>
      <c r="AK11" s="10"/>
      <c r="AL11" s="10"/>
      <c r="AM11" s="11" t="s">
        <v>160</v>
      </c>
      <c r="AN11" s="11" t="s">
        <v>160</v>
      </c>
      <c r="AO11" s="11" t="s">
        <v>160</v>
      </c>
      <c r="AP11" s="11" t="s">
        <v>160</v>
      </c>
      <c r="AQ11" s="11"/>
      <c r="AR11" s="7"/>
    </row>
    <row r="12" spans="1:44" ht="21.75" customHeight="1" x14ac:dyDescent="0.3">
      <c r="A12" s="6" t="s">
        <v>202</v>
      </c>
      <c r="B12" s="6" t="s">
        <v>203</v>
      </c>
      <c r="C12" s="6" t="s">
        <v>261</v>
      </c>
      <c r="D12" s="6" t="s">
        <v>78</v>
      </c>
      <c r="E12" s="6" t="s">
        <v>263</v>
      </c>
      <c r="F12" s="7" t="s">
        <v>125</v>
      </c>
      <c r="G12" s="10"/>
      <c r="H12" s="7" t="s">
        <v>93</v>
      </c>
      <c r="I12" s="7"/>
      <c r="J12" s="10"/>
      <c r="K12" s="6" t="s">
        <v>93</v>
      </c>
      <c r="L12" s="7"/>
      <c r="M12" s="14"/>
      <c r="N12" s="7" t="s">
        <v>93</v>
      </c>
      <c r="O12" s="10"/>
      <c r="P12" s="7" t="s">
        <v>93</v>
      </c>
      <c r="Q12" s="15" t="str">
        <f>IF(P12="oui",MIN(Parametres!$B$4,MAX(Parametres!$B$3,IF(M12="",Parametres!$B$3,ROUND(M12*10%,0)))),"")</f>
        <v/>
      </c>
      <c r="R12" s="7" t="s">
        <v>160</v>
      </c>
      <c r="S12" s="7" t="s">
        <v>93</v>
      </c>
      <c r="T12" s="15" t="str">
        <f>IF(S12="oui",Parametres!$B$5,"")</f>
        <v/>
      </c>
      <c r="U12" s="7" t="s">
        <v>160</v>
      </c>
      <c r="V12" s="15">
        <f t="shared" si="0"/>
        <v>0</v>
      </c>
      <c r="W12" s="15" t="str">
        <f t="shared" si="1"/>
        <v/>
      </c>
      <c r="X12" s="6" t="s">
        <v>93</v>
      </c>
      <c r="Y12" s="7" t="s">
        <v>160</v>
      </c>
      <c r="Z12" s="10"/>
      <c r="AA12" s="6" t="s">
        <v>93</v>
      </c>
      <c r="AB12" s="7" t="s">
        <v>160</v>
      </c>
      <c r="AC12" s="10"/>
      <c r="AD12" s="9" t="str">
        <f t="shared" si="2"/>
        <v>oui</v>
      </c>
      <c r="AE12" s="9" t="str">
        <f t="shared" si="3"/>
        <v>Résidence ou logement non vendable</v>
      </c>
      <c r="AF12" s="7"/>
      <c r="AG12" s="10"/>
      <c r="AH12" s="10"/>
      <c r="AI12" s="7" t="s">
        <v>160</v>
      </c>
      <c r="AJ12" s="10"/>
      <c r="AK12" s="10"/>
      <c r="AL12" s="10"/>
      <c r="AM12" s="11" t="s">
        <v>160</v>
      </c>
      <c r="AN12" s="11" t="s">
        <v>160</v>
      </c>
      <c r="AO12" s="11" t="s">
        <v>160</v>
      </c>
      <c r="AP12" s="11" t="s">
        <v>160</v>
      </c>
      <c r="AQ12" s="11"/>
      <c r="AR12" s="7"/>
    </row>
    <row r="13" spans="1:44" ht="21.75" customHeight="1" x14ac:dyDescent="0.3">
      <c r="A13" s="6" t="s">
        <v>202</v>
      </c>
      <c r="B13" s="6" t="s">
        <v>203</v>
      </c>
      <c r="C13" s="6" t="s">
        <v>269</v>
      </c>
      <c r="D13" s="6" t="s">
        <v>78</v>
      </c>
      <c r="E13" s="6" t="s">
        <v>271</v>
      </c>
      <c r="F13" s="7" t="s">
        <v>125</v>
      </c>
      <c r="G13" s="10"/>
      <c r="H13" s="7" t="s">
        <v>93</v>
      </c>
      <c r="I13" s="7"/>
      <c r="J13" s="10"/>
      <c r="K13" s="6" t="s">
        <v>93</v>
      </c>
      <c r="L13" s="7"/>
      <c r="M13" s="14"/>
      <c r="N13" s="7" t="s">
        <v>93</v>
      </c>
      <c r="O13" s="10"/>
      <c r="P13" s="7" t="s">
        <v>93</v>
      </c>
      <c r="Q13" s="15" t="str">
        <f>IF(P13="oui",MIN(Parametres!$B$4,MAX(Parametres!$B$3,IF(M13="",Parametres!$B$3,ROUND(M13*10%,0)))),"")</f>
        <v/>
      </c>
      <c r="R13" s="7" t="s">
        <v>160</v>
      </c>
      <c r="S13" s="7" t="s">
        <v>93</v>
      </c>
      <c r="T13" s="15" t="str">
        <f>IF(S13="oui",Parametres!$B$5,"")</f>
        <v/>
      </c>
      <c r="U13" s="7" t="s">
        <v>160</v>
      </c>
      <c r="V13" s="15">
        <f t="shared" si="0"/>
        <v>0</v>
      </c>
      <c r="W13" s="15" t="str">
        <f t="shared" si="1"/>
        <v/>
      </c>
      <c r="X13" s="6" t="s">
        <v>93</v>
      </c>
      <c r="Y13" s="7" t="s">
        <v>160</v>
      </c>
      <c r="Z13" s="10"/>
      <c r="AA13" s="6" t="s">
        <v>93</v>
      </c>
      <c r="AB13" s="7" t="s">
        <v>160</v>
      </c>
      <c r="AC13" s="10"/>
      <c r="AD13" s="9" t="str">
        <f t="shared" si="2"/>
        <v>oui</v>
      </c>
      <c r="AE13" s="9" t="str">
        <f t="shared" si="3"/>
        <v>Résidence ou logement non vendable</v>
      </c>
      <c r="AF13" s="7"/>
      <c r="AG13" s="10"/>
      <c r="AH13" s="10"/>
      <c r="AI13" s="7" t="s">
        <v>160</v>
      </c>
      <c r="AJ13" s="10"/>
      <c r="AK13" s="10"/>
      <c r="AL13" s="10"/>
      <c r="AM13" s="11" t="s">
        <v>160</v>
      </c>
      <c r="AN13" s="11" t="s">
        <v>160</v>
      </c>
      <c r="AO13" s="11" t="s">
        <v>160</v>
      </c>
      <c r="AP13" s="11" t="s">
        <v>160</v>
      </c>
      <c r="AQ13" s="11"/>
      <c r="AR13" s="7"/>
    </row>
    <row r="14" spans="1:44" ht="21.75" customHeight="1" x14ac:dyDescent="0.3">
      <c r="A14" s="6" t="s">
        <v>202</v>
      </c>
      <c r="B14" s="6" t="s">
        <v>203</v>
      </c>
      <c r="C14" s="6" t="s">
        <v>277</v>
      </c>
      <c r="D14" s="6" t="s">
        <v>78</v>
      </c>
      <c r="E14" s="6" t="s">
        <v>278</v>
      </c>
      <c r="F14" s="7" t="s">
        <v>125</v>
      </c>
      <c r="G14" s="10"/>
      <c r="H14" s="7" t="s">
        <v>93</v>
      </c>
      <c r="I14" s="7"/>
      <c r="J14" s="10"/>
      <c r="K14" s="6" t="s">
        <v>93</v>
      </c>
      <c r="L14" s="7"/>
      <c r="M14" s="14"/>
      <c r="N14" s="7" t="s">
        <v>93</v>
      </c>
      <c r="O14" s="10"/>
      <c r="P14" s="7" t="s">
        <v>93</v>
      </c>
      <c r="Q14" s="15" t="str">
        <f>IF(P14="oui",MIN(Parametres!$B$4,MAX(Parametres!$B$3,IF(M14="",Parametres!$B$3,ROUND(M14*10%,0)))),"")</f>
        <v/>
      </c>
      <c r="R14" s="7" t="s">
        <v>160</v>
      </c>
      <c r="S14" s="7" t="s">
        <v>93</v>
      </c>
      <c r="T14" s="15" t="str">
        <f>IF(S14="oui",Parametres!$B$5,"")</f>
        <v/>
      </c>
      <c r="U14" s="7" t="s">
        <v>160</v>
      </c>
      <c r="V14" s="15">
        <f t="shared" si="0"/>
        <v>0</v>
      </c>
      <c r="W14" s="15" t="str">
        <f t="shared" si="1"/>
        <v/>
      </c>
      <c r="X14" s="6" t="s">
        <v>93</v>
      </c>
      <c r="Y14" s="7" t="s">
        <v>160</v>
      </c>
      <c r="Z14" s="10"/>
      <c r="AA14" s="6" t="s">
        <v>93</v>
      </c>
      <c r="AB14" s="7" t="s">
        <v>160</v>
      </c>
      <c r="AC14" s="10"/>
      <c r="AD14" s="9" t="str">
        <f t="shared" si="2"/>
        <v>oui</v>
      </c>
      <c r="AE14" s="9" t="str">
        <f t="shared" si="3"/>
        <v>Résidence ou logement non vendable</v>
      </c>
      <c r="AF14" s="7"/>
      <c r="AG14" s="10"/>
      <c r="AH14" s="10"/>
      <c r="AI14" s="7" t="s">
        <v>160</v>
      </c>
      <c r="AJ14" s="10"/>
      <c r="AK14" s="10"/>
      <c r="AL14" s="10"/>
      <c r="AM14" s="11" t="s">
        <v>160</v>
      </c>
      <c r="AN14" s="11" t="s">
        <v>160</v>
      </c>
      <c r="AO14" s="11" t="s">
        <v>160</v>
      </c>
      <c r="AP14" s="11" t="s">
        <v>160</v>
      </c>
      <c r="AQ14" s="11"/>
      <c r="AR14" s="7"/>
    </row>
    <row r="15" spans="1:44" ht="21.75" customHeight="1" x14ac:dyDescent="0.3">
      <c r="A15" s="6" t="s">
        <v>202</v>
      </c>
      <c r="B15" s="6" t="s">
        <v>203</v>
      </c>
      <c r="C15" s="6" t="s">
        <v>282</v>
      </c>
      <c r="D15" s="6" t="s">
        <v>78</v>
      </c>
      <c r="E15" s="6" t="s">
        <v>283</v>
      </c>
      <c r="F15" s="7" t="s">
        <v>125</v>
      </c>
      <c r="G15" s="10"/>
      <c r="H15" s="7" t="s">
        <v>93</v>
      </c>
      <c r="I15" s="7"/>
      <c r="J15" s="10"/>
      <c r="K15" s="6" t="s">
        <v>93</v>
      </c>
      <c r="L15" s="7"/>
      <c r="M15" s="14"/>
      <c r="N15" s="7" t="s">
        <v>93</v>
      </c>
      <c r="O15" s="10"/>
      <c r="P15" s="7" t="s">
        <v>93</v>
      </c>
      <c r="Q15" s="15" t="str">
        <f>IF(P15="oui",MIN(Parametres!$B$4,MAX(Parametres!$B$3,IF(M15="",Parametres!$B$3,ROUND(M15*10%,0)))),"")</f>
        <v/>
      </c>
      <c r="R15" s="7" t="s">
        <v>160</v>
      </c>
      <c r="S15" s="7" t="s">
        <v>93</v>
      </c>
      <c r="T15" s="15" t="str">
        <f>IF(S15="oui",Parametres!$B$5,"")</f>
        <v/>
      </c>
      <c r="U15" s="7" t="s">
        <v>160</v>
      </c>
      <c r="V15" s="15">
        <f t="shared" si="0"/>
        <v>0</v>
      </c>
      <c r="W15" s="15" t="str">
        <f t="shared" si="1"/>
        <v/>
      </c>
      <c r="X15" s="6" t="s">
        <v>93</v>
      </c>
      <c r="Y15" s="7" t="s">
        <v>160</v>
      </c>
      <c r="Z15" s="10"/>
      <c r="AA15" s="6" t="s">
        <v>93</v>
      </c>
      <c r="AB15" s="7" t="s">
        <v>160</v>
      </c>
      <c r="AC15" s="10"/>
      <c r="AD15" s="9" t="str">
        <f t="shared" si="2"/>
        <v>oui</v>
      </c>
      <c r="AE15" s="9" t="str">
        <f t="shared" si="3"/>
        <v>Résidence ou logement non vendable</v>
      </c>
      <c r="AF15" s="7"/>
      <c r="AG15" s="10"/>
      <c r="AH15" s="10"/>
      <c r="AI15" s="7" t="s">
        <v>160</v>
      </c>
      <c r="AJ15" s="10"/>
      <c r="AK15" s="10"/>
      <c r="AL15" s="10"/>
      <c r="AM15" s="11" t="s">
        <v>160</v>
      </c>
      <c r="AN15" s="11" t="s">
        <v>160</v>
      </c>
      <c r="AO15" s="11" t="s">
        <v>160</v>
      </c>
      <c r="AP15" s="11" t="s">
        <v>160</v>
      </c>
      <c r="AQ15" s="11"/>
      <c r="AR15" s="7"/>
    </row>
    <row r="16" spans="1:44" ht="21.75" customHeight="1" x14ac:dyDescent="0.3">
      <c r="A16" s="6" t="s">
        <v>202</v>
      </c>
      <c r="B16" s="6" t="s">
        <v>203</v>
      </c>
      <c r="C16" s="6" t="s">
        <v>287</v>
      </c>
      <c r="D16" s="6" t="s">
        <v>78</v>
      </c>
      <c r="E16" s="6" t="s">
        <v>288</v>
      </c>
      <c r="F16" s="7" t="s">
        <v>125</v>
      </c>
      <c r="G16" s="10"/>
      <c r="H16" s="7" t="s">
        <v>93</v>
      </c>
      <c r="I16" s="7"/>
      <c r="J16" s="10"/>
      <c r="K16" s="6" t="s">
        <v>93</v>
      </c>
      <c r="L16" s="7"/>
      <c r="M16" s="14"/>
      <c r="N16" s="7" t="s">
        <v>93</v>
      </c>
      <c r="O16" s="10"/>
      <c r="P16" s="7" t="s">
        <v>93</v>
      </c>
      <c r="Q16" s="15" t="str">
        <f>IF(P16="oui",MIN(Parametres!$B$4,MAX(Parametres!$B$3,IF(M16="",Parametres!$B$3,ROUND(M16*10%,0)))),"")</f>
        <v/>
      </c>
      <c r="R16" s="7" t="s">
        <v>160</v>
      </c>
      <c r="S16" s="7" t="s">
        <v>93</v>
      </c>
      <c r="T16" s="15" t="str">
        <f>IF(S16="oui",Parametres!$B$5,"")</f>
        <v/>
      </c>
      <c r="U16" s="7" t="s">
        <v>160</v>
      </c>
      <c r="V16" s="15">
        <f t="shared" si="0"/>
        <v>0</v>
      </c>
      <c r="W16" s="15" t="str">
        <f t="shared" si="1"/>
        <v/>
      </c>
      <c r="X16" s="6" t="s">
        <v>93</v>
      </c>
      <c r="Y16" s="7" t="s">
        <v>160</v>
      </c>
      <c r="Z16" s="10"/>
      <c r="AA16" s="6" t="s">
        <v>93</v>
      </c>
      <c r="AB16" s="7" t="s">
        <v>160</v>
      </c>
      <c r="AC16" s="10"/>
      <c r="AD16" s="9" t="str">
        <f t="shared" si="2"/>
        <v>oui</v>
      </c>
      <c r="AE16" s="9" t="str">
        <f t="shared" si="3"/>
        <v>Résidence ou logement non vendable</v>
      </c>
      <c r="AF16" s="7"/>
      <c r="AG16" s="10"/>
      <c r="AH16" s="10"/>
      <c r="AI16" s="7" t="s">
        <v>160</v>
      </c>
      <c r="AJ16" s="10"/>
      <c r="AK16" s="10"/>
      <c r="AL16" s="10"/>
      <c r="AM16" s="11" t="s">
        <v>160</v>
      </c>
      <c r="AN16" s="11" t="s">
        <v>160</v>
      </c>
      <c r="AO16" s="11" t="s">
        <v>160</v>
      </c>
      <c r="AP16" s="11" t="s">
        <v>160</v>
      </c>
      <c r="AQ16" s="11"/>
      <c r="AR16" s="7"/>
    </row>
    <row r="17" spans="1:44" ht="21.75" customHeight="1" x14ac:dyDescent="0.3">
      <c r="A17" s="6" t="s">
        <v>202</v>
      </c>
      <c r="B17" s="6" t="s">
        <v>203</v>
      </c>
      <c r="C17" s="6" t="s">
        <v>291</v>
      </c>
      <c r="D17" s="6" t="s">
        <v>78</v>
      </c>
      <c r="E17" s="6" t="s">
        <v>293</v>
      </c>
      <c r="F17" s="7" t="s">
        <v>125</v>
      </c>
      <c r="G17" s="10"/>
      <c r="H17" s="7" t="s">
        <v>93</v>
      </c>
      <c r="I17" s="7"/>
      <c r="J17" s="10"/>
      <c r="K17" s="6" t="s">
        <v>93</v>
      </c>
      <c r="L17" s="7"/>
      <c r="M17" s="14"/>
      <c r="N17" s="7" t="s">
        <v>93</v>
      </c>
      <c r="O17" s="10"/>
      <c r="P17" s="7" t="s">
        <v>93</v>
      </c>
      <c r="Q17" s="15" t="str">
        <f>IF(P17="oui",MIN(Parametres!$B$4,MAX(Parametres!$B$3,IF(M17="",Parametres!$B$3,ROUND(M17*10%,0)))),"")</f>
        <v/>
      </c>
      <c r="R17" s="7" t="s">
        <v>160</v>
      </c>
      <c r="S17" s="7" t="s">
        <v>93</v>
      </c>
      <c r="T17" s="15" t="str">
        <f>IF(S17="oui",Parametres!$B$5,"")</f>
        <v/>
      </c>
      <c r="U17" s="7" t="s">
        <v>160</v>
      </c>
      <c r="V17" s="15">
        <f t="shared" si="0"/>
        <v>0</v>
      </c>
      <c r="W17" s="15" t="str">
        <f t="shared" si="1"/>
        <v/>
      </c>
      <c r="X17" s="6" t="s">
        <v>93</v>
      </c>
      <c r="Y17" s="7" t="s">
        <v>160</v>
      </c>
      <c r="Z17" s="10"/>
      <c r="AA17" s="6" t="s">
        <v>93</v>
      </c>
      <c r="AB17" s="7" t="s">
        <v>160</v>
      </c>
      <c r="AC17" s="10"/>
      <c r="AD17" s="9" t="str">
        <f t="shared" si="2"/>
        <v>oui</v>
      </c>
      <c r="AE17" s="9" t="str">
        <f t="shared" si="3"/>
        <v>Résidence ou logement non vendable</v>
      </c>
      <c r="AF17" s="7"/>
      <c r="AG17" s="10"/>
      <c r="AH17" s="10"/>
      <c r="AI17" s="7" t="s">
        <v>160</v>
      </c>
      <c r="AJ17" s="10"/>
      <c r="AK17" s="10"/>
      <c r="AL17" s="10"/>
      <c r="AM17" s="11" t="s">
        <v>160</v>
      </c>
      <c r="AN17" s="11" t="s">
        <v>160</v>
      </c>
      <c r="AO17" s="11" t="s">
        <v>160</v>
      </c>
      <c r="AP17" s="11" t="s">
        <v>160</v>
      </c>
      <c r="AQ17" s="11"/>
      <c r="AR17" s="7"/>
    </row>
    <row r="18" spans="1:44" ht="21.75" customHeight="1" x14ac:dyDescent="0.3">
      <c r="A18" s="6" t="s">
        <v>202</v>
      </c>
      <c r="B18" s="6" t="s">
        <v>203</v>
      </c>
      <c r="C18" s="6" t="s">
        <v>297</v>
      </c>
      <c r="D18" s="6" t="s">
        <v>78</v>
      </c>
      <c r="E18" s="6" t="s">
        <v>298</v>
      </c>
      <c r="F18" s="7" t="s">
        <v>125</v>
      </c>
      <c r="G18" s="10"/>
      <c r="H18" s="7" t="s">
        <v>93</v>
      </c>
      <c r="I18" s="7"/>
      <c r="J18" s="10"/>
      <c r="K18" s="6" t="s">
        <v>93</v>
      </c>
      <c r="L18" s="7"/>
      <c r="M18" s="14"/>
      <c r="N18" s="7" t="s">
        <v>93</v>
      </c>
      <c r="O18" s="10"/>
      <c r="P18" s="7" t="s">
        <v>93</v>
      </c>
      <c r="Q18" s="15" t="str">
        <f>IF(P18="oui",MIN(Parametres!$B$4,MAX(Parametres!$B$3,IF(M18="",Parametres!$B$3,ROUND(M18*10%,0)))),"")</f>
        <v/>
      </c>
      <c r="R18" s="7" t="s">
        <v>160</v>
      </c>
      <c r="S18" s="7" t="s">
        <v>93</v>
      </c>
      <c r="T18" s="15" t="str">
        <f>IF(S18="oui",Parametres!$B$5,"")</f>
        <v/>
      </c>
      <c r="U18" s="7" t="s">
        <v>160</v>
      </c>
      <c r="V18" s="15">
        <f t="shared" si="0"/>
        <v>0</v>
      </c>
      <c r="W18" s="15" t="str">
        <f t="shared" si="1"/>
        <v/>
      </c>
      <c r="X18" s="6" t="s">
        <v>93</v>
      </c>
      <c r="Y18" s="7" t="s">
        <v>160</v>
      </c>
      <c r="Z18" s="10"/>
      <c r="AA18" s="6" t="s">
        <v>93</v>
      </c>
      <c r="AB18" s="7" t="s">
        <v>160</v>
      </c>
      <c r="AC18" s="10"/>
      <c r="AD18" s="9" t="str">
        <f t="shared" si="2"/>
        <v>oui</v>
      </c>
      <c r="AE18" s="9" t="str">
        <f t="shared" si="3"/>
        <v>Résidence ou logement non vendable</v>
      </c>
      <c r="AF18" s="7"/>
      <c r="AG18" s="10"/>
      <c r="AH18" s="10"/>
      <c r="AI18" s="7" t="s">
        <v>160</v>
      </c>
      <c r="AJ18" s="10"/>
      <c r="AK18" s="10"/>
      <c r="AL18" s="10"/>
      <c r="AM18" s="11" t="s">
        <v>160</v>
      </c>
      <c r="AN18" s="11" t="s">
        <v>160</v>
      </c>
      <c r="AO18" s="11" t="s">
        <v>160</v>
      </c>
      <c r="AP18" s="11" t="s">
        <v>160</v>
      </c>
      <c r="AQ18" s="11"/>
      <c r="AR18" s="7"/>
    </row>
    <row r="19" spans="1:44" ht="21.75" customHeight="1" x14ac:dyDescent="0.3">
      <c r="A19" s="6" t="s">
        <v>202</v>
      </c>
      <c r="B19" s="6" t="s">
        <v>203</v>
      </c>
      <c r="C19" s="6" t="s">
        <v>303</v>
      </c>
      <c r="D19" s="6" t="s">
        <v>78</v>
      </c>
      <c r="E19" s="6" t="s">
        <v>304</v>
      </c>
      <c r="F19" s="7" t="s">
        <v>125</v>
      </c>
      <c r="G19" s="10"/>
      <c r="H19" s="7" t="s">
        <v>93</v>
      </c>
      <c r="I19" s="7"/>
      <c r="J19" s="10"/>
      <c r="K19" s="6" t="s">
        <v>93</v>
      </c>
      <c r="L19" s="7"/>
      <c r="M19" s="14"/>
      <c r="N19" s="7" t="s">
        <v>93</v>
      </c>
      <c r="O19" s="10"/>
      <c r="P19" s="7" t="s">
        <v>93</v>
      </c>
      <c r="Q19" s="15" t="str">
        <f>IF(P19="oui",MIN(Parametres!$B$4,MAX(Parametres!$B$3,IF(M19="",Parametres!$B$3,ROUND(M19*10%,0)))),"")</f>
        <v/>
      </c>
      <c r="R19" s="7" t="s">
        <v>160</v>
      </c>
      <c r="S19" s="7" t="s">
        <v>93</v>
      </c>
      <c r="T19" s="15" t="str">
        <f>IF(S19="oui",Parametres!$B$5,"")</f>
        <v/>
      </c>
      <c r="U19" s="7" t="s">
        <v>160</v>
      </c>
      <c r="V19" s="15">
        <f t="shared" si="0"/>
        <v>0</v>
      </c>
      <c r="W19" s="15" t="str">
        <f t="shared" si="1"/>
        <v/>
      </c>
      <c r="X19" s="6" t="s">
        <v>93</v>
      </c>
      <c r="Y19" s="7" t="s">
        <v>160</v>
      </c>
      <c r="Z19" s="10"/>
      <c r="AA19" s="6" t="s">
        <v>93</v>
      </c>
      <c r="AB19" s="7" t="s">
        <v>160</v>
      </c>
      <c r="AC19" s="10"/>
      <c r="AD19" s="9" t="str">
        <f t="shared" si="2"/>
        <v>oui</v>
      </c>
      <c r="AE19" s="9" t="str">
        <f t="shared" si="3"/>
        <v>Résidence ou logement non vendable</v>
      </c>
      <c r="AF19" s="7"/>
      <c r="AG19" s="10"/>
      <c r="AH19" s="10"/>
      <c r="AI19" s="7" t="s">
        <v>160</v>
      </c>
      <c r="AJ19" s="10"/>
      <c r="AK19" s="10"/>
      <c r="AL19" s="10"/>
      <c r="AM19" s="11" t="s">
        <v>160</v>
      </c>
      <c r="AN19" s="11" t="s">
        <v>160</v>
      </c>
      <c r="AO19" s="11" t="s">
        <v>160</v>
      </c>
      <c r="AP19" s="11" t="s">
        <v>160</v>
      </c>
      <c r="AQ19" s="11"/>
      <c r="AR19" s="7"/>
    </row>
    <row r="20" spans="1:44" ht="21.75" customHeight="1" x14ac:dyDescent="0.3">
      <c r="A20" s="6" t="s">
        <v>202</v>
      </c>
      <c r="B20" s="6" t="s">
        <v>203</v>
      </c>
      <c r="C20" s="6" t="s">
        <v>309</v>
      </c>
      <c r="D20" s="6" t="s">
        <v>78</v>
      </c>
      <c r="E20" s="6" t="s">
        <v>310</v>
      </c>
      <c r="F20" s="7" t="s">
        <v>125</v>
      </c>
      <c r="G20" s="10"/>
      <c r="H20" s="7" t="s">
        <v>93</v>
      </c>
      <c r="I20" s="7"/>
      <c r="J20" s="10"/>
      <c r="K20" s="6" t="s">
        <v>93</v>
      </c>
      <c r="L20" s="7"/>
      <c r="M20" s="14"/>
      <c r="N20" s="7" t="s">
        <v>93</v>
      </c>
      <c r="O20" s="10"/>
      <c r="P20" s="7" t="s">
        <v>93</v>
      </c>
      <c r="Q20" s="15" t="str">
        <f>IF(P20="oui",MIN(Parametres!$B$4,MAX(Parametres!$B$3,IF(M20="",Parametres!$B$3,ROUND(M20*10%,0)))),"")</f>
        <v/>
      </c>
      <c r="R20" s="7" t="s">
        <v>160</v>
      </c>
      <c r="S20" s="7" t="s">
        <v>93</v>
      </c>
      <c r="T20" s="15" t="str">
        <f>IF(S20="oui",Parametres!$B$5,"")</f>
        <v/>
      </c>
      <c r="U20" s="7" t="s">
        <v>160</v>
      </c>
      <c r="V20" s="15">
        <f t="shared" si="0"/>
        <v>0</v>
      </c>
      <c r="W20" s="15" t="str">
        <f t="shared" si="1"/>
        <v/>
      </c>
      <c r="X20" s="6" t="s">
        <v>93</v>
      </c>
      <c r="Y20" s="7" t="s">
        <v>160</v>
      </c>
      <c r="Z20" s="10"/>
      <c r="AA20" s="6" t="s">
        <v>93</v>
      </c>
      <c r="AB20" s="7" t="s">
        <v>160</v>
      </c>
      <c r="AC20" s="10"/>
      <c r="AD20" s="9" t="str">
        <f t="shared" si="2"/>
        <v>oui</v>
      </c>
      <c r="AE20" s="9" t="str">
        <f t="shared" si="3"/>
        <v>Résidence ou logement non vendable</v>
      </c>
      <c r="AF20" s="7"/>
      <c r="AG20" s="10"/>
      <c r="AH20" s="10"/>
      <c r="AI20" s="7" t="s">
        <v>160</v>
      </c>
      <c r="AJ20" s="10"/>
      <c r="AK20" s="10"/>
      <c r="AL20" s="10"/>
      <c r="AM20" s="11" t="s">
        <v>160</v>
      </c>
      <c r="AN20" s="11" t="s">
        <v>160</v>
      </c>
      <c r="AO20" s="11" t="s">
        <v>160</v>
      </c>
      <c r="AP20" s="11" t="s">
        <v>160</v>
      </c>
      <c r="AQ20" s="11"/>
      <c r="AR20" s="7"/>
    </row>
    <row r="21" spans="1:44" ht="27.6" x14ac:dyDescent="0.3">
      <c r="A21" s="6" t="s">
        <v>202</v>
      </c>
      <c r="B21" s="6" t="s">
        <v>203</v>
      </c>
      <c r="C21" s="6" t="s">
        <v>315</v>
      </c>
      <c r="D21" s="6" t="s">
        <v>78</v>
      </c>
      <c r="E21" s="6" t="s">
        <v>317</v>
      </c>
      <c r="F21" s="7" t="s">
        <v>125</v>
      </c>
      <c r="G21" s="10"/>
      <c r="H21" s="7" t="s">
        <v>93</v>
      </c>
      <c r="I21" s="7"/>
      <c r="J21" s="10"/>
      <c r="K21" s="6" t="s">
        <v>93</v>
      </c>
      <c r="L21" s="7"/>
      <c r="M21" s="14"/>
      <c r="N21" s="7" t="s">
        <v>93</v>
      </c>
      <c r="O21" s="10"/>
      <c r="P21" s="7" t="s">
        <v>93</v>
      </c>
      <c r="Q21" s="15" t="str">
        <f>IF(P21="oui",MIN(Parametres!$B$4,MAX(Parametres!$B$3,IF(M21="",Parametres!$B$3,ROUND(M21*10%,0)))),"")</f>
        <v/>
      </c>
      <c r="R21" s="7" t="s">
        <v>160</v>
      </c>
      <c r="S21" s="7" t="s">
        <v>93</v>
      </c>
      <c r="T21" s="15" t="str">
        <f>IF(S21="oui",Parametres!$B$5,"")</f>
        <v/>
      </c>
      <c r="U21" s="7" t="s">
        <v>160</v>
      </c>
      <c r="V21" s="15">
        <f t="shared" si="0"/>
        <v>0</v>
      </c>
      <c r="W21" s="15" t="str">
        <f t="shared" si="1"/>
        <v/>
      </c>
      <c r="X21" s="6" t="s">
        <v>93</v>
      </c>
      <c r="Y21" s="7" t="s">
        <v>160</v>
      </c>
      <c r="Z21" s="10"/>
      <c r="AA21" s="6" t="s">
        <v>93</v>
      </c>
      <c r="AB21" s="7" t="s">
        <v>160</v>
      </c>
      <c r="AC21" s="10"/>
      <c r="AD21" s="9" t="str">
        <f t="shared" si="2"/>
        <v>oui</v>
      </c>
      <c r="AE21" s="9" t="str">
        <f t="shared" si="3"/>
        <v>Résidence ou logement non vendable</v>
      </c>
      <c r="AF21" s="7"/>
      <c r="AG21" s="10"/>
      <c r="AH21" s="10"/>
      <c r="AI21" s="7" t="s">
        <v>160</v>
      </c>
      <c r="AJ21" s="10"/>
      <c r="AK21" s="10"/>
      <c r="AL21" s="10"/>
      <c r="AM21" s="11" t="s">
        <v>160</v>
      </c>
      <c r="AN21" s="11" t="s">
        <v>160</v>
      </c>
      <c r="AO21" s="11" t="s">
        <v>160</v>
      </c>
      <c r="AP21" s="11" t="s">
        <v>160</v>
      </c>
      <c r="AQ21" s="11"/>
      <c r="AR21" s="7"/>
    </row>
    <row r="22" spans="1:44" ht="27.6" x14ac:dyDescent="0.3">
      <c r="A22" s="6" t="s">
        <v>202</v>
      </c>
      <c r="B22" s="6" t="s">
        <v>203</v>
      </c>
      <c r="C22" s="6" t="s">
        <v>321</v>
      </c>
      <c r="D22" s="6" t="s">
        <v>78</v>
      </c>
      <c r="E22" s="6" t="s">
        <v>322</v>
      </c>
      <c r="F22" s="7" t="s">
        <v>125</v>
      </c>
      <c r="G22" s="10"/>
      <c r="H22" s="7" t="s">
        <v>93</v>
      </c>
      <c r="I22" s="7"/>
      <c r="J22" s="10"/>
      <c r="K22" s="6" t="s">
        <v>93</v>
      </c>
      <c r="L22" s="7"/>
      <c r="M22" s="14"/>
      <c r="N22" s="7" t="s">
        <v>93</v>
      </c>
      <c r="O22" s="10"/>
      <c r="P22" s="7" t="s">
        <v>93</v>
      </c>
      <c r="Q22" s="15" t="str">
        <f>IF(P22="oui",MIN(Parametres!$B$4,MAX(Parametres!$B$3,IF(M22="",Parametres!$B$3,ROUND(M22*10%,0)))),"")</f>
        <v/>
      </c>
      <c r="R22" s="7" t="s">
        <v>160</v>
      </c>
      <c r="S22" s="7" t="s">
        <v>93</v>
      </c>
      <c r="T22" s="15" t="str">
        <f>IF(S22="oui",Parametres!$B$5,"")</f>
        <v/>
      </c>
      <c r="U22" s="7" t="s">
        <v>160</v>
      </c>
      <c r="V22" s="15">
        <f t="shared" si="0"/>
        <v>0</v>
      </c>
      <c r="W22" s="15" t="str">
        <f t="shared" si="1"/>
        <v/>
      </c>
      <c r="X22" s="6" t="s">
        <v>93</v>
      </c>
      <c r="Y22" s="7" t="s">
        <v>160</v>
      </c>
      <c r="Z22" s="10"/>
      <c r="AA22" s="6" t="s">
        <v>93</v>
      </c>
      <c r="AB22" s="7" t="s">
        <v>160</v>
      </c>
      <c r="AC22" s="10"/>
      <c r="AD22" s="9" t="str">
        <f t="shared" si="2"/>
        <v>oui</v>
      </c>
      <c r="AE22" s="9" t="str">
        <f t="shared" si="3"/>
        <v>Résidence ou logement non vendable</v>
      </c>
      <c r="AF22" s="7"/>
      <c r="AG22" s="10"/>
      <c r="AH22" s="10"/>
      <c r="AI22" s="7" t="s">
        <v>160</v>
      </c>
      <c r="AJ22" s="10"/>
      <c r="AK22" s="10"/>
      <c r="AL22" s="10"/>
      <c r="AM22" s="11" t="s">
        <v>160</v>
      </c>
      <c r="AN22" s="11" t="s">
        <v>160</v>
      </c>
      <c r="AO22" s="11" t="s">
        <v>160</v>
      </c>
      <c r="AP22" s="11" t="s">
        <v>160</v>
      </c>
      <c r="AQ22" s="11"/>
      <c r="AR22" s="7"/>
    </row>
    <row r="23" spans="1:44" ht="27.6" x14ac:dyDescent="0.3">
      <c r="A23" s="6" t="s">
        <v>202</v>
      </c>
      <c r="B23" s="6" t="s">
        <v>203</v>
      </c>
      <c r="C23" s="6" t="s">
        <v>328</v>
      </c>
      <c r="D23" s="6" t="s">
        <v>78</v>
      </c>
      <c r="E23" s="6" t="s">
        <v>329</v>
      </c>
      <c r="F23" s="7" t="s">
        <v>125</v>
      </c>
      <c r="G23" s="10"/>
      <c r="H23" s="7" t="s">
        <v>93</v>
      </c>
      <c r="I23" s="7"/>
      <c r="J23" s="10"/>
      <c r="K23" s="6" t="s">
        <v>93</v>
      </c>
      <c r="L23" s="7"/>
      <c r="M23" s="14"/>
      <c r="N23" s="7" t="s">
        <v>93</v>
      </c>
      <c r="O23" s="10"/>
      <c r="P23" s="7" t="s">
        <v>93</v>
      </c>
      <c r="Q23" s="15" t="str">
        <f>IF(P23="oui",MIN(Parametres!$B$4,MAX(Parametres!$B$3,IF(M23="",Parametres!$B$3,ROUND(M23*10%,0)))),"")</f>
        <v/>
      </c>
      <c r="R23" s="7" t="s">
        <v>160</v>
      </c>
      <c r="S23" s="7" t="s">
        <v>93</v>
      </c>
      <c r="T23" s="15" t="str">
        <f>IF(S23="oui",Parametres!$B$5,"")</f>
        <v/>
      </c>
      <c r="U23" s="7" t="s">
        <v>160</v>
      </c>
      <c r="V23" s="15">
        <f t="shared" si="0"/>
        <v>0</v>
      </c>
      <c r="W23" s="15" t="str">
        <f t="shared" si="1"/>
        <v/>
      </c>
      <c r="X23" s="6" t="s">
        <v>93</v>
      </c>
      <c r="Y23" s="7" t="s">
        <v>160</v>
      </c>
      <c r="Z23" s="10"/>
      <c r="AA23" s="6" t="s">
        <v>93</v>
      </c>
      <c r="AB23" s="7" t="s">
        <v>160</v>
      </c>
      <c r="AC23" s="10"/>
      <c r="AD23" s="9" t="str">
        <f t="shared" si="2"/>
        <v>oui</v>
      </c>
      <c r="AE23" s="9" t="str">
        <f t="shared" si="3"/>
        <v>Résidence ou logement non vendable</v>
      </c>
      <c r="AF23" s="7"/>
      <c r="AG23" s="10"/>
      <c r="AH23" s="10"/>
      <c r="AI23" s="7" t="s">
        <v>160</v>
      </c>
      <c r="AJ23" s="10"/>
      <c r="AK23" s="10"/>
      <c r="AL23" s="10"/>
      <c r="AM23" s="11" t="s">
        <v>160</v>
      </c>
      <c r="AN23" s="11" t="s">
        <v>160</v>
      </c>
      <c r="AO23" s="11" t="s">
        <v>160</v>
      </c>
      <c r="AP23" s="11" t="s">
        <v>160</v>
      </c>
      <c r="AQ23" s="11"/>
      <c r="AR23" s="7"/>
    </row>
    <row r="24" spans="1:44" ht="27.6" x14ac:dyDescent="0.3">
      <c r="A24" s="6" t="s">
        <v>202</v>
      </c>
      <c r="B24" s="6" t="s">
        <v>203</v>
      </c>
      <c r="C24" s="6" t="s">
        <v>332</v>
      </c>
      <c r="D24" s="6" t="s">
        <v>78</v>
      </c>
      <c r="E24" s="6" t="s">
        <v>333</v>
      </c>
      <c r="F24" s="7" t="s">
        <v>125</v>
      </c>
      <c r="G24" s="10"/>
      <c r="H24" s="7" t="s">
        <v>93</v>
      </c>
      <c r="I24" s="7"/>
      <c r="J24" s="10"/>
      <c r="K24" s="6" t="s">
        <v>93</v>
      </c>
      <c r="L24" s="7"/>
      <c r="M24" s="14"/>
      <c r="N24" s="7" t="s">
        <v>93</v>
      </c>
      <c r="O24" s="10"/>
      <c r="P24" s="7" t="s">
        <v>93</v>
      </c>
      <c r="Q24" s="15" t="str">
        <f>IF(P24="oui",MIN(Parametres!$B$4,MAX(Parametres!$B$3,IF(M24="",Parametres!$B$3,ROUND(M24*10%,0)))),"")</f>
        <v/>
      </c>
      <c r="R24" s="7" t="s">
        <v>160</v>
      </c>
      <c r="S24" s="7" t="s">
        <v>93</v>
      </c>
      <c r="T24" s="15" t="str">
        <f>IF(S24="oui",Parametres!$B$5,"")</f>
        <v/>
      </c>
      <c r="U24" s="7" t="s">
        <v>160</v>
      </c>
      <c r="V24" s="15">
        <f t="shared" si="0"/>
        <v>0</v>
      </c>
      <c r="W24" s="15" t="str">
        <f t="shared" si="1"/>
        <v/>
      </c>
      <c r="X24" s="6" t="s">
        <v>93</v>
      </c>
      <c r="Y24" s="7" t="s">
        <v>160</v>
      </c>
      <c r="Z24" s="10"/>
      <c r="AA24" s="6" t="s">
        <v>93</v>
      </c>
      <c r="AB24" s="7" t="s">
        <v>160</v>
      </c>
      <c r="AC24" s="10"/>
      <c r="AD24" s="9" t="str">
        <f t="shared" si="2"/>
        <v>oui</v>
      </c>
      <c r="AE24" s="9" t="str">
        <f t="shared" si="3"/>
        <v>Résidence ou logement non vendable</v>
      </c>
      <c r="AF24" s="7"/>
      <c r="AG24" s="10"/>
      <c r="AH24" s="10"/>
      <c r="AI24" s="7" t="s">
        <v>160</v>
      </c>
      <c r="AJ24" s="10"/>
      <c r="AK24" s="10"/>
      <c r="AL24" s="10"/>
      <c r="AM24" s="11" t="s">
        <v>160</v>
      </c>
      <c r="AN24" s="11" t="s">
        <v>160</v>
      </c>
      <c r="AO24" s="11" t="s">
        <v>160</v>
      </c>
      <c r="AP24" s="11" t="s">
        <v>160</v>
      </c>
      <c r="AQ24" s="11"/>
      <c r="AR24" s="7"/>
    </row>
    <row r="25" spans="1:44" ht="27.6" x14ac:dyDescent="0.3">
      <c r="A25" s="6" t="s">
        <v>202</v>
      </c>
      <c r="B25" s="6" t="s">
        <v>203</v>
      </c>
      <c r="C25" s="6" t="s">
        <v>338</v>
      </c>
      <c r="D25" s="6" t="s">
        <v>78</v>
      </c>
      <c r="E25" s="6" t="s">
        <v>339</v>
      </c>
      <c r="F25" s="7" t="s">
        <v>125</v>
      </c>
      <c r="G25" s="10"/>
      <c r="H25" s="7" t="s">
        <v>93</v>
      </c>
      <c r="I25" s="7"/>
      <c r="J25" s="10"/>
      <c r="K25" s="6" t="s">
        <v>93</v>
      </c>
      <c r="L25" s="7"/>
      <c r="M25" s="14"/>
      <c r="N25" s="7" t="s">
        <v>93</v>
      </c>
      <c r="O25" s="10"/>
      <c r="P25" s="7" t="s">
        <v>93</v>
      </c>
      <c r="Q25" s="15" t="str">
        <f>IF(P25="oui",MIN(Parametres!$B$4,MAX(Parametres!$B$3,IF(M25="",Parametres!$B$3,ROUND(M25*10%,0)))),"")</f>
        <v/>
      </c>
      <c r="R25" s="7" t="s">
        <v>160</v>
      </c>
      <c r="S25" s="7" t="s">
        <v>93</v>
      </c>
      <c r="T25" s="15" t="str">
        <f>IF(S25="oui",Parametres!$B$5,"")</f>
        <v/>
      </c>
      <c r="U25" s="7" t="s">
        <v>160</v>
      </c>
      <c r="V25" s="15">
        <f t="shared" si="0"/>
        <v>0</v>
      </c>
      <c r="W25" s="15" t="str">
        <f t="shared" si="1"/>
        <v/>
      </c>
      <c r="X25" s="6" t="s">
        <v>93</v>
      </c>
      <c r="Y25" s="7" t="s">
        <v>160</v>
      </c>
      <c r="Z25" s="10"/>
      <c r="AA25" s="6" t="s">
        <v>93</v>
      </c>
      <c r="AB25" s="7" t="s">
        <v>160</v>
      </c>
      <c r="AC25" s="10"/>
      <c r="AD25" s="9" t="str">
        <f t="shared" si="2"/>
        <v>oui</v>
      </c>
      <c r="AE25" s="9" t="str">
        <f t="shared" si="3"/>
        <v>Résidence ou logement non vendable</v>
      </c>
      <c r="AF25" s="7"/>
      <c r="AG25" s="10"/>
      <c r="AH25" s="10"/>
      <c r="AI25" s="7" t="s">
        <v>160</v>
      </c>
      <c r="AJ25" s="10"/>
      <c r="AK25" s="10"/>
      <c r="AL25" s="10"/>
      <c r="AM25" s="11" t="s">
        <v>160</v>
      </c>
      <c r="AN25" s="11" t="s">
        <v>160</v>
      </c>
      <c r="AO25" s="11" t="s">
        <v>160</v>
      </c>
      <c r="AP25" s="11" t="s">
        <v>160</v>
      </c>
      <c r="AQ25" s="11"/>
      <c r="AR25" s="7"/>
    </row>
    <row r="26" spans="1:44" ht="27.6" x14ac:dyDescent="0.3">
      <c r="A26" s="6" t="s">
        <v>202</v>
      </c>
      <c r="B26" s="6" t="s">
        <v>203</v>
      </c>
      <c r="C26" s="6" t="s">
        <v>342</v>
      </c>
      <c r="D26" s="6" t="s">
        <v>78</v>
      </c>
      <c r="E26" s="6" t="s">
        <v>343</v>
      </c>
      <c r="F26" s="7" t="s">
        <v>125</v>
      </c>
      <c r="G26" s="10"/>
      <c r="H26" s="7" t="s">
        <v>93</v>
      </c>
      <c r="I26" s="7"/>
      <c r="J26" s="10"/>
      <c r="K26" s="6" t="s">
        <v>93</v>
      </c>
      <c r="L26" s="7"/>
      <c r="M26" s="14"/>
      <c r="N26" s="7" t="s">
        <v>93</v>
      </c>
      <c r="O26" s="10"/>
      <c r="P26" s="7" t="s">
        <v>93</v>
      </c>
      <c r="Q26" s="15" t="str">
        <f>IF(P26="oui",MIN(Parametres!$B$4,MAX(Parametres!$B$3,IF(M26="",Parametres!$B$3,ROUND(M26*10%,0)))),"")</f>
        <v/>
      </c>
      <c r="R26" s="7" t="s">
        <v>160</v>
      </c>
      <c r="S26" s="7" t="s">
        <v>93</v>
      </c>
      <c r="T26" s="15" t="str">
        <f>IF(S26="oui",Parametres!$B$5,"")</f>
        <v/>
      </c>
      <c r="U26" s="7" t="s">
        <v>160</v>
      </c>
      <c r="V26" s="15">
        <f t="shared" si="0"/>
        <v>0</v>
      </c>
      <c r="W26" s="15" t="str">
        <f t="shared" si="1"/>
        <v/>
      </c>
      <c r="X26" s="6" t="s">
        <v>93</v>
      </c>
      <c r="Y26" s="7" t="s">
        <v>160</v>
      </c>
      <c r="Z26" s="10"/>
      <c r="AA26" s="6" t="s">
        <v>93</v>
      </c>
      <c r="AB26" s="7" t="s">
        <v>160</v>
      </c>
      <c r="AC26" s="10"/>
      <c r="AD26" s="9" t="str">
        <f t="shared" si="2"/>
        <v>oui</v>
      </c>
      <c r="AE26" s="9" t="str">
        <f t="shared" si="3"/>
        <v>Résidence ou logement non vendable</v>
      </c>
      <c r="AF26" s="7"/>
      <c r="AG26" s="10"/>
      <c r="AH26" s="10"/>
      <c r="AI26" s="7" t="s">
        <v>160</v>
      </c>
      <c r="AJ26" s="10"/>
      <c r="AK26" s="10"/>
      <c r="AL26" s="10"/>
      <c r="AM26" s="11" t="s">
        <v>160</v>
      </c>
      <c r="AN26" s="11" t="s">
        <v>160</v>
      </c>
      <c r="AO26" s="11" t="s">
        <v>160</v>
      </c>
      <c r="AP26" s="11" t="s">
        <v>160</v>
      </c>
      <c r="AQ26" s="11"/>
      <c r="AR26" s="7"/>
    </row>
    <row r="27" spans="1:44" ht="27.6" x14ac:dyDescent="0.3">
      <c r="A27" s="6" t="s">
        <v>202</v>
      </c>
      <c r="B27" s="6" t="s">
        <v>203</v>
      </c>
      <c r="C27" s="6" t="s">
        <v>347</v>
      </c>
      <c r="D27" s="6" t="s">
        <v>78</v>
      </c>
      <c r="E27" s="6" t="s">
        <v>348</v>
      </c>
      <c r="F27" s="7" t="s">
        <v>125</v>
      </c>
      <c r="G27" s="10"/>
      <c r="H27" s="7" t="s">
        <v>93</v>
      </c>
      <c r="I27" s="7"/>
      <c r="J27" s="10"/>
      <c r="K27" s="6" t="s">
        <v>93</v>
      </c>
      <c r="L27" s="7"/>
      <c r="M27" s="14"/>
      <c r="N27" s="7" t="s">
        <v>93</v>
      </c>
      <c r="O27" s="10"/>
      <c r="P27" s="7" t="s">
        <v>93</v>
      </c>
      <c r="Q27" s="15" t="str">
        <f>IF(P27="oui",MIN(Parametres!$B$4,MAX(Parametres!$B$3,IF(M27="",Parametres!$B$3,ROUND(M27*10%,0)))),"")</f>
        <v/>
      </c>
      <c r="R27" s="7" t="s">
        <v>160</v>
      </c>
      <c r="S27" s="7" t="s">
        <v>93</v>
      </c>
      <c r="T27" s="15" t="str">
        <f>IF(S27="oui",Parametres!$B$5,"")</f>
        <v/>
      </c>
      <c r="U27" s="7" t="s">
        <v>160</v>
      </c>
      <c r="V27" s="15">
        <f t="shared" si="0"/>
        <v>0</v>
      </c>
      <c r="W27" s="15" t="str">
        <f t="shared" si="1"/>
        <v/>
      </c>
      <c r="X27" s="6" t="s">
        <v>93</v>
      </c>
      <c r="Y27" s="7" t="s">
        <v>160</v>
      </c>
      <c r="Z27" s="10"/>
      <c r="AA27" s="6" t="s">
        <v>93</v>
      </c>
      <c r="AB27" s="7" t="s">
        <v>160</v>
      </c>
      <c r="AC27" s="10"/>
      <c r="AD27" s="9" t="str">
        <f t="shared" si="2"/>
        <v>oui</v>
      </c>
      <c r="AE27" s="9" t="str">
        <f t="shared" si="3"/>
        <v>Résidence ou logement non vendable</v>
      </c>
      <c r="AF27" s="7"/>
      <c r="AG27" s="10"/>
      <c r="AH27" s="10"/>
      <c r="AI27" s="7" t="s">
        <v>160</v>
      </c>
      <c r="AJ27" s="10"/>
      <c r="AK27" s="10"/>
      <c r="AL27" s="10"/>
      <c r="AM27" s="11" t="s">
        <v>160</v>
      </c>
      <c r="AN27" s="11" t="s">
        <v>160</v>
      </c>
      <c r="AO27" s="11" t="s">
        <v>160</v>
      </c>
      <c r="AP27" s="11" t="s">
        <v>160</v>
      </c>
      <c r="AQ27" s="11"/>
      <c r="AR27" s="7"/>
    </row>
    <row r="28" spans="1:44" ht="27.6" x14ac:dyDescent="0.3">
      <c r="A28" s="6" t="s">
        <v>202</v>
      </c>
      <c r="B28" s="6" t="s">
        <v>203</v>
      </c>
      <c r="C28" s="6" t="s">
        <v>354</v>
      </c>
      <c r="D28" s="6" t="s">
        <v>78</v>
      </c>
      <c r="E28" s="6" t="s">
        <v>355</v>
      </c>
      <c r="F28" s="7" t="s">
        <v>125</v>
      </c>
      <c r="G28" s="10"/>
      <c r="H28" s="7" t="s">
        <v>93</v>
      </c>
      <c r="I28" s="7"/>
      <c r="J28" s="10"/>
      <c r="K28" s="6" t="s">
        <v>93</v>
      </c>
      <c r="L28" s="7"/>
      <c r="M28" s="14"/>
      <c r="N28" s="7" t="s">
        <v>93</v>
      </c>
      <c r="O28" s="10"/>
      <c r="P28" s="7" t="s">
        <v>93</v>
      </c>
      <c r="Q28" s="15" t="str">
        <f>IF(P28="oui",MIN(Parametres!$B$4,MAX(Parametres!$B$3,IF(M28="",Parametres!$B$3,ROUND(M28*10%,0)))),"")</f>
        <v/>
      </c>
      <c r="R28" s="7" t="s">
        <v>160</v>
      </c>
      <c r="S28" s="7" t="s">
        <v>93</v>
      </c>
      <c r="T28" s="15" t="str">
        <f>IF(S28="oui",Parametres!$B$5,"")</f>
        <v/>
      </c>
      <c r="U28" s="7" t="s">
        <v>160</v>
      </c>
      <c r="V28" s="15">
        <f t="shared" si="0"/>
        <v>0</v>
      </c>
      <c r="W28" s="15" t="str">
        <f t="shared" si="1"/>
        <v/>
      </c>
      <c r="X28" s="6" t="s">
        <v>93</v>
      </c>
      <c r="Y28" s="7" t="s">
        <v>160</v>
      </c>
      <c r="Z28" s="10"/>
      <c r="AA28" s="6" t="s">
        <v>93</v>
      </c>
      <c r="AB28" s="7" t="s">
        <v>160</v>
      </c>
      <c r="AC28" s="10"/>
      <c r="AD28" s="9" t="str">
        <f t="shared" si="2"/>
        <v>oui</v>
      </c>
      <c r="AE28" s="9" t="str">
        <f t="shared" si="3"/>
        <v>Résidence ou logement non vendable</v>
      </c>
      <c r="AF28" s="7"/>
      <c r="AG28" s="10"/>
      <c r="AH28" s="10"/>
      <c r="AI28" s="7" t="s">
        <v>160</v>
      </c>
      <c r="AJ28" s="10"/>
      <c r="AK28" s="10"/>
      <c r="AL28" s="10"/>
      <c r="AM28" s="11" t="s">
        <v>160</v>
      </c>
      <c r="AN28" s="11" t="s">
        <v>160</v>
      </c>
      <c r="AO28" s="11" t="s">
        <v>160</v>
      </c>
      <c r="AP28" s="11" t="s">
        <v>160</v>
      </c>
      <c r="AQ28" s="11"/>
      <c r="AR28" s="7"/>
    </row>
    <row r="29" spans="1:44" ht="27.6" x14ac:dyDescent="0.3">
      <c r="A29" s="6" t="s">
        <v>202</v>
      </c>
      <c r="B29" s="6" t="s">
        <v>203</v>
      </c>
      <c r="C29" s="6" t="s">
        <v>361</v>
      </c>
      <c r="D29" s="6" t="s">
        <v>78</v>
      </c>
      <c r="E29" s="6" t="s">
        <v>362</v>
      </c>
      <c r="F29" s="7" t="s">
        <v>125</v>
      </c>
      <c r="G29" s="10"/>
      <c r="H29" s="7" t="s">
        <v>93</v>
      </c>
      <c r="I29" s="7"/>
      <c r="J29" s="10"/>
      <c r="K29" s="6" t="s">
        <v>93</v>
      </c>
      <c r="L29" s="7"/>
      <c r="M29" s="14"/>
      <c r="N29" s="7" t="s">
        <v>93</v>
      </c>
      <c r="O29" s="10"/>
      <c r="P29" s="7" t="s">
        <v>93</v>
      </c>
      <c r="Q29" s="15" t="str">
        <f>IF(P29="oui",MIN(Parametres!$B$4,MAX(Parametres!$B$3,IF(M29="",Parametres!$B$3,ROUND(M29*10%,0)))),"")</f>
        <v/>
      </c>
      <c r="R29" s="7" t="s">
        <v>160</v>
      </c>
      <c r="S29" s="7" t="s">
        <v>93</v>
      </c>
      <c r="T29" s="15" t="str">
        <f>IF(S29="oui",Parametres!$B$5,"")</f>
        <v/>
      </c>
      <c r="U29" s="7" t="s">
        <v>160</v>
      </c>
      <c r="V29" s="15">
        <f t="shared" si="0"/>
        <v>0</v>
      </c>
      <c r="W29" s="15" t="str">
        <f t="shared" si="1"/>
        <v/>
      </c>
      <c r="X29" s="6" t="s">
        <v>93</v>
      </c>
      <c r="Y29" s="7" t="s">
        <v>160</v>
      </c>
      <c r="Z29" s="10"/>
      <c r="AA29" s="6" t="s">
        <v>93</v>
      </c>
      <c r="AB29" s="7" t="s">
        <v>160</v>
      </c>
      <c r="AC29" s="10"/>
      <c r="AD29" s="9" t="str">
        <f t="shared" si="2"/>
        <v>oui</v>
      </c>
      <c r="AE29" s="9" t="str">
        <f t="shared" si="3"/>
        <v>Résidence ou logement non vendable</v>
      </c>
      <c r="AF29" s="7"/>
      <c r="AG29" s="10"/>
      <c r="AH29" s="10"/>
      <c r="AI29" s="7" t="s">
        <v>160</v>
      </c>
      <c r="AJ29" s="10"/>
      <c r="AK29" s="10"/>
      <c r="AL29" s="10"/>
      <c r="AM29" s="11" t="s">
        <v>160</v>
      </c>
      <c r="AN29" s="11" t="s">
        <v>160</v>
      </c>
      <c r="AO29" s="11" t="s">
        <v>160</v>
      </c>
      <c r="AP29" s="11" t="s">
        <v>160</v>
      </c>
      <c r="AQ29" s="11"/>
      <c r="AR29" s="7"/>
    </row>
    <row r="30" spans="1:44" ht="27.6" x14ac:dyDescent="0.3">
      <c r="A30" s="6" t="s">
        <v>202</v>
      </c>
      <c r="B30" s="6" t="s">
        <v>203</v>
      </c>
      <c r="C30" s="6" t="s">
        <v>365</v>
      </c>
      <c r="D30" s="6" t="s">
        <v>78</v>
      </c>
      <c r="E30" s="6" t="s">
        <v>366</v>
      </c>
      <c r="F30" s="7" t="s">
        <v>125</v>
      </c>
      <c r="G30" s="10"/>
      <c r="H30" s="7" t="s">
        <v>93</v>
      </c>
      <c r="I30" s="7"/>
      <c r="J30" s="10"/>
      <c r="K30" s="6" t="s">
        <v>93</v>
      </c>
      <c r="L30" s="7"/>
      <c r="M30" s="14"/>
      <c r="N30" s="7" t="s">
        <v>93</v>
      </c>
      <c r="O30" s="10"/>
      <c r="P30" s="7" t="s">
        <v>93</v>
      </c>
      <c r="Q30" s="15" t="str">
        <f>IF(P30="oui",MIN(Parametres!$B$4,MAX(Parametres!$B$3,IF(M30="",Parametres!$B$3,ROUND(M30*10%,0)))),"")</f>
        <v/>
      </c>
      <c r="R30" s="7" t="s">
        <v>160</v>
      </c>
      <c r="S30" s="7" t="s">
        <v>93</v>
      </c>
      <c r="T30" s="15" t="str">
        <f>IF(S30="oui",Parametres!$B$5,"")</f>
        <v/>
      </c>
      <c r="U30" s="7" t="s">
        <v>160</v>
      </c>
      <c r="V30" s="15">
        <f t="shared" si="0"/>
        <v>0</v>
      </c>
      <c r="W30" s="15" t="str">
        <f t="shared" si="1"/>
        <v/>
      </c>
      <c r="X30" s="6" t="s">
        <v>93</v>
      </c>
      <c r="Y30" s="7" t="s">
        <v>160</v>
      </c>
      <c r="Z30" s="10"/>
      <c r="AA30" s="6" t="s">
        <v>93</v>
      </c>
      <c r="AB30" s="7" t="s">
        <v>160</v>
      </c>
      <c r="AC30" s="10"/>
      <c r="AD30" s="9" t="str">
        <f t="shared" si="2"/>
        <v>oui</v>
      </c>
      <c r="AE30" s="9" t="str">
        <f t="shared" si="3"/>
        <v>Résidence ou logement non vendable</v>
      </c>
      <c r="AF30" s="7"/>
      <c r="AG30" s="10"/>
      <c r="AH30" s="10"/>
      <c r="AI30" s="7" t="s">
        <v>160</v>
      </c>
      <c r="AJ30" s="10"/>
      <c r="AK30" s="10"/>
      <c r="AL30" s="10"/>
      <c r="AM30" s="11" t="s">
        <v>160</v>
      </c>
      <c r="AN30" s="11" t="s">
        <v>160</v>
      </c>
      <c r="AO30" s="11" t="s">
        <v>160</v>
      </c>
      <c r="AP30" s="11" t="s">
        <v>160</v>
      </c>
      <c r="AQ30" s="11"/>
      <c r="AR30" s="7"/>
    </row>
    <row r="31" spans="1:44" ht="27.6" x14ac:dyDescent="0.3">
      <c r="A31" s="6" t="s">
        <v>202</v>
      </c>
      <c r="B31" s="6" t="s">
        <v>203</v>
      </c>
      <c r="C31" s="6" t="s">
        <v>370</v>
      </c>
      <c r="D31" s="6" t="s">
        <v>78</v>
      </c>
      <c r="E31" s="6" t="s">
        <v>371</v>
      </c>
      <c r="F31" s="7" t="s">
        <v>125</v>
      </c>
      <c r="G31" s="10"/>
      <c r="H31" s="7" t="s">
        <v>93</v>
      </c>
      <c r="I31" s="7"/>
      <c r="J31" s="10"/>
      <c r="K31" s="6" t="s">
        <v>93</v>
      </c>
      <c r="L31" s="7"/>
      <c r="M31" s="14"/>
      <c r="N31" s="7" t="s">
        <v>93</v>
      </c>
      <c r="O31" s="10"/>
      <c r="P31" s="7" t="s">
        <v>93</v>
      </c>
      <c r="Q31" s="15" t="str">
        <f>IF(P31="oui",MIN(Parametres!$B$4,MAX(Parametres!$B$3,IF(M31="",Parametres!$B$3,ROUND(M31*10%,0)))),"")</f>
        <v/>
      </c>
      <c r="R31" s="7" t="s">
        <v>160</v>
      </c>
      <c r="S31" s="7" t="s">
        <v>93</v>
      </c>
      <c r="T31" s="15" t="str">
        <f>IF(S31="oui",Parametres!$B$5,"")</f>
        <v/>
      </c>
      <c r="U31" s="7" t="s">
        <v>160</v>
      </c>
      <c r="V31" s="15">
        <f t="shared" si="0"/>
        <v>0</v>
      </c>
      <c r="W31" s="15" t="str">
        <f t="shared" si="1"/>
        <v/>
      </c>
      <c r="X31" s="6" t="s">
        <v>93</v>
      </c>
      <c r="Y31" s="7" t="s">
        <v>160</v>
      </c>
      <c r="Z31" s="10"/>
      <c r="AA31" s="6" t="s">
        <v>93</v>
      </c>
      <c r="AB31" s="7" t="s">
        <v>160</v>
      </c>
      <c r="AC31" s="10"/>
      <c r="AD31" s="9" t="str">
        <f t="shared" si="2"/>
        <v>oui</v>
      </c>
      <c r="AE31" s="9" t="str">
        <f t="shared" si="3"/>
        <v>Résidence ou logement non vendable</v>
      </c>
      <c r="AF31" s="7"/>
      <c r="AG31" s="10"/>
      <c r="AH31" s="10"/>
      <c r="AI31" s="7" t="s">
        <v>160</v>
      </c>
      <c r="AJ31" s="10"/>
      <c r="AK31" s="10"/>
      <c r="AL31" s="10"/>
      <c r="AM31" s="11" t="s">
        <v>160</v>
      </c>
      <c r="AN31" s="11" t="s">
        <v>160</v>
      </c>
      <c r="AO31" s="11" t="s">
        <v>160</v>
      </c>
      <c r="AP31" s="11" t="s">
        <v>160</v>
      </c>
      <c r="AQ31" s="11"/>
      <c r="AR31" s="7"/>
    </row>
    <row r="32" spans="1:44" ht="14.4" x14ac:dyDescent="0.3">
      <c r="A32" s="6" t="s">
        <v>202</v>
      </c>
      <c r="B32" s="6" t="s">
        <v>375</v>
      </c>
      <c r="C32" s="6" t="s">
        <v>376</v>
      </c>
      <c r="D32" s="6" t="s">
        <v>377</v>
      </c>
      <c r="E32" s="6" t="s">
        <v>378</v>
      </c>
      <c r="F32" s="7" t="s">
        <v>125</v>
      </c>
      <c r="G32" s="10"/>
      <c r="H32" s="7" t="s">
        <v>93</v>
      </c>
      <c r="I32" s="7"/>
      <c r="J32" s="10"/>
      <c r="K32" s="6" t="s">
        <v>90</v>
      </c>
      <c r="L32" s="7"/>
      <c r="M32" s="14"/>
      <c r="N32" s="7" t="s">
        <v>93</v>
      </c>
      <c r="O32" s="10"/>
      <c r="P32" s="7" t="s">
        <v>90</v>
      </c>
      <c r="Q32" s="15">
        <f>IF(P32="oui",MIN(Parametres!$B$4,MAX(Parametres!$B$3,IF(M32="",Parametres!$B$3,ROUND(M32*10%,0)))),"")</f>
        <v>0</v>
      </c>
      <c r="R32" s="7" t="s">
        <v>134</v>
      </c>
      <c r="S32" s="7" t="s">
        <v>90</v>
      </c>
      <c r="T32" s="15">
        <f>IF(S32="oui",Parametres!$B$5,"")</f>
        <v>500</v>
      </c>
      <c r="U32" s="7" t="s">
        <v>134</v>
      </c>
      <c r="V32" s="15">
        <f t="shared" si="0"/>
        <v>500</v>
      </c>
      <c r="W32" s="15" t="str">
        <f t="shared" si="1"/>
        <v/>
      </c>
      <c r="X32" s="6" t="s">
        <v>90</v>
      </c>
      <c r="Y32" s="7" t="s">
        <v>133</v>
      </c>
      <c r="Z32" s="10"/>
      <c r="AA32" s="6" t="s">
        <v>93</v>
      </c>
      <c r="AB32" s="7" t="s">
        <v>160</v>
      </c>
      <c r="AC32" s="10"/>
      <c r="AD32" s="9" t="str">
        <f t="shared" si="2"/>
        <v>oui</v>
      </c>
      <c r="AE32" s="9" t="str">
        <f t="shared" si="3"/>
        <v>TAE manquant</v>
      </c>
      <c r="AF32" s="7"/>
      <c r="AG32" s="10"/>
      <c r="AH32" s="10"/>
      <c r="AI32" s="7" t="s">
        <v>160</v>
      </c>
      <c r="AJ32" s="10"/>
      <c r="AK32" s="10"/>
      <c r="AL32" s="10"/>
      <c r="AM32" s="11" t="s">
        <v>131</v>
      </c>
      <c r="AN32" s="11" t="s">
        <v>131</v>
      </c>
      <c r="AO32" s="11" t="s">
        <v>131</v>
      </c>
      <c r="AP32" s="11" t="s">
        <v>131</v>
      </c>
      <c r="AQ32" s="11"/>
      <c r="AR32" s="7"/>
    </row>
    <row r="33" spans="1:44" ht="14.4" x14ac:dyDescent="0.3">
      <c r="A33" s="6" t="s">
        <v>202</v>
      </c>
      <c r="B33" s="6" t="s">
        <v>375</v>
      </c>
      <c r="C33" s="6" t="s">
        <v>384</v>
      </c>
      <c r="D33" s="6" t="s">
        <v>377</v>
      </c>
      <c r="E33" s="6" t="s">
        <v>385</v>
      </c>
      <c r="F33" s="7" t="s">
        <v>125</v>
      </c>
      <c r="G33" s="10"/>
      <c r="H33" s="7" t="s">
        <v>93</v>
      </c>
      <c r="I33" s="7"/>
      <c r="J33" s="10"/>
      <c r="K33" s="6" t="s">
        <v>90</v>
      </c>
      <c r="L33" s="7"/>
      <c r="M33" s="14"/>
      <c r="N33" s="7" t="s">
        <v>93</v>
      </c>
      <c r="O33" s="10"/>
      <c r="P33" s="7" t="s">
        <v>90</v>
      </c>
      <c r="Q33" s="15">
        <f>IF(P33="oui",MIN(Parametres!$B$4,MAX(Parametres!$B$3,IF(M33="",Parametres!$B$3,ROUND(M33*10%,0)))),"")</f>
        <v>0</v>
      </c>
      <c r="R33" s="7" t="s">
        <v>134</v>
      </c>
      <c r="S33" s="7" t="s">
        <v>90</v>
      </c>
      <c r="T33" s="15">
        <f>IF(S33="oui",Parametres!$B$5,"")</f>
        <v>500</v>
      </c>
      <c r="U33" s="7" t="s">
        <v>134</v>
      </c>
      <c r="V33" s="15">
        <f t="shared" si="0"/>
        <v>500</v>
      </c>
      <c r="W33" s="15" t="str">
        <f t="shared" si="1"/>
        <v/>
      </c>
      <c r="X33" s="6" t="s">
        <v>90</v>
      </c>
      <c r="Y33" s="7" t="s">
        <v>133</v>
      </c>
      <c r="Z33" s="10"/>
      <c r="AA33" s="6" t="s">
        <v>93</v>
      </c>
      <c r="AB33" s="7" t="s">
        <v>160</v>
      </c>
      <c r="AC33" s="10"/>
      <c r="AD33" s="9" t="str">
        <f t="shared" si="2"/>
        <v>oui</v>
      </c>
      <c r="AE33" s="9" t="str">
        <f t="shared" si="3"/>
        <v>TAE manquant</v>
      </c>
      <c r="AF33" s="7"/>
      <c r="AG33" s="10"/>
      <c r="AH33" s="10"/>
      <c r="AI33" s="7" t="s">
        <v>160</v>
      </c>
      <c r="AJ33" s="10"/>
      <c r="AK33" s="10"/>
      <c r="AL33" s="10"/>
      <c r="AM33" s="11" t="s">
        <v>131</v>
      </c>
      <c r="AN33" s="11" t="s">
        <v>131</v>
      </c>
      <c r="AO33" s="11" t="s">
        <v>131</v>
      </c>
      <c r="AP33" s="11" t="s">
        <v>131</v>
      </c>
      <c r="AQ33" s="11"/>
      <c r="AR33" s="7"/>
    </row>
    <row r="34" spans="1:44" ht="14.4" x14ac:dyDescent="0.3">
      <c r="A34" s="6" t="s">
        <v>202</v>
      </c>
      <c r="B34" s="6" t="s">
        <v>375</v>
      </c>
      <c r="C34" s="6" t="s">
        <v>390</v>
      </c>
      <c r="D34" s="6" t="s">
        <v>377</v>
      </c>
      <c r="E34" s="6" t="s">
        <v>391</v>
      </c>
      <c r="F34" s="7" t="s">
        <v>125</v>
      </c>
      <c r="G34" s="10"/>
      <c r="H34" s="7" t="s">
        <v>93</v>
      </c>
      <c r="I34" s="7"/>
      <c r="J34" s="10"/>
      <c r="K34" s="6" t="s">
        <v>90</v>
      </c>
      <c r="L34" s="7"/>
      <c r="M34" s="14"/>
      <c r="N34" s="7" t="s">
        <v>93</v>
      </c>
      <c r="O34" s="10"/>
      <c r="P34" s="7" t="s">
        <v>90</v>
      </c>
      <c r="Q34" s="15">
        <f>IF(P34="oui",MIN(Parametres!$B$4,MAX(Parametres!$B$3,IF(M34="",Parametres!$B$3,ROUND(M34*10%,0)))),"")</f>
        <v>0</v>
      </c>
      <c r="R34" s="7" t="s">
        <v>134</v>
      </c>
      <c r="S34" s="7" t="s">
        <v>90</v>
      </c>
      <c r="T34" s="15">
        <f>IF(S34="oui",Parametres!$B$5,"")</f>
        <v>500</v>
      </c>
      <c r="U34" s="7" t="s">
        <v>134</v>
      </c>
      <c r="V34" s="15">
        <f t="shared" si="0"/>
        <v>500</v>
      </c>
      <c r="W34" s="15" t="str">
        <f t="shared" si="1"/>
        <v/>
      </c>
      <c r="X34" s="6" t="s">
        <v>90</v>
      </c>
      <c r="Y34" s="7" t="s">
        <v>133</v>
      </c>
      <c r="Z34" s="10"/>
      <c r="AA34" s="6" t="s">
        <v>93</v>
      </c>
      <c r="AB34" s="7" t="s">
        <v>160</v>
      </c>
      <c r="AC34" s="10"/>
      <c r="AD34" s="9" t="str">
        <f t="shared" si="2"/>
        <v>oui</v>
      </c>
      <c r="AE34" s="9" t="str">
        <f t="shared" si="3"/>
        <v>TAE manquant</v>
      </c>
      <c r="AF34" s="7"/>
      <c r="AG34" s="10"/>
      <c r="AH34" s="10"/>
      <c r="AI34" s="7" t="s">
        <v>160</v>
      </c>
      <c r="AJ34" s="10"/>
      <c r="AK34" s="10"/>
      <c r="AL34" s="10"/>
      <c r="AM34" s="11" t="s">
        <v>131</v>
      </c>
      <c r="AN34" s="11" t="s">
        <v>131</v>
      </c>
      <c r="AO34" s="11" t="s">
        <v>131</v>
      </c>
      <c r="AP34" s="11" t="s">
        <v>131</v>
      </c>
      <c r="AQ34" s="11"/>
      <c r="AR34" s="7"/>
    </row>
    <row r="35" spans="1:44" ht="14.4" x14ac:dyDescent="0.3">
      <c r="A35" s="6" t="s">
        <v>292</v>
      </c>
      <c r="B35" s="6" t="s">
        <v>395</v>
      </c>
      <c r="C35" s="6" t="s">
        <v>396</v>
      </c>
      <c r="D35" s="6" t="s">
        <v>397</v>
      </c>
      <c r="E35" s="6" t="s">
        <v>398</v>
      </c>
      <c r="F35" s="7" t="s">
        <v>125</v>
      </c>
      <c r="G35" s="10"/>
      <c r="H35" s="7" t="s">
        <v>93</v>
      </c>
      <c r="I35" s="7"/>
      <c r="J35" s="10"/>
      <c r="K35" s="6" t="s">
        <v>90</v>
      </c>
      <c r="L35" s="7"/>
      <c r="M35" s="14"/>
      <c r="N35" s="7" t="s">
        <v>93</v>
      </c>
      <c r="O35" s="10"/>
      <c r="P35" s="7" t="s">
        <v>90</v>
      </c>
      <c r="Q35" s="15">
        <f>IF(P35="oui",MIN(Parametres!$B$4,MAX(Parametres!$B$3,IF(M35="",Parametres!$B$3,ROUND(M35*10%,0)))),"")</f>
        <v>0</v>
      </c>
      <c r="R35" s="7" t="s">
        <v>134</v>
      </c>
      <c r="S35" s="7" t="s">
        <v>90</v>
      </c>
      <c r="T35" s="15">
        <f>IF(S35="oui",Parametres!$B$5,"")</f>
        <v>500</v>
      </c>
      <c r="U35" s="7" t="s">
        <v>134</v>
      </c>
      <c r="V35" s="15">
        <f t="shared" si="0"/>
        <v>500</v>
      </c>
      <c r="W35" s="15" t="str">
        <f t="shared" si="1"/>
        <v/>
      </c>
      <c r="X35" s="6" t="s">
        <v>90</v>
      </c>
      <c r="Y35" s="7" t="s">
        <v>133</v>
      </c>
      <c r="Z35" s="10"/>
      <c r="AA35" s="6" t="s">
        <v>93</v>
      </c>
      <c r="AB35" s="7" t="s">
        <v>160</v>
      </c>
      <c r="AC35" s="10"/>
      <c r="AD35" s="9" t="str">
        <f t="shared" si="2"/>
        <v>oui</v>
      </c>
      <c r="AE35" s="9" t="str">
        <f t="shared" si="3"/>
        <v>TAE manquant</v>
      </c>
      <c r="AF35" s="7"/>
      <c r="AG35" s="10"/>
      <c r="AH35" s="10"/>
      <c r="AI35" s="7" t="s">
        <v>160</v>
      </c>
      <c r="AJ35" s="10"/>
      <c r="AK35" s="10"/>
      <c r="AL35" s="10"/>
      <c r="AM35" s="11" t="s">
        <v>131</v>
      </c>
      <c r="AN35" s="11" t="s">
        <v>131</v>
      </c>
      <c r="AO35" s="11" t="s">
        <v>131</v>
      </c>
      <c r="AP35" s="11" t="s">
        <v>131</v>
      </c>
      <c r="AQ35" s="11"/>
      <c r="AR35" s="7"/>
    </row>
    <row r="36" spans="1:44" ht="14.4" x14ac:dyDescent="0.3">
      <c r="A36" s="6" t="s">
        <v>292</v>
      </c>
      <c r="B36" s="6" t="s">
        <v>395</v>
      </c>
      <c r="C36" s="6" t="s">
        <v>404</v>
      </c>
      <c r="D36" s="6" t="s">
        <v>397</v>
      </c>
      <c r="E36" s="6" t="s">
        <v>405</v>
      </c>
      <c r="F36" s="7" t="s">
        <v>125</v>
      </c>
      <c r="G36" s="10"/>
      <c r="H36" s="7" t="s">
        <v>93</v>
      </c>
      <c r="I36" s="7"/>
      <c r="J36" s="10"/>
      <c r="K36" s="6" t="s">
        <v>90</v>
      </c>
      <c r="L36" s="7"/>
      <c r="M36" s="14"/>
      <c r="N36" s="7" t="s">
        <v>93</v>
      </c>
      <c r="O36" s="10"/>
      <c r="P36" s="7" t="s">
        <v>90</v>
      </c>
      <c r="Q36" s="15">
        <f>IF(P36="oui",MIN(Parametres!$B$4,MAX(Parametres!$B$3,IF(M36="",Parametres!$B$3,ROUND(M36*10%,0)))),"")</f>
        <v>0</v>
      </c>
      <c r="R36" s="7" t="s">
        <v>134</v>
      </c>
      <c r="S36" s="7" t="s">
        <v>90</v>
      </c>
      <c r="T36" s="15">
        <f>IF(S36="oui",Parametres!$B$5,"")</f>
        <v>500</v>
      </c>
      <c r="U36" s="7" t="s">
        <v>134</v>
      </c>
      <c r="V36" s="15">
        <f t="shared" si="0"/>
        <v>500</v>
      </c>
      <c r="W36" s="15" t="str">
        <f t="shared" si="1"/>
        <v/>
      </c>
      <c r="X36" s="6" t="s">
        <v>90</v>
      </c>
      <c r="Y36" s="7" t="s">
        <v>133</v>
      </c>
      <c r="Z36" s="10"/>
      <c r="AA36" s="6" t="s">
        <v>93</v>
      </c>
      <c r="AB36" s="7" t="s">
        <v>160</v>
      </c>
      <c r="AC36" s="10"/>
      <c r="AD36" s="9" t="str">
        <f t="shared" si="2"/>
        <v>oui</v>
      </c>
      <c r="AE36" s="9" t="str">
        <f t="shared" si="3"/>
        <v>TAE manquant</v>
      </c>
      <c r="AF36" s="7"/>
      <c r="AG36" s="10"/>
      <c r="AH36" s="10"/>
      <c r="AI36" s="7" t="s">
        <v>160</v>
      </c>
      <c r="AJ36" s="10"/>
      <c r="AK36" s="10"/>
      <c r="AL36" s="10"/>
      <c r="AM36" s="11" t="s">
        <v>131</v>
      </c>
      <c r="AN36" s="11" t="s">
        <v>131</v>
      </c>
      <c r="AO36" s="11" t="s">
        <v>131</v>
      </c>
      <c r="AP36" s="11" t="s">
        <v>131</v>
      </c>
      <c r="AQ36" s="11"/>
      <c r="AR36" s="7"/>
    </row>
    <row r="37" spans="1:44" ht="14.4" x14ac:dyDescent="0.3">
      <c r="A37" s="6" t="s">
        <v>292</v>
      </c>
      <c r="B37" s="6" t="s">
        <v>395</v>
      </c>
      <c r="C37" s="6" t="s">
        <v>409</v>
      </c>
      <c r="D37" s="6" t="s">
        <v>397</v>
      </c>
      <c r="E37" s="6" t="s">
        <v>410</v>
      </c>
      <c r="F37" s="7" t="s">
        <v>125</v>
      </c>
      <c r="G37" s="10"/>
      <c r="H37" s="7" t="s">
        <v>93</v>
      </c>
      <c r="I37" s="7"/>
      <c r="J37" s="10"/>
      <c r="K37" s="6" t="s">
        <v>90</v>
      </c>
      <c r="L37" s="7"/>
      <c r="M37" s="14"/>
      <c r="N37" s="7" t="s">
        <v>93</v>
      </c>
      <c r="O37" s="10"/>
      <c r="P37" s="7" t="s">
        <v>90</v>
      </c>
      <c r="Q37" s="15">
        <f>IF(P37="oui",MIN(Parametres!$B$4,MAX(Parametres!$B$3,IF(M37="",Parametres!$B$3,ROUND(M37*10%,0)))),"")</f>
        <v>0</v>
      </c>
      <c r="R37" s="7" t="s">
        <v>134</v>
      </c>
      <c r="S37" s="7" t="s">
        <v>90</v>
      </c>
      <c r="T37" s="15">
        <f>IF(S37="oui",Parametres!$B$5,"")</f>
        <v>500</v>
      </c>
      <c r="U37" s="7" t="s">
        <v>134</v>
      </c>
      <c r="V37" s="15">
        <f t="shared" si="0"/>
        <v>500</v>
      </c>
      <c r="W37" s="15" t="str">
        <f t="shared" si="1"/>
        <v/>
      </c>
      <c r="X37" s="6" t="s">
        <v>90</v>
      </c>
      <c r="Y37" s="7" t="s">
        <v>133</v>
      </c>
      <c r="Z37" s="10"/>
      <c r="AA37" s="6" t="s">
        <v>93</v>
      </c>
      <c r="AB37" s="7" t="s">
        <v>160</v>
      </c>
      <c r="AC37" s="10"/>
      <c r="AD37" s="9" t="str">
        <f t="shared" si="2"/>
        <v>oui</v>
      </c>
      <c r="AE37" s="9" t="str">
        <f t="shared" si="3"/>
        <v>TAE manquant</v>
      </c>
      <c r="AF37" s="7"/>
      <c r="AG37" s="10"/>
      <c r="AH37" s="10"/>
      <c r="AI37" s="7" t="s">
        <v>160</v>
      </c>
      <c r="AJ37" s="10"/>
      <c r="AK37" s="10"/>
      <c r="AL37" s="10"/>
      <c r="AM37" s="11" t="s">
        <v>131</v>
      </c>
      <c r="AN37" s="11" t="s">
        <v>131</v>
      </c>
      <c r="AO37" s="11" t="s">
        <v>131</v>
      </c>
      <c r="AP37" s="11" t="s">
        <v>131</v>
      </c>
      <c r="AQ37" s="11"/>
      <c r="AR37" s="7"/>
    </row>
    <row r="38" spans="1:44" ht="14.4" x14ac:dyDescent="0.3">
      <c r="A38" s="6" t="s">
        <v>292</v>
      </c>
      <c r="B38" s="6" t="s">
        <v>395</v>
      </c>
      <c r="C38" s="6" t="s">
        <v>414</v>
      </c>
      <c r="D38" s="6" t="s">
        <v>397</v>
      </c>
      <c r="E38" s="6" t="s">
        <v>415</v>
      </c>
      <c r="F38" s="7" t="s">
        <v>125</v>
      </c>
      <c r="G38" s="10"/>
      <c r="H38" s="7" t="s">
        <v>93</v>
      </c>
      <c r="I38" s="7"/>
      <c r="J38" s="10"/>
      <c r="K38" s="6" t="s">
        <v>90</v>
      </c>
      <c r="L38" s="7"/>
      <c r="M38" s="14"/>
      <c r="N38" s="7" t="s">
        <v>93</v>
      </c>
      <c r="O38" s="10"/>
      <c r="P38" s="7" t="s">
        <v>90</v>
      </c>
      <c r="Q38" s="15">
        <f>IF(P38="oui",MIN(Parametres!$B$4,MAX(Parametres!$B$3,IF(M38="",Parametres!$B$3,ROUND(M38*10%,0)))),"")</f>
        <v>0</v>
      </c>
      <c r="R38" s="7" t="s">
        <v>134</v>
      </c>
      <c r="S38" s="7" t="s">
        <v>90</v>
      </c>
      <c r="T38" s="15">
        <f>IF(S38="oui",Parametres!$B$5,"")</f>
        <v>500</v>
      </c>
      <c r="U38" s="7" t="s">
        <v>134</v>
      </c>
      <c r="V38" s="15">
        <f t="shared" si="0"/>
        <v>500</v>
      </c>
      <c r="W38" s="15" t="str">
        <f t="shared" si="1"/>
        <v/>
      </c>
      <c r="X38" s="6" t="s">
        <v>90</v>
      </c>
      <c r="Y38" s="7" t="s">
        <v>133</v>
      </c>
      <c r="Z38" s="10"/>
      <c r="AA38" s="6" t="s">
        <v>93</v>
      </c>
      <c r="AB38" s="7" t="s">
        <v>160</v>
      </c>
      <c r="AC38" s="10"/>
      <c r="AD38" s="9" t="str">
        <f t="shared" si="2"/>
        <v>oui</v>
      </c>
      <c r="AE38" s="9" t="str">
        <f t="shared" si="3"/>
        <v>TAE manquant</v>
      </c>
      <c r="AF38" s="7"/>
      <c r="AG38" s="10"/>
      <c r="AH38" s="10"/>
      <c r="AI38" s="7" t="s">
        <v>160</v>
      </c>
      <c r="AJ38" s="10"/>
      <c r="AK38" s="10"/>
      <c r="AL38" s="10"/>
      <c r="AM38" s="11" t="s">
        <v>131</v>
      </c>
      <c r="AN38" s="11" t="s">
        <v>131</v>
      </c>
      <c r="AO38" s="11" t="s">
        <v>131</v>
      </c>
      <c r="AP38" s="11" t="s">
        <v>131</v>
      </c>
      <c r="AQ38" s="11"/>
      <c r="AR38" s="7"/>
    </row>
    <row r="39" spans="1:44" ht="14.4" x14ac:dyDescent="0.3">
      <c r="A39" s="6" t="s">
        <v>262</v>
      </c>
      <c r="B39" s="6" t="s">
        <v>419</v>
      </c>
      <c r="C39" s="6" t="s">
        <v>420</v>
      </c>
      <c r="D39" s="6" t="s">
        <v>421</v>
      </c>
      <c r="E39" s="6" t="s">
        <v>422</v>
      </c>
      <c r="F39" s="7" t="s">
        <v>125</v>
      </c>
      <c r="G39" s="10"/>
      <c r="H39" s="7" t="s">
        <v>93</v>
      </c>
      <c r="I39" s="7"/>
      <c r="J39" s="10"/>
      <c r="K39" s="6" t="s">
        <v>90</v>
      </c>
      <c r="L39" s="7"/>
      <c r="M39" s="14"/>
      <c r="N39" s="7" t="s">
        <v>93</v>
      </c>
      <c r="O39" s="10"/>
      <c r="P39" s="7" t="s">
        <v>90</v>
      </c>
      <c r="Q39" s="15">
        <f>IF(P39="oui",MIN(Parametres!$B$4,MAX(Parametres!$B$3,IF(M39="",Parametres!$B$3,ROUND(M39*10%,0)))),"")</f>
        <v>0</v>
      </c>
      <c r="R39" s="7" t="s">
        <v>134</v>
      </c>
      <c r="S39" s="7" t="s">
        <v>90</v>
      </c>
      <c r="T39" s="15">
        <f>IF(S39="oui",Parametres!$B$5,"")</f>
        <v>500</v>
      </c>
      <c r="U39" s="7" t="s">
        <v>134</v>
      </c>
      <c r="V39" s="15">
        <f t="shared" si="0"/>
        <v>500</v>
      </c>
      <c r="W39" s="15" t="str">
        <f t="shared" si="1"/>
        <v/>
      </c>
      <c r="X39" s="6" t="s">
        <v>90</v>
      </c>
      <c r="Y39" s="7" t="s">
        <v>133</v>
      </c>
      <c r="Z39" s="10"/>
      <c r="AA39" s="6" t="s">
        <v>93</v>
      </c>
      <c r="AB39" s="7" t="s">
        <v>160</v>
      </c>
      <c r="AC39" s="10"/>
      <c r="AD39" s="9" t="str">
        <f t="shared" si="2"/>
        <v>oui</v>
      </c>
      <c r="AE39" s="9" t="str">
        <f t="shared" si="3"/>
        <v>TAE manquant</v>
      </c>
      <c r="AF39" s="7"/>
      <c r="AG39" s="10"/>
      <c r="AH39" s="10"/>
      <c r="AI39" s="7" t="s">
        <v>160</v>
      </c>
      <c r="AJ39" s="10"/>
      <c r="AK39" s="10"/>
      <c r="AL39" s="10"/>
      <c r="AM39" s="11" t="s">
        <v>131</v>
      </c>
      <c r="AN39" s="11" t="s">
        <v>131</v>
      </c>
      <c r="AO39" s="11" t="s">
        <v>131</v>
      </c>
      <c r="AP39" s="11" t="s">
        <v>131</v>
      </c>
      <c r="AQ39" s="11"/>
      <c r="AR39" s="7"/>
    </row>
    <row r="40" spans="1:44" ht="14.4" x14ac:dyDescent="0.3">
      <c r="A40" s="6" t="s">
        <v>262</v>
      </c>
      <c r="B40" s="6" t="s">
        <v>419</v>
      </c>
      <c r="C40" s="6" t="s">
        <v>426</v>
      </c>
      <c r="D40" s="6" t="s">
        <v>421</v>
      </c>
      <c r="E40" s="6" t="s">
        <v>427</v>
      </c>
      <c r="F40" s="7" t="s">
        <v>125</v>
      </c>
      <c r="G40" s="10"/>
      <c r="H40" s="7" t="s">
        <v>93</v>
      </c>
      <c r="I40" s="7"/>
      <c r="J40" s="10"/>
      <c r="K40" s="6" t="s">
        <v>90</v>
      </c>
      <c r="L40" s="7"/>
      <c r="M40" s="14"/>
      <c r="N40" s="7" t="s">
        <v>93</v>
      </c>
      <c r="O40" s="10"/>
      <c r="P40" s="7" t="s">
        <v>90</v>
      </c>
      <c r="Q40" s="15">
        <f>IF(P40="oui",MIN(Parametres!$B$4,MAX(Parametres!$B$3,IF(M40="",Parametres!$B$3,ROUND(M40*10%,0)))),"")</f>
        <v>0</v>
      </c>
      <c r="R40" s="7" t="s">
        <v>134</v>
      </c>
      <c r="S40" s="7" t="s">
        <v>90</v>
      </c>
      <c r="T40" s="15">
        <f>IF(S40="oui",Parametres!$B$5,"")</f>
        <v>500</v>
      </c>
      <c r="U40" s="7" t="s">
        <v>134</v>
      </c>
      <c r="V40" s="15">
        <f t="shared" si="0"/>
        <v>500</v>
      </c>
      <c r="W40" s="15" t="str">
        <f t="shared" si="1"/>
        <v/>
      </c>
      <c r="X40" s="6" t="s">
        <v>90</v>
      </c>
      <c r="Y40" s="7" t="s">
        <v>133</v>
      </c>
      <c r="Z40" s="10"/>
      <c r="AA40" s="6" t="s">
        <v>93</v>
      </c>
      <c r="AB40" s="7" t="s">
        <v>160</v>
      </c>
      <c r="AC40" s="10"/>
      <c r="AD40" s="9" t="str">
        <f t="shared" si="2"/>
        <v>oui</v>
      </c>
      <c r="AE40" s="9" t="str">
        <f t="shared" si="3"/>
        <v>TAE manquant</v>
      </c>
      <c r="AF40" s="7"/>
      <c r="AG40" s="10"/>
      <c r="AH40" s="10"/>
      <c r="AI40" s="7" t="s">
        <v>160</v>
      </c>
      <c r="AJ40" s="10"/>
      <c r="AK40" s="10"/>
      <c r="AL40" s="10"/>
      <c r="AM40" s="11" t="s">
        <v>131</v>
      </c>
      <c r="AN40" s="11" t="s">
        <v>131</v>
      </c>
      <c r="AO40" s="11" t="s">
        <v>131</v>
      </c>
      <c r="AP40" s="11" t="s">
        <v>131</v>
      </c>
      <c r="AQ40" s="11"/>
      <c r="AR40" s="7"/>
    </row>
    <row r="41" spans="1:44" ht="14.4" x14ac:dyDescent="0.3">
      <c r="A41" s="6" t="s">
        <v>262</v>
      </c>
      <c r="B41" s="6" t="s">
        <v>419</v>
      </c>
      <c r="C41" s="6" t="s">
        <v>430</v>
      </c>
      <c r="D41" s="6" t="s">
        <v>421</v>
      </c>
      <c r="E41" s="6" t="s">
        <v>431</v>
      </c>
      <c r="F41" s="7" t="s">
        <v>125</v>
      </c>
      <c r="G41" s="10"/>
      <c r="H41" s="7" t="s">
        <v>93</v>
      </c>
      <c r="I41" s="7"/>
      <c r="J41" s="10"/>
      <c r="K41" s="6" t="s">
        <v>90</v>
      </c>
      <c r="L41" s="7"/>
      <c r="M41" s="14"/>
      <c r="N41" s="7" t="s">
        <v>93</v>
      </c>
      <c r="O41" s="10"/>
      <c r="P41" s="7" t="s">
        <v>90</v>
      </c>
      <c r="Q41" s="15">
        <f>IF(P41="oui",MIN(Parametres!$B$4,MAX(Parametres!$B$3,IF(M41="",Parametres!$B$3,ROUND(M41*10%,0)))),"")</f>
        <v>0</v>
      </c>
      <c r="R41" s="7" t="s">
        <v>134</v>
      </c>
      <c r="S41" s="7" t="s">
        <v>90</v>
      </c>
      <c r="T41" s="15">
        <f>IF(S41="oui",Parametres!$B$5,"")</f>
        <v>500</v>
      </c>
      <c r="U41" s="7" t="s">
        <v>134</v>
      </c>
      <c r="V41" s="15">
        <f t="shared" si="0"/>
        <v>500</v>
      </c>
      <c r="W41" s="15" t="str">
        <f t="shared" si="1"/>
        <v/>
      </c>
      <c r="X41" s="6" t="s">
        <v>90</v>
      </c>
      <c r="Y41" s="7" t="s">
        <v>133</v>
      </c>
      <c r="Z41" s="10"/>
      <c r="AA41" s="6" t="s">
        <v>93</v>
      </c>
      <c r="AB41" s="7" t="s">
        <v>160</v>
      </c>
      <c r="AC41" s="10"/>
      <c r="AD41" s="9" t="str">
        <f t="shared" si="2"/>
        <v>oui</v>
      </c>
      <c r="AE41" s="9" t="str">
        <f t="shared" si="3"/>
        <v>TAE manquant</v>
      </c>
      <c r="AF41" s="7"/>
      <c r="AG41" s="10"/>
      <c r="AH41" s="10"/>
      <c r="AI41" s="7" t="s">
        <v>160</v>
      </c>
      <c r="AJ41" s="10"/>
      <c r="AK41" s="10"/>
      <c r="AL41" s="10"/>
      <c r="AM41" s="11" t="s">
        <v>131</v>
      </c>
      <c r="AN41" s="11" t="s">
        <v>131</v>
      </c>
      <c r="AO41" s="11" t="s">
        <v>131</v>
      </c>
      <c r="AP41" s="11" t="s">
        <v>131</v>
      </c>
      <c r="AQ41" s="11"/>
      <c r="AR41" s="7"/>
    </row>
    <row r="42" spans="1:44" ht="14.4" x14ac:dyDescent="0.3">
      <c r="A42" s="6" t="s">
        <v>262</v>
      </c>
      <c r="B42" s="6" t="s">
        <v>419</v>
      </c>
      <c r="C42" s="6" t="s">
        <v>437</v>
      </c>
      <c r="D42" s="6" t="s">
        <v>421</v>
      </c>
      <c r="E42" s="6" t="s">
        <v>438</v>
      </c>
      <c r="F42" s="7" t="s">
        <v>125</v>
      </c>
      <c r="G42" s="10"/>
      <c r="H42" s="7" t="s">
        <v>93</v>
      </c>
      <c r="I42" s="7"/>
      <c r="J42" s="10"/>
      <c r="K42" s="6" t="s">
        <v>90</v>
      </c>
      <c r="L42" s="7"/>
      <c r="M42" s="14"/>
      <c r="N42" s="7" t="s">
        <v>93</v>
      </c>
      <c r="O42" s="10"/>
      <c r="P42" s="7" t="s">
        <v>90</v>
      </c>
      <c r="Q42" s="15">
        <f>IF(P42="oui",MIN(Parametres!$B$4,MAX(Parametres!$B$3,IF(M42="",Parametres!$B$3,ROUND(M42*10%,0)))),"")</f>
        <v>0</v>
      </c>
      <c r="R42" s="7" t="s">
        <v>134</v>
      </c>
      <c r="S42" s="7" t="s">
        <v>90</v>
      </c>
      <c r="T42" s="15">
        <f>IF(S42="oui",Parametres!$B$5,"")</f>
        <v>500</v>
      </c>
      <c r="U42" s="7" t="s">
        <v>134</v>
      </c>
      <c r="V42" s="15">
        <f t="shared" si="0"/>
        <v>500</v>
      </c>
      <c r="W42" s="15" t="str">
        <f t="shared" si="1"/>
        <v/>
      </c>
      <c r="X42" s="6" t="s">
        <v>90</v>
      </c>
      <c r="Y42" s="7" t="s">
        <v>133</v>
      </c>
      <c r="Z42" s="10"/>
      <c r="AA42" s="6" t="s">
        <v>93</v>
      </c>
      <c r="AB42" s="7" t="s">
        <v>160</v>
      </c>
      <c r="AC42" s="10"/>
      <c r="AD42" s="9" t="str">
        <f t="shared" si="2"/>
        <v>oui</v>
      </c>
      <c r="AE42" s="9" t="str">
        <f t="shared" si="3"/>
        <v>TAE manquant</v>
      </c>
      <c r="AF42" s="7"/>
      <c r="AG42" s="10"/>
      <c r="AH42" s="10"/>
      <c r="AI42" s="7" t="s">
        <v>160</v>
      </c>
      <c r="AJ42" s="10"/>
      <c r="AK42" s="10"/>
      <c r="AL42" s="10"/>
      <c r="AM42" s="11" t="s">
        <v>131</v>
      </c>
      <c r="AN42" s="11" t="s">
        <v>131</v>
      </c>
      <c r="AO42" s="11" t="s">
        <v>131</v>
      </c>
      <c r="AP42" s="11" t="s">
        <v>131</v>
      </c>
      <c r="AQ42" s="11"/>
      <c r="AR42" s="7"/>
    </row>
    <row r="43" spans="1:44" ht="14.4" x14ac:dyDescent="0.3">
      <c r="A43" s="6" t="s">
        <v>262</v>
      </c>
      <c r="B43" s="6" t="s">
        <v>419</v>
      </c>
      <c r="C43" s="6" t="s">
        <v>442</v>
      </c>
      <c r="D43" s="6" t="s">
        <v>421</v>
      </c>
      <c r="E43" s="6" t="s">
        <v>443</v>
      </c>
      <c r="F43" s="7" t="s">
        <v>125</v>
      </c>
      <c r="G43" s="10"/>
      <c r="H43" s="7" t="s">
        <v>93</v>
      </c>
      <c r="I43" s="7"/>
      <c r="J43" s="10"/>
      <c r="K43" s="6" t="s">
        <v>90</v>
      </c>
      <c r="L43" s="7"/>
      <c r="M43" s="14"/>
      <c r="N43" s="7" t="s">
        <v>93</v>
      </c>
      <c r="O43" s="10"/>
      <c r="P43" s="7" t="s">
        <v>90</v>
      </c>
      <c r="Q43" s="15">
        <f>IF(P43="oui",MIN(Parametres!$B$4,MAX(Parametres!$B$3,IF(M43="",Parametres!$B$3,ROUND(M43*10%,0)))),"")</f>
        <v>0</v>
      </c>
      <c r="R43" s="7" t="s">
        <v>134</v>
      </c>
      <c r="S43" s="7" t="s">
        <v>90</v>
      </c>
      <c r="T43" s="15">
        <f>IF(S43="oui",Parametres!$B$5,"")</f>
        <v>500</v>
      </c>
      <c r="U43" s="7" t="s">
        <v>134</v>
      </c>
      <c r="V43" s="15">
        <f t="shared" si="0"/>
        <v>500</v>
      </c>
      <c r="W43" s="15" t="str">
        <f t="shared" si="1"/>
        <v/>
      </c>
      <c r="X43" s="6" t="s">
        <v>90</v>
      </c>
      <c r="Y43" s="7" t="s">
        <v>133</v>
      </c>
      <c r="Z43" s="10"/>
      <c r="AA43" s="6" t="s">
        <v>93</v>
      </c>
      <c r="AB43" s="7" t="s">
        <v>160</v>
      </c>
      <c r="AC43" s="10"/>
      <c r="AD43" s="9" t="str">
        <f t="shared" si="2"/>
        <v>oui</v>
      </c>
      <c r="AE43" s="9" t="str">
        <f t="shared" si="3"/>
        <v>TAE manquant</v>
      </c>
      <c r="AF43" s="7"/>
      <c r="AG43" s="10"/>
      <c r="AH43" s="10"/>
      <c r="AI43" s="7" t="s">
        <v>160</v>
      </c>
      <c r="AJ43" s="10"/>
      <c r="AK43" s="10"/>
      <c r="AL43" s="10"/>
      <c r="AM43" s="11" t="s">
        <v>131</v>
      </c>
      <c r="AN43" s="11" t="s">
        <v>131</v>
      </c>
      <c r="AO43" s="11" t="s">
        <v>131</v>
      </c>
      <c r="AP43" s="11" t="s">
        <v>131</v>
      </c>
      <c r="AQ43" s="11"/>
      <c r="AR43" s="7"/>
    </row>
    <row r="44" spans="1:44" ht="14.4" x14ac:dyDescent="0.3">
      <c r="A44" s="6" t="s">
        <v>262</v>
      </c>
      <c r="B44" s="6" t="s">
        <v>419</v>
      </c>
      <c r="C44" s="6" t="s">
        <v>447</v>
      </c>
      <c r="D44" s="6" t="s">
        <v>421</v>
      </c>
      <c r="E44" s="6" t="s">
        <v>448</v>
      </c>
      <c r="F44" s="7" t="s">
        <v>125</v>
      </c>
      <c r="G44" s="10"/>
      <c r="H44" s="7" t="s">
        <v>93</v>
      </c>
      <c r="I44" s="7"/>
      <c r="J44" s="10"/>
      <c r="K44" s="6" t="s">
        <v>90</v>
      </c>
      <c r="L44" s="7"/>
      <c r="M44" s="14"/>
      <c r="N44" s="7" t="s">
        <v>93</v>
      </c>
      <c r="O44" s="10"/>
      <c r="P44" s="7" t="s">
        <v>90</v>
      </c>
      <c r="Q44" s="15">
        <f>IF(P44="oui",MIN(Parametres!$B$4,MAX(Parametres!$B$3,IF(M44="",Parametres!$B$3,ROUND(M44*10%,0)))),"")</f>
        <v>0</v>
      </c>
      <c r="R44" s="7" t="s">
        <v>134</v>
      </c>
      <c r="S44" s="7" t="s">
        <v>90</v>
      </c>
      <c r="T44" s="15">
        <f>IF(S44="oui",Parametres!$B$5,"")</f>
        <v>500</v>
      </c>
      <c r="U44" s="7" t="s">
        <v>134</v>
      </c>
      <c r="V44" s="15">
        <f t="shared" si="0"/>
        <v>500</v>
      </c>
      <c r="W44" s="15" t="str">
        <f t="shared" si="1"/>
        <v/>
      </c>
      <c r="X44" s="6" t="s">
        <v>90</v>
      </c>
      <c r="Y44" s="7" t="s">
        <v>133</v>
      </c>
      <c r="Z44" s="10"/>
      <c r="AA44" s="6" t="s">
        <v>93</v>
      </c>
      <c r="AB44" s="7" t="s">
        <v>160</v>
      </c>
      <c r="AC44" s="10"/>
      <c r="AD44" s="9" t="str">
        <f t="shared" si="2"/>
        <v>oui</v>
      </c>
      <c r="AE44" s="9" t="str">
        <f t="shared" si="3"/>
        <v>TAE manquant</v>
      </c>
      <c r="AF44" s="7"/>
      <c r="AG44" s="10"/>
      <c r="AH44" s="10"/>
      <c r="AI44" s="7" t="s">
        <v>160</v>
      </c>
      <c r="AJ44" s="10"/>
      <c r="AK44" s="10"/>
      <c r="AL44" s="10"/>
      <c r="AM44" s="11" t="s">
        <v>131</v>
      </c>
      <c r="AN44" s="11" t="s">
        <v>131</v>
      </c>
      <c r="AO44" s="11" t="s">
        <v>131</v>
      </c>
      <c r="AP44" s="11" t="s">
        <v>131</v>
      </c>
      <c r="AQ44" s="11"/>
      <c r="AR44" s="7"/>
    </row>
    <row r="45" spans="1:44" ht="14.4" x14ac:dyDescent="0.3">
      <c r="A45" s="6" t="s">
        <v>262</v>
      </c>
      <c r="B45" s="6" t="s">
        <v>419</v>
      </c>
      <c r="C45" s="6" t="s">
        <v>451</v>
      </c>
      <c r="D45" s="6" t="s">
        <v>421</v>
      </c>
      <c r="E45" s="6" t="s">
        <v>452</v>
      </c>
      <c r="F45" s="7" t="s">
        <v>125</v>
      </c>
      <c r="G45" s="10"/>
      <c r="H45" s="7" t="s">
        <v>93</v>
      </c>
      <c r="I45" s="7"/>
      <c r="J45" s="10"/>
      <c r="K45" s="6" t="s">
        <v>90</v>
      </c>
      <c r="L45" s="7"/>
      <c r="M45" s="14"/>
      <c r="N45" s="7" t="s">
        <v>93</v>
      </c>
      <c r="O45" s="10"/>
      <c r="P45" s="7" t="s">
        <v>90</v>
      </c>
      <c r="Q45" s="15">
        <f>IF(P45="oui",MIN(Parametres!$B$4,MAX(Parametres!$B$3,IF(M45="",Parametres!$B$3,ROUND(M45*10%,0)))),"")</f>
        <v>0</v>
      </c>
      <c r="R45" s="7" t="s">
        <v>134</v>
      </c>
      <c r="S45" s="7" t="s">
        <v>90</v>
      </c>
      <c r="T45" s="15">
        <f>IF(S45="oui",Parametres!$B$5,"")</f>
        <v>500</v>
      </c>
      <c r="U45" s="7" t="s">
        <v>134</v>
      </c>
      <c r="V45" s="15">
        <f t="shared" si="0"/>
        <v>500</v>
      </c>
      <c r="W45" s="15" t="str">
        <f t="shared" si="1"/>
        <v/>
      </c>
      <c r="X45" s="6" t="s">
        <v>90</v>
      </c>
      <c r="Y45" s="7" t="s">
        <v>133</v>
      </c>
      <c r="Z45" s="10"/>
      <c r="AA45" s="6" t="s">
        <v>93</v>
      </c>
      <c r="AB45" s="7" t="s">
        <v>160</v>
      </c>
      <c r="AC45" s="10"/>
      <c r="AD45" s="9" t="str">
        <f t="shared" si="2"/>
        <v>oui</v>
      </c>
      <c r="AE45" s="9" t="str">
        <f t="shared" si="3"/>
        <v>TAE manquant</v>
      </c>
      <c r="AF45" s="7"/>
      <c r="AG45" s="10"/>
      <c r="AH45" s="10"/>
      <c r="AI45" s="7" t="s">
        <v>160</v>
      </c>
      <c r="AJ45" s="10"/>
      <c r="AK45" s="10"/>
      <c r="AL45" s="10"/>
      <c r="AM45" s="11" t="s">
        <v>131</v>
      </c>
      <c r="AN45" s="11" t="s">
        <v>131</v>
      </c>
      <c r="AO45" s="11" t="s">
        <v>131</v>
      </c>
      <c r="AP45" s="11" t="s">
        <v>131</v>
      </c>
      <c r="AQ45" s="11"/>
      <c r="AR45" s="7"/>
    </row>
    <row r="46" spans="1:44" ht="14.4" x14ac:dyDescent="0.3">
      <c r="A46" s="6" t="s">
        <v>262</v>
      </c>
      <c r="B46" s="6" t="s">
        <v>419</v>
      </c>
      <c r="C46" s="6" t="s">
        <v>456</v>
      </c>
      <c r="D46" s="6" t="s">
        <v>421</v>
      </c>
      <c r="E46" s="6" t="s">
        <v>457</v>
      </c>
      <c r="F46" s="7" t="s">
        <v>125</v>
      </c>
      <c r="G46" s="10"/>
      <c r="H46" s="7" t="s">
        <v>93</v>
      </c>
      <c r="I46" s="7"/>
      <c r="J46" s="10"/>
      <c r="K46" s="6" t="s">
        <v>90</v>
      </c>
      <c r="L46" s="7"/>
      <c r="M46" s="14"/>
      <c r="N46" s="7" t="s">
        <v>93</v>
      </c>
      <c r="O46" s="10"/>
      <c r="P46" s="7" t="s">
        <v>90</v>
      </c>
      <c r="Q46" s="15">
        <f>IF(P46="oui",MIN(Parametres!$B$4,MAX(Parametres!$B$3,IF(M46="",Parametres!$B$3,ROUND(M46*10%,0)))),"")</f>
        <v>0</v>
      </c>
      <c r="R46" s="7" t="s">
        <v>134</v>
      </c>
      <c r="S46" s="7" t="s">
        <v>90</v>
      </c>
      <c r="T46" s="15">
        <f>IF(S46="oui",Parametres!$B$5,"")</f>
        <v>500</v>
      </c>
      <c r="U46" s="7" t="s">
        <v>134</v>
      </c>
      <c r="V46" s="15">
        <f t="shared" si="0"/>
        <v>500</v>
      </c>
      <c r="W46" s="15" t="str">
        <f t="shared" si="1"/>
        <v/>
      </c>
      <c r="X46" s="6" t="s">
        <v>90</v>
      </c>
      <c r="Y46" s="7" t="s">
        <v>133</v>
      </c>
      <c r="Z46" s="10"/>
      <c r="AA46" s="6" t="s">
        <v>93</v>
      </c>
      <c r="AB46" s="7" t="s">
        <v>160</v>
      </c>
      <c r="AC46" s="10"/>
      <c r="AD46" s="9" t="str">
        <f t="shared" si="2"/>
        <v>oui</v>
      </c>
      <c r="AE46" s="9" t="str">
        <f t="shared" si="3"/>
        <v>TAE manquant</v>
      </c>
      <c r="AF46" s="7"/>
      <c r="AG46" s="10"/>
      <c r="AH46" s="10"/>
      <c r="AI46" s="7" t="s">
        <v>160</v>
      </c>
      <c r="AJ46" s="10"/>
      <c r="AK46" s="10"/>
      <c r="AL46" s="10"/>
      <c r="AM46" s="11" t="s">
        <v>131</v>
      </c>
      <c r="AN46" s="11" t="s">
        <v>131</v>
      </c>
      <c r="AO46" s="11" t="s">
        <v>131</v>
      </c>
      <c r="AP46" s="11" t="s">
        <v>131</v>
      </c>
      <c r="AQ46" s="11"/>
      <c r="AR46" s="7"/>
    </row>
    <row r="47" spans="1:44" ht="14.4" x14ac:dyDescent="0.3">
      <c r="A47" s="6" t="s">
        <v>262</v>
      </c>
      <c r="B47" s="6" t="s">
        <v>419</v>
      </c>
      <c r="C47" s="6" t="s">
        <v>463</v>
      </c>
      <c r="D47" s="6" t="s">
        <v>421</v>
      </c>
      <c r="E47" s="6" t="s">
        <v>464</v>
      </c>
      <c r="F47" s="7" t="s">
        <v>125</v>
      </c>
      <c r="G47" s="10"/>
      <c r="H47" s="7" t="s">
        <v>93</v>
      </c>
      <c r="I47" s="7"/>
      <c r="J47" s="10"/>
      <c r="K47" s="6" t="s">
        <v>90</v>
      </c>
      <c r="L47" s="7"/>
      <c r="M47" s="14"/>
      <c r="N47" s="7" t="s">
        <v>93</v>
      </c>
      <c r="O47" s="10"/>
      <c r="P47" s="7" t="s">
        <v>90</v>
      </c>
      <c r="Q47" s="15">
        <f>IF(P47="oui",MIN(Parametres!$B$4,MAX(Parametres!$B$3,IF(M47="",Parametres!$B$3,ROUND(M47*10%,0)))),"")</f>
        <v>0</v>
      </c>
      <c r="R47" s="7" t="s">
        <v>134</v>
      </c>
      <c r="S47" s="7" t="s">
        <v>90</v>
      </c>
      <c r="T47" s="15">
        <f>IF(S47="oui",Parametres!$B$5,"")</f>
        <v>500</v>
      </c>
      <c r="U47" s="7" t="s">
        <v>134</v>
      </c>
      <c r="V47" s="15">
        <f t="shared" si="0"/>
        <v>500</v>
      </c>
      <c r="W47" s="15" t="str">
        <f t="shared" si="1"/>
        <v/>
      </c>
      <c r="X47" s="6" t="s">
        <v>90</v>
      </c>
      <c r="Y47" s="7" t="s">
        <v>133</v>
      </c>
      <c r="Z47" s="10"/>
      <c r="AA47" s="6" t="s">
        <v>93</v>
      </c>
      <c r="AB47" s="7" t="s">
        <v>160</v>
      </c>
      <c r="AC47" s="10"/>
      <c r="AD47" s="9" t="str">
        <f t="shared" si="2"/>
        <v>oui</v>
      </c>
      <c r="AE47" s="9" t="str">
        <f t="shared" si="3"/>
        <v>TAE manquant</v>
      </c>
      <c r="AF47" s="7"/>
      <c r="AG47" s="10"/>
      <c r="AH47" s="10"/>
      <c r="AI47" s="7" t="s">
        <v>160</v>
      </c>
      <c r="AJ47" s="10"/>
      <c r="AK47" s="10"/>
      <c r="AL47" s="10"/>
      <c r="AM47" s="11" t="s">
        <v>131</v>
      </c>
      <c r="AN47" s="11" t="s">
        <v>131</v>
      </c>
      <c r="AO47" s="11" t="s">
        <v>131</v>
      </c>
      <c r="AP47" s="11" t="s">
        <v>131</v>
      </c>
      <c r="AQ47" s="11"/>
      <c r="AR47" s="7"/>
    </row>
    <row r="48" spans="1:44" ht="14.4" x14ac:dyDescent="0.3">
      <c r="A48" s="6" t="s">
        <v>262</v>
      </c>
      <c r="B48" s="6" t="s">
        <v>419</v>
      </c>
      <c r="C48" s="6" t="s">
        <v>470</v>
      </c>
      <c r="D48" s="6" t="s">
        <v>421</v>
      </c>
      <c r="E48" s="6" t="s">
        <v>471</v>
      </c>
      <c r="F48" s="7" t="s">
        <v>125</v>
      </c>
      <c r="G48" s="10"/>
      <c r="H48" s="7" t="s">
        <v>93</v>
      </c>
      <c r="I48" s="7"/>
      <c r="J48" s="10"/>
      <c r="K48" s="6" t="s">
        <v>90</v>
      </c>
      <c r="L48" s="7"/>
      <c r="M48" s="14"/>
      <c r="N48" s="7" t="s">
        <v>93</v>
      </c>
      <c r="O48" s="10"/>
      <c r="P48" s="7" t="s">
        <v>90</v>
      </c>
      <c r="Q48" s="15">
        <f>IF(P48="oui",MIN(Parametres!$B$4,MAX(Parametres!$B$3,IF(M48="",Parametres!$B$3,ROUND(M48*10%,0)))),"")</f>
        <v>0</v>
      </c>
      <c r="R48" s="7" t="s">
        <v>134</v>
      </c>
      <c r="S48" s="7" t="s">
        <v>90</v>
      </c>
      <c r="T48" s="15">
        <f>IF(S48="oui",Parametres!$B$5,"")</f>
        <v>500</v>
      </c>
      <c r="U48" s="7" t="s">
        <v>134</v>
      </c>
      <c r="V48" s="15">
        <f t="shared" si="0"/>
        <v>500</v>
      </c>
      <c r="W48" s="15" t="str">
        <f t="shared" si="1"/>
        <v/>
      </c>
      <c r="X48" s="6" t="s">
        <v>90</v>
      </c>
      <c r="Y48" s="7" t="s">
        <v>133</v>
      </c>
      <c r="Z48" s="10"/>
      <c r="AA48" s="6" t="s">
        <v>93</v>
      </c>
      <c r="AB48" s="7" t="s">
        <v>160</v>
      </c>
      <c r="AC48" s="10"/>
      <c r="AD48" s="9" t="str">
        <f t="shared" si="2"/>
        <v>oui</v>
      </c>
      <c r="AE48" s="9" t="str">
        <f t="shared" si="3"/>
        <v>TAE manquant</v>
      </c>
      <c r="AF48" s="7"/>
      <c r="AG48" s="10"/>
      <c r="AH48" s="10"/>
      <c r="AI48" s="7" t="s">
        <v>160</v>
      </c>
      <c r="AJ48" s="10"/>
      <c r="AK48" s="10"/>
      <c r="AL48" s="10"/>
      <c r="AM48" s="11" t="s">
        <v>131</v>
      </c>
      <c r="AN48" s="11" t="s">
        <v>131</v>
      </c>
      <c r="AO48" s="11" t="s">
        <v>131</v>
      </c>
      <c r="AP48" s="11" t="s">
        <v>131</v>
      </c>
      <c r="AQ48" s="11"/>
      <c r="AR48" s="7"/>
    </row>
    <row r="49" spans="1:44" ht="14.4" x14ac:dyDescent="0.3">
      <c r="A49" s="6" t="s">
        <v>262</v>
      </c>
      <c r="B49" s="6" t="s">
        <v>419</v>
      </c>
      <c r="C49" s="6" t="s">
        <v>475</v>
      </c>
      <c r="D49" s="6" t="s">
        <v>421</v>
      </c>
      <c r="E49" s="6" t="s">
        <v>476</v>
      </c>
      <c r="F49" s="7" t="s">
        <v>125</v>
      </c>
      <c r="G49" s="10"/>
      <c r="H49" s="7" t="s">
        <v>93</v>
      </c>
      <c r="I49" s="7"/>
      <c r="J49" s="10"/>
      <c r="K49" s="6" t="s">
        <v>90</v>
      </c>
      <c r="L49" s="7"/>
      <c r="M49" s="14"/>
      <c r="N49" s="7" t="s">
        <v>93</v>
      </c>
      <c r="O49" s="10"/>
      <c r="P49" s="7" t="s">
        <v>90</v>
      </c>
      <c r="Q49" s="15">
        <f>IF(P49="oui",MIN(Parametres!$B$4,MAX(Parametres!$B$3,IF(M49="",Parametres!$B$3,ROUND(M49*10%,0)))),"")</f>
        <v>0</v>
      </c>
      <c r="R49" s="7" t="s">
        <v>134</v>
      </c>
      <c r="S49" s="7" t="s">
        <v>90</v>
      </c>
      <c r="T49" s="15">
        <f>IF(S49="oui",Parametres!$B$5,"")</f>
        <v>500</v>
      </c>
      <c r="U49" s="7" t="s">
        <v>134</v>
      </c>
      <c r="V49" s="15">
        <f t="shared" si="0"/>
        <v>500</v>
      </c>
      <c r="W49" s="15" t="str">
        <f t="shared" si="1"/>
        <v/>
      </c>
      <c r="X49" s="6" t="s">
        <v>90</v>
      </c>
      <c r="Y49" s="7" t="s">
        <v>133</v>
      </c>
      <c r="Z49" s="10"/>
      <c r="AA49" s="6" t="s">
        <v>93</v>
      </c>
      <c r="AB49" s="7" t="s">
        <v>160</v>
      </c>
      <c r="AC49" s="10"/>
      <c r="AD49" s="9" t="str">
        <f t="shared" si="2"/>
        <v>oui</v>
      </c>
      <c r="AE49" s="9" t="str">
        <f t="shared" si="3"/>
        <v>TAE manquant</v>
      </c>
      <c r="AF49" s="7"/>
      <c r="AG49" s="10"/>
      <c r="AH49" s="10"/>
      <c r="AI49" s="7" t="s">
        <v>160</v>
      </c>
      <c r="AJ49" s="10"/>
      <c r="AK49" s="10"/>
      <c r="AL49" s="10"/>
      <c r="AM49" s="11" t="s">
        <v>131</v>
      </c>
      <c r="AN49" s="11" t="s">
        <v>131</v>
      </c>
      <c r="AO49" s="11" t="s">
        <v>131</v>
      </c>
      <c r="AP49" s="11" t="s">
        <v>131</v>
      </c>
      <c r="AQ49" s="11"/>
      <c r="AR49" s="7"/>
    </row>
    <row r="50" spans="1:44" ht="14.4" x14ac:dyDescent="0.3">
      <c r="A50" s="6" t="s">
        <v>262</v>
      </c>
      <c r="B50" s="6" t="s">
        <v>419</v>
      </c>
      <c r="C50" s="6" t="s">
        <v>479</v>
      </c>
      <c r="D50" s="6" t="s">
        <v>421</v>
      </c>
      <c r="E50" s="6" t="s">
        <v>480</v>
      </c>
      <c r="F50" s="7" t="s">
        <v>125</v>
      </c>
      <c r="G50" s="10"/>
      <c r="H50" s="7" t="s">
        <v>93</v>
      </c>
      <c r="I50" s="7"/>
      <c r="J50" s="10"/>
      <c r="K50" s="6" t="s">
        <v>90</v>
      </c>
      <c r="L50" s="7"/>
      <c r="M50" s="14"/>
      <c r="N50" s="7" t="s">
        <v>93</v>
      </c>
      <c r="O50" s="10"/>
      <c r="P50" s="7" t="s">
        <v>90</v>
      </c>
      <c r="Q50" s="15">
        <f>IF(P50="oui",MIN(Parametres!$B$4,MAX(Parametres!$B$3,IF(M50="",Parametres!$B$3,ROUND(M50*10%,0)))),"")</f>
        <v>0</v>
      </c>
      <c r="R50" s="7" t="s">
        <v>134</v>
      </c>
      <c r="S50" s="7" t="s">
        <v>90</v>
      </c>
      <c r="T50" s="15">
        <f>IF(S50="oui",Parametres!$B$5,"")</f>
        <v>500</v>
      </c>
      <c r="U50" s="7" t="s">
        <v>134</v>
      </c>
      <c r="V50" s="15">
        <f t="shared" si="0"/>
        <v>500</v>
      </c>
      <c r="W50" s="15" t="str">
        <f t="shared" si="1"/>
        <v/>
      </c>
      <c r="X50" s="6" t="s">
        <v>90</v>
      </c>
      <c r="Y50" s="7" t="s">
        <v>133</v>
      </c>
      <c r="Z50" s="10"/>
      <c r="AA50" s="6" t="s">
        <v>93</v>
      </c>
      <c r="AB50" s="7" t="s">
        <v>160</v>
      </c>
      <c r="AC50" s="10"/>
      <c r="AD50" s="9" t="str">
        <f t="shared" si="2"/>
        <v>oui</v>
      </c>
      <c r="AE50" s="9" t="str">
        <f t="shared" si="3"/>
        <v>TAE manquant</v>
      </c>
      <c r="AF50" s="7"/>
      <c r="AG50" s="10"/>
      <c r="AH50" s="10"/>
      <c r="AI50" s="7" t="s">
        <v>160</v>
      </c>
      <c r="AJ50" s="10"/>
      <c r="AK50" s="10"/>
      <c r="AL50" s="10"/>
      <c r="AM50" s="11" t="s">
        <v>131</v>
      </c>
      <c r="AN50" s="11" t="s">
        <v>131</v>
      </c>
      <c r="AO50" s="11" t="s">
        <v>131</v>
      </c>
      <c r="AP50" s="11" t="s">
        <v>131</v>
      </c>
      <c r="AQ50" s="11"/>
      <c r="AR50" s="7"/>
    </row>
    <row r="51" spans="1:44" ht="14.4" x14ac:dyDescent="0.3">
      <c r="A51" s="6" t="s">
        <v>262</v>
      </c>
      <c r="B51" s="6" t="s">
        <v>419</v>
      </c>
      <c r="C51" s="6" t="s">
        <v>486</v>
      </c>
      <c r="D51" s="6" t="s">
        <v>421</v>
      </c>
      <c r="E51" s="6" t="s">
        <v>487</v>
      </c>
      <c r="F51" s="7" t="s">
        <v>125</v>
      </c>
      <c r="G51" s="10"/>
      <c r="H51" s="7" t="s">
        <v>93</v>
      </c>
      <c r="I51" s="7"/>
      <c r="J51" s="10"/>
      <c r="K51" s="6" t="s">
        <v>90</v>
      </c>
      <c r="L51" s="7"/>
      <c r="M51" s="14"/>
      <c r="N51" s="7" t="s">
        <v>93</v>
      </c>
      <c r="O51" s="10"/>
      <c r="P51" s="7" t="s">
        <v>90</v>
      </c>
      <c r="Q51" s="15">
        <f>IF(P51="oui",MIN(Parametres!$B$4,MAX(Parametres!$B$3,IF(M51="",Parametres!$B$3,ROUND(M51*10%,0)))),"")</f>
        <v>0</v>
      </c>
      <c r="R51" s="7" t="s">
        <v>134</v>
      </c>
      <c r="S51" s="7" t="s">
        <v>90</v>
      </c>
      <c r="T51" s="15">
        <f>IF(S51="oui",Parametres!$B$5,"")</f>
        <v>500</v>
      </c>
      <c r="U51" s="7" t="s">
        <v>134</v>
      </c>
      <c r="V51" s="15">
        <f t="shared" si="0"/>
        <v>500</v>
      </c>
      <c r="W51" s="15" t="str">
        <f t="shared" si="1"/>
        <v/>
      </c>
      <c r="X51" s="6" t="s">
        <v>90</v>
      </c>
      <c r="Y51" s="7" t="s">
        <v>133</v>
      </c>
      <c r="Z51" s="10"/>
      <c r="AA51" s="6" t="s">
        <v>93</v>
      </c>
      <c r="AB51" s="7" t="s">
        <v>160</v>
      </c>
      <c r="AC51" s="10"/>
      <c r="AD51" s="9" t="str">
        <f t="shared" si="2"/>
        <v>oui</v>
      </c>
      <c r="AE51" s="9" t="str">
        <f t="shared" si="3"/>
        <v>TAE manquant</v>
      </c>
      <c r="AF51" s="7"/>
      <c r="AG51" s="10"/>
      <c r="AH51" s="10"/>
      <c r="AI51" s="7" t="s">
        <v>160</v>
      </c>
      <c r="AJ51" s="10"/>
      <c r="AK51" s="10"/>
      <c r="AL51" s="10"/>
      <c r="AM51" s="11" t="s">
        <v>131</v>
      </c>
      <c r="AN51" s="11" t="s">
        <v>131</v>
      </c>
      <c r="AO51" s="11" t="s">
        <v>131</v>
      </c>
      <c r="AP51" s="11" t="s">
        <v>131</v>
      </c>
      <c r="AQ51" s="11"/>
      <c r="AR51" s="7"/>
    </row>
    <row r="52" spans="1:44" ht="14.4" x14ac:dyDescent="0.3">
      <c r="A52" s="6" t="s">
        <v>262</v>
      </c>
      <c r="B52" s="6" t="s">
        <v>419</v>
      </c>
      <c r="C52" s="6" t="s">
        <v>491</v>
      </c>
      <c r="D52" s="6" t="s">
        <v>421</v>
      </c>
      <c r="E52" s="6" t="s">
        <v>492</v>
      </c>
      <c r="F52" s="7" t="s">
        <v>125</v>
      </c>
      <c r="G52" s="10"/>
      <c r="H52" s="7" t="s">
        <v>93</v>
      </c>
      <c r="I52" s="7"/>
      <c r="J52" s="10"/>
      <c r="K52" s="6" t="s">
        <v>90</v>
      </c>
      <c r="L52" s="7"/>
      <c r="M52" s="14"/>
      <c r="N52" s="7" t="s">
        <v>93</v>
      </c>
      <c r="O52" s="10"/>
      <c r="P52" s="7" t="s">
        <v>90</v>
      </c>
      <c r="Q52" s="15">
        <f>IF(P52="oui",MIN(Parametres!$B$4,MAX(Parametres!$B$3,IF(M52="",Parametres!$B$3,ROUND(M52*10%,0)))),"")</f>
        <v>0</v>
      </c>
      <c r="R52" s="7" t="s">
        <v>134</v>
      </c>
      <c r="S52" s="7" t="s">
        <v>90</v>
      </c>
      <c r="T52" s="15">
        <f>IF(S52="oui",Parametres!$B$5,"")</f>
        <v>500</v>
      </c>
      <c r="U52" s="7" t="s">
        <v>134</v>
      </c>
      <c r="V52" s="15">
        <f t="shared" si="0"/>
        <v>500</v>
      </c>
      <c r="W52" s="15" t="str">
        <f t="shared" si="1"/>
        <v/>
      </c>
      <c r="X52" s="6" t="s">
        <v>90</v>
      </c>
      <c r="Y52" s="7" t="s">
        <v>133</v>
      </c>
      <c r="Z52" s="10"/>
      <c r="AA52" s="6" t="s">
        <v>93</v>
      </c>
      <c r="AB52" s="7" t="s">
        <v>160</v>
      </c>
      <c r="AC52" s="10"/>
      <c r="AD52" s="9" t="str">
        <f t="shared" si="2"/>
        <v>oui</v>
      </c>
      <c r="AE52" s="9" t="str">
        <f t="shared" si="3"/>
        <v>TAE manquant</v>
      </c>
      <c r="AF52" s="7"/>
      <c r="AG52" s="10"/>
      <c r="AH52" s="10"/>
      <c r="AI52" s="7" t="s">
        <v>160</v>
      </c>
      <c r="AJ52" s="10"/>
      <c r="AK52" s="10"/>
      <c r="AL52" s="10"/>
      <c r="AM52" s="11" t="s">
        <v>131</v>
      </c>
      <c r="AN52" s="11" t="s">
        <v>131</v>
      </c>
      <c r="AO52" s="11" t="s">
        <v>131</v>
      </c>
      <c r="AP52" s="11" t="s">
        <v>131</v>
      </c>
      <c r="AQ52" s="11"/>
      <c r="AR52" s="7"/>
    </row>
    <row r="53" spans="1:44" ht="14.4" x14ac:dyDescent="0.3">
      <c r="A53" s="6" t="s">
        <v>262</v>
      </c>
      <c r="B53" s="6" t="s">
        <v>419</v>
      </c>
      <c r="C53" s="6" t="s">
        <v>494</v>
      </c>
      <c r="D53" s="6" t="s">
        <v>421</v>
      </c>
      <c r="E53" s="6" t="s">
        <v>495</v>
      </c>
      <c r="F53" s="7" t="s">
        <v>125</v>
      </c>
      <c r="G53" s="10"/>
      <c r="H53" s="7" t="s">
        <v>93</v>
      </c>
      <c r="I53" s="7"/>
      <c r="J53" s="10"/>
      <c r="K53" s="6" t="s">
        <v>90</v>
      </c>
      <c r="L53" s="7"/>
      <c r="M53" s="14"/>
      <c r="N53" s="7" t="s">
        <v>93</v>
      </c>
      <c r="O53" s="10"/>
      <c r="P53" s="7" t="s">
        <v>90</v>
      </c>
      <c r="Q53" s="15">
        <f>IF(P53="oui",MIN(Parametres!$B$4,MAX(Parametres!$B$3,IF(M53="",Parametres!$B$3,ROUND(M53*10%,0)))),"")</f>
        <v>0</v>
      </c>
      <c r="R53" s="7" t="s">
        <v>134</v>
      </c>
      <c r="S53" s="7" t="s">
        <v>90</v>
      </c>
      <c r="T53" s="15">
        <f>IF(S53="oui",Parametres!$B$5,"")</f>
        <v>500</v>
      </c>
      <c r="U53" s="7" t="s">
        <v>134</v>
      </c>
      <c r="V53" s="15">
        <f t="shared" si="0"/>
        <v>500</v>
      </c>
      <c r="W53" s="15" t="str">
        <f t="shared" si="1"/>
        <v/>
      </c>
      <c r="X53" s="6" t="s">
        <v>90</v>
      </c>
      <c r="Y53" s="7" t="s">
        <v>133</v>
      </c>
      <c r="Z53" s="10"/>
      <c r="AA53" s="6" t="s">
        <v>93</v>
      </c>
      <c r="AB53" s="7" t="s">
        <v>160</v>
      </c>
      <c r="AC53" s="10"/>
      <c r="AD53" s="9" t="str">
        <f t="shared" si="2"/>
        <v>oui</v>
      </c>
      <c r="AE53" s="9" t="str">
        <f t="shared" si="3"/>
        <v>TAE manquant</v>
      </c>
      <c r="AF53" s="7"/>
      <c r="AG53" s="10"/>
      <c r="AH53" s="10"/>
      <c r="AI53" s="7" t="s">
        <v>160</v>
      </c>
      <c r="AJ53" s="10"/>
      <c r="AK53" s="10"/>
      <c r="AL53" s="10"/>
      <c r="AM53" s="11" t="s">
        <v>131</v>
      </c>
      <c r="AN53" s="11" t="s">
        <v>131</v>
      </c>
      <c r="AO53" s="11" t="s">
        <v>131</v>
      </c>
      <c r="AP53" s="11" t="s">
        <v>131</v>
      </c>
      <c r="AQ53" s="11"/>
      <c r="AR53" s="7"/>
    </row>
    <row r="54" spans="1:44" ht="14.4" x14ac:dyDescent="0.3">
      <c r="A54" s="6" t="s">
        <v>262</v>
      </c>
      <c r="B54" s="6" t="s">
        <v>419</v>
      </c>
      <c r="C54" s="6" t="s">
        <v>499</v>
      </c>
      <c r="D54" s="6" t="s">
        <v>421</v>
      </c>
      <c r="E54" s="6" t="s">
        <v>500</v>
      </c>
      <c r="F54" s="7" t="s">
        <v>125</v>
      </c>
      <c r="G54" s="10"/>
      <c r="H54" s="7" t="s">
        <v>93</v>
      </c>
      <c r="I54" s="7"/>
      <c r="J54" s="10"/>
      <c r="K54" s="6" t="s">
        <v>90</v>
      </c>
      <c r="L54" s="7"/>
      <c r="M54" s="14"/>
      <c r="N54" s="7" t="s">
        <v>93</v>
      </c>
      <c r="O54" s="10"/>
      <c r="P54" s="7" t="s">
        <v>90</v>
      </c>
      <c r="Q54" s="15">
        <f>IF(P54="oui",MIN(Parametres!$B$4,MAX(Parametres!$B$3,IF(M54="",Parametres!$B$3,ROUND(M54*10%,0)))),"")</f>
        <v>0</v>
      </c>
      <c r="R54" s="7" t="s">
        <v>134</v>
      </c>
      <c r="S54" s="7" t="s">
        <v>90</v>
      </c>
      <c r="T54" s="15">
        <f>IF(S54="oui",Parametres!$B$5,"")</f>
        <v>500</v>
      </c>
      <c r="U54" s="7" t="s">
        <v>134</v>
      </c>
      <c r="V54" s="15">
        <f t="shared" si="0"/>
        <v>500</v>
      </c>
      <c r="W54" s="15" t="str">
        <f t="shared" si="1"/>
        <v/>
      </c>
      <c r="X54" s="6" t="s">
        <v>90</v>
      </c>
      <c r="Y54" s="7" t="s">
        <v>133</v>
      </c>
      <c r="Z54" s="10"/>
      <c r="AA54" s="6" t="s">
        <v>93</v>
      </c>
      <c r="AB54" s="7" t="s">
        <v>160</v>
      </c>
      <c r="AC54" s="10"/>
      <c r="AD54" s="9" t="str">
        <f t="shared" si="2"/>
        <v>oui</v>
      </c>
      <c r="AE54" s="9" t="str">
        <f t="shared" si="3"/>
        <v>TAE manquant</v>
      </c>
      <c r="AF54" s="7"/>
      <c r="AG54" s="10"/>
      <c r="AH54" s="10"/>
      <c r="AI54" s="7" t="s">
        <v>160</v>
      </c>
      <c r="AJ54" s="10"/>
      <c r="AK54" s="10"/>
      <c r="AL54" s="10"/>
      <c r="AM54" s="11" t="s">
        <v>131</v>
      </c>
      <c r="AN54" s="11" t="s">
        <v>131</v>
      </c>
      <c r="AO54" s="11" t="s">
        <v>131</v>
      </c>
      <c r="AP54" s="11" t="s">
        <v>131</v>
      </c>
      <c r="AQ54" s="11"/>
      <c r="AR54" s="7"/>
    </row>
    <row r="55" spans="1:44" ht="14.4" x14ac:dyDescent="0.3">
      <c r="A55" s="6" t="s">
        <v>262</v>
      </c>
      <c r="B55" s="6" t="s">
        <v>419</v>
      </c>
      <c r="C55" s="6" t="s">
        <v>503</v>
      </c>
      <c r="D55" s="6" t="s">
        <v>421</v>
      </c>
      <c r="E55" s="6" t="s">
        <v>504</v>
      </c>
      <c r="F55" s="7" t="s">
        <v>125</v>
      </c>
      <c r="G55" s="10"/>
      <c r="H55" s="7" t="s">
        <v>93</v>
      </c>
      <c r="I55" s="7"/>
      <c r="J55" s="10"/>
      <c r="K55" s="6" t="s">
        <v>90</v>
      </c>
      <c r="L55" s="7"/>
      <c r="M55" s="14"/>
      <c r="N55" s="7" t="s">
        <v>93</v>
      </c>
      <c r="O55" s="10"/>
      <c r="P55" s="7" t="s">
        <v>90</v>
      </c>
      <c r="Q55" s="15">
        <f>IF(P55="oui",MIN(Parametres!$B$4,MAX(Parametres!$B$3,IF(M55="",Parametres!$B$3,ROUND(M55*10%,0)))),"")</f>
        <v>0</v>
      </c>
      <c r="R55" s="7" t="s">
        <v>134</v>
      </c>
      <c r="S55" s="7" t="s">
        <v>90</v>
      </c>
      <c r="T55" s="15">
        <f>IF(S55="oui",Parametres!$B$5,"")</f>
        <v>500</v>
      </c>
      <c r="U55" s="7" t="s">
        <v>134</v>
      </c>
      <c r="V55" s="15">
        <f t="shared" si="0"/>
        <v>500</v>
      </c>
      <c r="W55" s="15" t="str">
        <f t="shared" si="1"/>
        <v/>
      </c>
      <c r="X55" s="6" t="s">
        <v>90</v>
      </c>
      <c r="Y55" s="7" t="s">
        <v>133</v>
      </c>
      <c r="Z55" s="10"/>
      <c r="AA55" s="6" t="s">
        <v>93</v>
      </c>
      <c r="AB55" s="7" t="s">
        <v>160</v>
      </c>
      <c r="AC55" s="10"/>
      <c r="AD55" s="9" t="str">
        <f t="shared" si="2"/>
        <v>oui</v>
      </c>
      <c r="AE55" s="9" t="str">
        <f t="shared" si="3"/>
        <v>TAE manquant</v>
      </c>
      <c r="AF55" s="7"/>
      <c r="AG55" s="10"/>
      <c r="AH55" s="10"/>
      <c r="AI55" s="7" t="s">
        <v>160</v>
      </c>
      <c r="AJ55" s="10"/>
      <c r="AK55" s="10"/>
      <c r="AL55" s="10"/>
      <c r="AM55" s="11" t="s">
        <v>131</v>
      </c>
      <c r="AN55" s="11" t="s">
        <v>131</v>
      </c>
      <c r="AO55" s="11" t="s">
        <v>131</v>
      </c>
      <c r="AP55" s="11" t="s">
        <v>131</v>
      </c>
      <c r="AQ55" s="11"/>
      <c r="AR55" s="7"/>
    </row>
    <row r="56" spans="1:44" ht="14.4" x14ac:dyDescent="0.3">
      <c r="A56" s="6" t="s">
        <v>262</v>
      </c>
      <c r="B56" s="6" t="s">
        <v>419</v>
      </c>
      <c r="C56" s="6" t="s">
        <v>508</v>
      </c>
      <c r="D56" s="6" t="s">
        <v>421</v>
      </c>
      <c r="E56" s="6" t="s">
        <v>509</v>
      </c>
      <c r="F56" s="7" t="s">
        <v>125</v>
      </c>
      <c r="G56" s="10"/>
      <c r="H56" s="7" t="s">
        <v>93</v>
      </c>
      <c r="I56" s="7"/>
      <c r="J56" s="10"/>
      <c r="K56" s="6" t="s">
        <v>90</v>
      </c>
      <c r="L56" s="7"/>
      <c r="M56" s="14"/>
      <c r="N56" s="7" t="s">
        <v>93</v>
      </c>
      <c r="O56" s="10"/>
      <c r="P56" s="7" t="s">
        <v>90</v>
      </c>
      <c r="Q56" s="15">
        <f>IF(P56="oui",MIN(Parametres!$B$4,MAX(Parametres!$B$3,IF(M56="",Parametres!$B$3,ROUND(M56*10%,0)))),"")</f>
        <v>0</v>
      </c>
      <c r="R56" s="7" t="s">
        <v>134</v>
      </c>
      <c r="S56" s="7" t="s">
        <v>90</v>
      </c>
      <c r="T56" s="15">
        <f>IF(S56="oui",Parametres!$B$5,"")</f>
        <v>500</v>
      </c>
      <c r="U56" s="7" t="s">
        <v>134</v>
      </c>
      <c r="V56" s="15">
        <f t="shared" si="0"/>
        <v>500</v>
      </c>
      <c r="W56" s="15" t="str">
        <f t="shared" si="1"/>
        <v/>
      </c>
      <c r="X56" s="6" t="s">
        <v>90</v>
      </c>
      <c r="Y56" s="7" t="s">
        <v>133</v>
      </c>
      <c r="Z56" s="10"/>
      <c r="AA56" s="6" t="s">
        <v>93</v>
      </c>
      <c r="AB56" s="7" t="s">
        <v>160</v>
      </c>
      <c r="AC56" s="10"/>
      <c r="AD56" s="9" t="str">
        <f t="shared" si="2"/>
        <v>oui</v>
      </c>
      <c r="AE56" s="9" t="str">
        <f t="shared" si="3"/>
        <v>TAE manquant</v>
      </c>
      <c r="AF56" s="7"/>
      <c r="AG56" s="10"/>
      <c r="AH56" s="10"/>
      <c r="AI56" s="7" t="s">
        <v>160</v>
      </c>
      <c r="AJ56" s="10"/>
      <c r="AK56" s="10"/>
      <c r="AL56" s="10"/>
      <c r="AM56" s="11" t="s">
        <v>131</v>
      </c>
      <c r="AN56" s="11" t="s">
        <v>131</v>
      </c>
      <c r="AO56" s="11" t="s">
        <v>131</v>
      </c>
      <c r="AP56" s="11" t="s">
        <v>131</v>
      </c>
      <c r="AQ56" s="11"/>
      <c r="AR56" s="7"/>
    </row>
    <row r="57" spans="1:44" ht="14.4" x14ac:dyDescent="0.3">
      <c r="A57" s="6" t="s">
        <v>262</v>
      </c>
      <c r="B57" s="6" t="s">
        <v>419</v>
      </c>
      <c r="C57" s="6" t="s">
        <v>512</v>
      </c>
      <c r="D57" s="6" t="s">
        <v>421</v>
      </c>
      <c r="E57" s="6" t="s">
        <v>513</v>
      </c>
      <c r="F57" s="7" t="s">
        <v>125</v>
      </c>
      <c r="G57" s="10"/>
      <c r="H57" s="7" t="s">
        <v>93</v>
      </c>
      <c r="I57" s="7"/>
      <c r="J57" s="10"/>
      <c r="K57" s="6" t="s">
        <v>90</v>
      </c>
      <c r="L57" s="7"/>
      <c r="M57" s="14"/>
      <c r="N57" s="7" t="s">
        <v>93</v>
      </c>
      <c r="O57" s="10"/>
      <c r="P57" s="7" t="s">
        <v>90</v>
      </c>
      <c r="Q57" s="15">
        <f>IF(P57="oui",MIN(Parametres!$B$4,MAX(Parametres!$B$3,IF(M57="",Parametres!$B$3,ROUND(M57*10%,0)))),"")</f>
        <v>0</v>
      </c>
      <c r="R57" s="7" t="s">
        <v>134</v>
      </c>
      <c r="S57" s="7" t="s">
        <v>90</v>
      </c>
      <c r="T57" s="15">
        <f>IF(S57="oui",Parametres!$B$5,"")</f>
        <v>500</v>
      </c>
      <c r="U57" s="7" t="s">
        <v>134</v>
      </c>
      <c r="V57" s="15">
        <f t="shared" si="0"/>
        <v>500</v>
      </c>
      <c r="W57" s="15" t="str">
        <f t="shared" si="1"/>
        <v/>
      </c>
      <c r="X57" s="6" t="s">
        <v>90</v>
      </c>
      <c r="Y57" s="7" t="s">
        <v>133</v>
      </c>
      <c r="Z57" s="10"/>
      <c r="AA57" s="6" t="s">
        <v>93</v>
      </c>
      <c r="AB57" s="7" t="s">
        <v>160</v>
      </c>
      <c r="AC57" s="10"/>
      <c r="AD57" s="9" t="str">
        <f t="shared" si="2"/>
        <v>oui</v>
      </c>
      <c r="AE57" s="9" t="str">
        <f t="shared" si="3"/>
        <v>TAE manquant</v>
      </c>
      <c r="AF57" s="7"/>
      <c r="AG57" s="10"/>
      <c r="AH57" s="10"/>
      <c r="AI57" s="7" t="s">
        <v>160</v>
      </c>
      <c r="AJ57" s="10"/>
      <c r="AK57" s="10"/>
      <c r="AL57" s="10"/>
      <c r="AM57" s="11" t="s">
        <v>131</v>
      </c>
      <c r="AN57" s="11" t="s">
        <v>131</v>
      </c>
      <c r="AO57" s="11" t="s">
        <v>131</v>
      </c>
      <c r="AP57" s="11" t="s">
        <v>131</v>
      </c>
      <c r="AQ57" s="11"/>
      <c r="AR57" s="7"/>
    </row>
    <row r="58" spans="1:44" ht="14.4" x14ac:dyDescent="0.3">
      <c r="A58" s="6" t="s">
        <v>262</v>
      </c>
      <c r="B58" s="6" t="s">
        <v>419</v>
      </c>
      <c r="C58" s="6" t="s">
        <v>516</v>
      </c>
      <c r="D58" s="6" t="s">
        <v>421</v>
      </c>
      <c r="E58" s="6" t="s">
        <v>517</v>
      </c>
      <c r="F58" s="7" t="s">
        <v>125</v>
      </c>
      <c r="G58" s="10"/>
      <c r="H58" s="7" t="s">
        <v>93</v>
      </c>
      <c r="I58" s="7"/>
      <c r="J58" s="10"/>
      <c r="K58" s="6" t="s">
        <v>90</v>
      </c>
      <c r="L58" s="7"/>
      <c r="M58" s="14"/>
      <c r="N58" s="7" t="s">
        <v>93</v>
      </c>
      <c r="O58" s="10"/>
      <c r="P58" s="7" t="s">
        <v>90</v>
      </c>
      <c r="Q58" s="15">
        <f>IF(P58="oui",MIN(Parametres!$B$4,MAX(Parametres!$B$3,IF(M58="",Parametres!$B$3,ROUND(M58*10%,0)))),"")</f>
        <v>0</v>
      </c>
      <c r="R58" s="7" t="s">
        <v>134</v>
      </c>
      <c r="S58" s="7" t="s">
        <v>90</v>
      </c>
      <c r="T58" s="15">
        <f>IF(S58="oui",Parametres!$B$5,"")</f>
        <v>500</v>
      </c>
      <c r="U58" s="7" t="s">
        <v>134</v>
      </c>
      <c r="V58" s="15">
        <f t="shared" si="0"/>
        <v>500</v>
      </c>
      <c r="W58" s="15" t="str">
        <f t="shared" si="1"/>
        <v/>
      </c>
      <c r="X58" s="6" t="s">
        <v>90</v>
      </c>
      <c r="Y58" s="7" t="s">
        <v>133</v>
      </c>
      <c r="Z58" s="10"/>
      <c r="AA58" s="6" t="s">
        <v>93</v>
      </c>
      <c r="AB58" s="7" t="s">
        <v>160</v>
      </c>
      <c r="AC58" s="10"/>
      <c r="AD58" s="9" t="str">
        <f t="shared" si="2"/>
        <v>oui</v>
      </c>
      <c r="AE58" s="9" t="str">
        <f t="shared" si="3"/>
        <v>TAE manquant</v>
      </c>
      <c r="AF58" s="7"/>
      <c r="AG58" s="10"/>
      <c r="AH58" s="10"/>
      <c r="AI58" s="7" t="s">
        <v>160</v>
      </c>
      <c r="AJ58" s="10"/>
      <c r="AK58" s="10"/>
      <c r="AL58" s="10"/>
      <c r="AM58" s="11" t="s">
        <v>131</v>
      </c>
      <c r="AN58" s="11" t="s">
        <v>131</v>
      </c>
      <c r="AO58" s="11" t="s">
        <v>131</v>
      </c>
      <c r="AP58" s="11" t="s">
        <v>131</v>
      </c>
      <c r="AQ58" s="11"/>
      <c r="AR58" s="7"/>
    </row>
    <row r="59" spans="1:44" ht="14.4" x14ac:dyDescent="0.3">
      <c r="A59" s="6" t="s">
        <v>262</v>
      </c>
      <c r="B59" s="6" t="s">
        <v>419</v>
      </c>
      <c r="C59" s="6" t="s">
        <v>521</v>
      </c>
      <c r="D59" s="6" t="s">
        <v>421</v>
      </c>
      <c r="E59" s="6" t="s">
        <v>522</v>
      </c>
      <c r="F59" s="7" t="s">
        <v>125</v>
      </c>
      <c r="G59" s="10"/>
      <c r="H59" s="7" t="s">
        <v>93</v>
      </c>
      <c r="I59" s="7"/>
      <c r="J59" s="10"/>
      <c r="K59" s="6" t="s">
        <v>90</v>
      </c>
      <c r="L59" s="7"/>
      <c r="M59" s="14"/>
      <c r="N59" s="7" t="s">
        <v>93</v>
      </c>
      <c r="O59" s="10"/>
      <c r="P59" s="7" t="s">
        <v>90</v>
      </c>
      <c r="Q59" s="15">
        <f>IF(P59="oui",MIN(Parametres!$B$4,MAX(Parametres!$B$3,IF(M59="",Parametres!$B$3,ROUND(M59*10%,0)))),"")</f>
        <v>0</v>
      </c>
      <c r="R59" s="7" t="s">
        <v>134</v>
      </c>
      <c r="S59" s="7" t="s">
        <v>90</v>
      </c>
      <c r="T59" s="15">
        <f>IF(S59="oui",Parametres!$B$5,"")</f>
        <v>500</v>
      </c>
      <c r="U59" s="7" t="s">
        <v>134</v>
      </c>
      <c r="V59" s="15">
        <f t="shared" si="0"/>
        <v>500</v>
      </c>
      <c r="W59" s="15" t="str">
        <f t="shared" si="1"/>
        <v/>
      </c>
      <c r="X59" s="6" t="s">
        <v>90</v>
      </c>
      <c r="Y59" s="7" t="s">
        <v>133</v>
      </c>
      <c r="Z59" s="10"/>
      <c r="AA59" s="6" t="s">
        <v>93</v>
      </c>
      <c r="AB59" s="7" t="s">
        <v>160</v>
      </c>
      <c r="AC59" s="10"/>
      <c r="AD59" s="9" t="str">
        <f t="shared" si="2"/>
        <v>oui</v>
      </c>
      <c r="AE59" s="9" t="str">
        <f t="shared" si="3"/>
        <v>TAE manquant</v>
      </c>
      <c r="AF59" s="7"/>
      <c r="AG59" s="10"/>
      <c r="AH59" s="10"/>
      <c r="AI59" s="7" t="s">
        <v>160</v>
      </c>
      <c r="AJ59" s="10"/>
      <c r="AK59" s="10"/>
      <c r="AL59" s="10"/>
      <c r="AM59" s="11" t="s">
        <v>131</v>
      </c>
      <c r="AN59" s="11" t="s">
        <v>131</v>
      </c>
      <c r="AO59" s="11" t="s">
        <v>131</v>
      </c>
      <c r="AP59" s="11" t="s">
        <v>131</v>
      </c>
      <c r="AQ59" s="11"/>
      <c r="AR59" s="7"/>
    </row>
    <row r="60" spans="1:44" ht="14.4" x14ac:dyDescent="0.3">
      <c r="A60" s="6" t="s">
        <v>262</v>
      </c>
      <c r="B60" s="6" t="s">
        <v>419</v>
      </c>
      <c r="C60" s="6" t="s">
        <v>525</v>
      </c>
      <c r="D60" s="6" t="s">
        <v>421</v>
      </c>
      <c r="E60" s="6" t="s">
        <v>526</v>
      </c>
      <c r="F60" s="7" t="s">
        <v>125</v>
      </c>
      <c r="G60" s="10"/>
      <c r="H60" s="7" t="s">
        <v>93</v>
      </c>
      <c r="I60" s="7"/>
      <c r="J60" s="10"/>
      <c r="K60" s="6" t="s">
        <v>90</v>
      </c>
      <c r="L60" s="7"/>
      <c r="M60" s="14"/>
      <c r="N60" s="7" t="s">
        <v>93</v>
      </c>
      <c r="O60" s="10"/>
      <c r="P60" s="7" t="s">
        <v>90</v>
      </c>
      <c r="Q60" s="15">
        <f>IF(P60="oui",MIN(Parametres!$B$4,MAX(Parametres!$B$3,IF(M60="",Parametres!$B$3,ROUND(M60*10%,0)))),"")</f>
        <v>0</v>
      </c>
      <c r="R60" s="7" t="s">
        <v>134</v>
      </c>
      <c r="S60" s="7" t="s">
        <v>90</v>
      </c>
      <c r="T60" s="15">
        <f>IF(S60="oui",Parametres!$B$5,"")</f>
        <v>500</v>
      </c>
      <c r="U60" s="7" t="s">
        <v>134</v>
      </c>
      <c r="V60" s="15">
        <f t="shared" si="0"/>
        <v>500</v>
      </c>
      <c r="W60" s="15" t="str">
        <f t="shared" si="1"/>
        <v/>
      </c>
      <c r="X60" s="6" t="s">
        <v>90</v>
      </c>
      <c r="Y60" s="7" t="s">
        <v>133</v>
      </c>
      <c r="Z60" s="10"/>
      <c r="AA60" s="6" t="s">
        <v>93</v>
      </c>
      <c r="AB60" s="7" t="s">
        <v>160</v>
      </c>
      <c r="AC60" s="10"/>
      <c r="AD60" s="9" t="str">
        <f t="shared" si="2"/>
        <v>oui</v>
      </c>
      <c r="AE60" s="9" t="str">
        <f t="shared" si="3"/>
        <v>TAE manquant</v>
      </c>
      <c r="AF60" s="7"/>
      <c r="AG60" s="10"/>
      <c r="AH60" s="10"/>
      <c r="AI60" s="7" t="s">
        <v>160</v>
      </c>
      <c r="AJ60" s="10"/>
      <c r="AK60" s="10"/>
      <c r="AL60" s="10"/>
      <c r="AM60" s="11" t="s">
        <v>131</v>
      </c>
      <c r="AN60" s="11" t="s">
        <v>131</v>
      </c>
      <c r="AO60" s="11" t="s">
        <v>131</v>
      </c>
      <c r="AP60" s="11" t="s">
        <v>131</v>
      </c>
      <c r="AQ60" s="11"/>
      <c r="AR60" s="7"/>
    </row>
    <row r="61" spans="1:44" ht="14.4" x14ac:dyDescent="0.3">
      <c r="A61" s="6" t="s">
        <v>262</v>
      </c>
      <c r="B61" s="6" t="s">
        <v>419</v>
      </c>
      <c r="C61" s="6" t="s">
        <v>531</v>
      </c>
      <c r="D61" s="6" t="s">
        <v>421</v>
      </c>
      <c r="E61" s="6" t="s">
        <v>532</v>
      </c>
      <c r="F61" s="7" t="s">
        <v>125</v>
      </c>
      <c r="G61" s="10"/>
      <c r="H61" s="7" t="s">
        <v>93</v>
      </c>
      <c r="I61" s="7"/>
      <c r="J61" s="10"/>
      <c r="K61" s="6" t="s">
        <v>90</v>
      </c>
      <c r="L61" s="7"/>
      <c r="M61" s="14"/>
      <c r="N61" s="7" t="s">
        <v>93</v>
      </c>
      <c r="O61" s="10"/>
      <c r="P61" s="7" t="s">
        <v>90</v>
      </c>
      <c r="Q61" s="15">
        <f>IF(P61="oui",MIN(Parametres!$B$4,MAX(Parametres!$B$3,IF(M61="",Parametres!$B$3,ROUND(M61*10%,0)))),"")</f>
        <v>0</v>
      </c>
      <c r="R61" s="7" t="s">
        <v>134</v>
      </c>
      <c r="S61" s="7" t="s">
        <v>90</v>
      </c>
      <c r="T61" s="15">
        <f>IF(S61="oui",Parametres!$B$5,"")</f>
        <v>500</v>
      </c>
      <c r="U61" s="7" t="s">
        <v>134</v>
      </c>
      <c r="V61" s="15">
        <f t="shared" si="0"/>
        <v>500</v>
      </c>
      <c r="W61" s="15" t="str">
        <f t="shared" si="1"/>
        <v/>
      </c>
      <c r="X61" s="6" t="s">
        <v>90</v>
      </c>
      <c r="Y61" s="7" t="s">
        <v>133</v>
      </c>
      <c r="Z61" s="10"/>
      <c r="AA61" s="6" t="s">
        <v>93</v>
      </c>
      <c r="AB61" s="7" t="s">
        <v>160</v>
      </c>
      <c r="AC61" s="10"/>
      <c r="AD61" s="9" t="str">
        <f t="shared" si="2"/>
        <v>oui</v>
      </c>
      <c r="AE61" s="9" t="str">
        <f t="shared" si="3"/>
        <v>TAE manquant</v>
      </c>
      <c r="AF61" s="7"/>
      <c r="AG61" s="10"/>
      <c r="AH61" s="10"/>
      <c r="AI61" s="7" t="s">
        <v>160</v>
      </c>
      <c r="AJ61" s="10"/>
      <c r="AK61" s="10"/>
      <c r="AL61" s="10"/>
      <c r="AM61" s="11" t="s">
        <v>131</v>
      </c>
      <c r="AN61" s="11" t="s">
        <v>131</v>
      </c>
      <c r="AO61" s="11" t="s">
        <v>131</v>
      </c>
      <c r="AP61" s="11" t="s">
        <v>131</v>
      </c>
      <c r="AQ61" s="11"/>
      <c r="AR61" s="7"/>
    </row>
    <row r="62" spans="1:44" ht="14.4" x14ac:dyDescent="0.3">
      <c r="A62" s="6" t="s">
        <v>262</v>
      </c>
      <c r="B62" s="6" t="s">
        <v>419</v>
      </c>
      <c r="C62" s="6" t="s">
        <v>538</v>
      </c>
      <c r="D62" s="6" t="s">
        <v>421</v>
      </c>
      <c r="E62" s="6" t="s">
        <v>539</v>
      </c>
      <c r="F62" s="7" t="s">
        <v>125</v>
      </c>
      <c r="G62" s="10"/>
      <c r="H62" s="7" t="s">
        <v>93</v>
      </c>
      <c r="I62" s="7"/>
      <c r="J62" s="10"/>
      <c r="K62" s="6" t="s">
        <v>90</v>
      </c>
      <c r="L62" s="7"/>
      <c r="M62" s="14"/>
      <c r="N62" s="7" t="s">
        <v>93</v>
      </c>
      <c r="O62" s="10"/>
      <c r="P62" s="7" t="s">
        <v>90</v>
      </c>
      <c r="Q62" s="15">
        <f>IF(P62="oui",MIN(Parametres!$B$4,MAX(Parametres!$B$3,IF(M62="",Parametres!$B$3,ROUND(M62*10%,0)))),"")</f>
        <v>0</v>
      </c>
      <c r="R62" s="7" t="s">
        <v>134</v>
      </c>
      <c r="S62" s="7" t="s">
        <v>90</v>
      </c>
      <c r="T62" s="15">
        <f>IF(S62="oui",Parametres!$B$5,"")</f>
        <v>500</v>
      </c>
      <c r="U62" s="7" t="s">
        <v>134</v>
      </c>
      <c r="V62" s="15">
        <f t="shared" si="0"/>
        <v>500</v>
      </c>
      <c r="W62" s="15" t="str">
        <f t="shared" si="1"/>
        <v/>
      </c>
      <c r="X62" s="6" t="s">
        <v>90</v>
      </c>
      <c r="Y62" s="7" t="s">
        <v>133</v>
      </c>
      <c r="Z62" s="10"/>
      <c r="AA62" s="6" t="s">
        <v>93</v>
      </c>
      <c r="AB62" s="7" t="s">
        <v>160</v>
      </c>
      <c r="AC62" s="10"/>
      <c r="AD62" s="9" t="str">
        <f t="shared" si="2"/>
        <v>oui</v>
      </c>
      <c r="AE62" s="9" t="str">
        <f t="shared" si="3"/>
        <v>TAE manquant</v>
      </c>
      <c r="AF62" s="7"/>
      <c r="AG62" s="10"/>
      <c r="AH62" s="10"/>
      <c r="AI62" s="7" t="s">
        <v>160</v>
      </c>
      <c r="AJ62" s="10"/>
      <c r="AK62" s="10"/>
      <c r="AL62" s="10"/>
      <c r="AM62" s="11" t="s">
        <v>131</v>
      </c>
      <c r="AN62" s="11" t="s">
        <v>131</v>
      </c>
      <c r="AO62" s="11" t="s">
        <v>131</v>
      </c>
      <c r="AP62" s="11" t="s">
        <v>131</v>
      </c>
      <c r="AQ62" s="11"/>
      <c r="AR62" s="7"/>
    </row>
    <row r="63" spans="1:44" ht="14.4" x14ac:dyDescent="0.3">
      <c r="A63" s="6" t="s">
        <v>262</v>
      </c>
      <c r="B63" s="6" t="s">
        <v>419</v>
      </c>
      <c r="C63" s="6" t="s">
        <v>543</v>
      </c>
      <c r="D63" s="6" t="s">
        <v>421</v>
      </c>
      <c r="E63" s="6" t="s">
        <v>544</v>
      </c>
      <c r="F63" s="7" t="s">
        <v>125</v>
      </c>
      <c r="G63" s="10"/>
      <c r="H63" s="7" t="s">
        <v>93</v>
      </c>
      <c r="I63" s="7"/>
      <c r="J63" s="10"/>
      <c r="K63" s="6" t="s">
        <v>90</v>
      </c>
      <c r="L63" s="7"/>
      <c r="M63" s="14"/>
      <c r="N63" s="7" t="s">
        <v>93</v>
      </c>
      <c r="O63" s="10"/>
      <c r="P63" s="7" t="s">
        <v>90</v>
      </c>
      <c r="Q63" s="15">
        <f>IF(P63="oui",MIN(Parametres!$B$4,MAX(Parametres!$B$3,IF(M63="",Parametres!$B$3,ROUND(M63*10%,0)))),"")</f>
        <v>0</v>
      </c>
      <c r="R63" s="7" t="s">
        <v>134</v>
      </c>
      <c r="S63" s="7" t="s">
        <v>90</v>
      </c>
      <c r="T63" s="15">
        <f>IF(S63="oui",Parametres!$B$5,"")</f>
        <v>500</v>
      </c>
      <c r="U63" s="7" t="s">
        <v>134</v>
      </c>
      <c r="V63" s="15">
        <f t="shared" si="0"/>
        <v>500</v>
      </c>
      <c r="W63" s="15" t="str">
        <f t="shared" si="1"/>
        <v/>
      </c>
      <c r="X63" s="6" t="s">
        <v>90</v>
      </c>
      <c r="Y63" s="7" t="s">
        <v>133</v>
      </c>
      <c r="Z63" s="10"/>
      <c r="AA63" s="6" t="s">
        <v>93</v>
      </c>
      <c r="AB63" s="7" t="s">
        <v>160</v>
      </c>
      <c r="AC63" s="10"/>
      <c r="AD63" s="9" t="str">
        <f t="shared" si="2"/>
        <v>oui</v>
      </c>
      <c r="AE63" s="9" t="str">
        <f t="shared" si="3"/>
        <v>TAE manquant</v>
      </c>
      <c r="AF63" s="7"/>
      <c r="AG63" s="10"/>
      <c r="AH63" s="10"/>
      <c r="AI63" s="7" t="s">
        <v>160</v>
      </c>
      <c r="AJ63" s="10"/>
      <c r="AK63" s="10"/>
      <c r="AL63" s="10"/>
      <c r="AM63" s="11" t="s">
        <v>131</v>
      </c>
      <c r="AN63" s="11" t="s">
        <v>131</v>
      </c>
      <c r="AO63" s="11" t="s">
        <v>131</v>
      </c>
      <c r="AP63" s="11" t="s">
        <v>131</v>
      </c>
      <c r="AQ63" s="11"/>
      <c r="AR63" s="7"/>
    </row>
    <row r="64" spans="1:44" ht="14.4" x14ac:dyDescent="0.3">
      <c r="A64" s="6" t="s">
        <v>270</v>
      </c>
      <c r="B64" s="6" t="s">
        <v>548</v>
      </c>
      <c r="C64" s="6" t="s">
        <v>549</v>
      </c>
      <c r="D64" s="6" t="s">
        <v>550</v>
      </c>
      <c r="E64" s="6" t="s">
        <v>551</v>
      </c>
      <c r="F64" s="7" t="s">
        <v>125</v>
      </c>
      <c r="G64" s="10"/>
      <c r="H64" s="7" t="s">
        <v>93</v>
      </c>
      <c r="I64" s="7"/>
      <c r="J64" s="10"/>
      <c r="K64" s="6" t="s">
        <v>90</v>
      </c>
      <c r="L64" s="7"/>
      <c r="M64" s="14"/>
      <c r="N64" s="7" t="s">
        <v>93</v>
      </c>
      <c r="O64" s="10"/>
      <c r="P64" s="7" t="s">
        <v>90</v>
      </c>
      <c r="Q64" s="15">
        <f>IF(P64="oui",MIN(Parametres!$B$4,MAX(Parametres!$B$3,IF(M64="",Parametres!$B$3,ROUND(M64*10%,0)))),"")</f>
        <v>0</v>
      </c>
      <c r="R64" s="7" t="s">
        <v>134</v>
      </c>
      <c r="S64" s="7" t="s">
        <v>90</v>
      </c>
      <c r="T64" s="15">
        <f>IF(S64="oui",Parametres!$B$5,"")</f>
        <v>500</v>
      </c>
      <c r="U64" s="7" t="s">
        <v>134</v>
      </c>
      <c r="V64" s="15">
        <f t="shared" si="0"/>
        <v>500</v>
      </c>
      <c r="W64" s="15" t="str">
        <f t="shared" si="1"/>
        <v/>
      </c>
      <c r="X64" s="6" t="s">
        <v>90</v>
      </c>
      <c r="Y64" s="7" t="s">
        <v>133</v>
      </c>
      <c r="Z64" s="10"/>
      <c r="AA64" s="6" t="s">
        <v>93</v>
      </c>
      <c r="AB64" s="7" t="s">
        <v>160</v>
      </c>
      <c r="AC64" s="10"/>
      <c r="AD64" s="9" t="str">
        <f t="shared" si="2"/>
        <v>oui</v>
      </c>
      <c r="AE64" s="9" t="str">
        <f t="shared" si="3"/>
        <v>TAE manquant</v>
      </c>
      <c r="AF64" s="7"/>
      <c r="AG64" s="10"/>
      <c r="AH64" s="10"/>
      <c r="AI64" s="7" t="s">
        <v>160</v>
      </c>
      <c r="AJ64" s="10"/>
      <c r="AK64" s="10"/>
      <c r="AL64" s="10"/>
      <c r="AM64" s="11" t="s">
        <v>131</v>
      </c>
      <c r="AN64" s="11" t="s">
        <v>131</v>
      </c>
      <c r="AO64" s="11" t="s">
        <v>131</v>
      </c>
      <c r="AP64" s="11" t="s">
        <v>131</v>
      </c>
      <c r="AQ64" s="11"/>
      <c r="AR64" s="7"/>
    </row>
    <row r="65" spans="1:44" ht="14.4" x14ac:dyDescent="0.3">
      <c r="A65" s="6" t="s">
        <v>270</v>
      </c>
      <c r="B65" s="6" t="s">
        <v>548</v>
      </c>
      <c r="C65" s="6" t="s">
        <v>555</v>
      </c>
      <c r="D65" s="6" t="s">
        <v>550</v>
      </c>
      <c r="E65" s="6" t="s">
        <v>556</v>
      </c>
      <c r="F65" s="7" t="s">
        <v>125</v>
      </c>
      <c r="G65" s="10"/>
      <c r="H65" s="7" t="s">
        <v>93</v>
      </c>
      <c r="I65" s="7"/>
      <c r="J65" s="10"/>
      <c r="K65" s="6" t="s">
        <v>90</v>
      </c>
      <c r="L65" s="7"/>
      <c r="M65" s="14"/>
      <c r="N65" s="7" t="s">
        <v>93</v>
      </c>
      <c r="O65" s="10"/>
      <c r="P65" s="7" t="s">
        <v>90</v>
      </c>
      <c r="Q65" s="15">
        <f>IF(P65="oui",MIN(Parametres!$B$4,MAX(Parametres!$B$3,IF(M65="",Parametres!$B$3,ROUND(M65*10%,0)))),"")</f>
        <v>0</v>
      </c>
      <c r="R65" s="7" t="s">
        <v>134</v>
      </c>
      <c r="S65" s="7" t="s">
        <v>90</v>
      </c>
      <c r="T65" s="15">
        <f>IF(S65="oui",Parametres!$B$5,"")</f>
        <v>500</v>
      </c>
      <c r="U65" s="7" t="s">
        <v>134</v>
      </c>
      <c r="V65" s="15">
        <f t="shared" si="0"/>
        <v>500</v>
      </c>
      <c r="W65" s="15" t="str">
        <f t="shared" si="1"/>
        <v/>
      </c>
      <c r="X65" s="6" t="s">
        <v>90</v>
      </c>
      <c r="Y65" s="7" t="s">
        <v>133</v>
      </c>
      <c r="Z65" s="10"/>
      <c r="AA65" s="6" t="s">
        <v>93</v>
      </c>
      <c r="AB65" s="7" t="s">
        <v>160</v>
      </c>
      <c r="AC65" s="10"/>
      <c r="AD65" s="9" t="str">
        <f t="shared" si="2"/>
        <v>oui</v>
      </c>
      <c r="AE65" s="9" t="str">
        <f t="shared" si="3"/>
        <v>TAE manquant</v>
      </c>
      <c r="AF65" s="7"/>
      <c r="AG65" s="10"/>
      <c r="AH65" s="10"/>
      <c r="AI65" s="7" t="s">
        <v>160</v>
      </c>
      <c r="AJ65" s="10"/>
      <c r="AK65" s="10"/>
      <c r="AL65" s="10"/>
      <c r="AM65" s="11" t="s">
        <v>131</v>
      </c>
      <c r="AN65" s="11" t="s">
        <v>131</v>
      </c>
      <c r="AO65" s="11" t="s">
        <v>131</v>
      </c>
      <c r="AP65" s="11" t="s">
        <v>131</v>
      </c>
      <c r="AQ65" s="11"/>
      <c r="AR65" s="7"/>
    </row>
    <row r="66" spans="1:44" ht="14.4" x14ac:dyDescent="0.3">
      <c r="A66" s="6" t="s">
        <v>270</v>
      </c>
      <c r="B66" s="6" t="s">
        <v>548</v>
      </c>
      <c r="C66" s="6" t="s">
        <v>560</v>
      </c>
      <c r="D66" s="6" t="s">
        <v>550</v>
      </c>
      <c r="E66" s="6" t="s">
        <v>561</v>
      </c>
      <c r="F66" s="7" t="s">
        <v>125</v>
      </c>
      <c r="G66" s="10"/>
      <c r="H66" s="7" t="s">
        <v>93</v>
      </c>
      <c r="I66" s="7"/>
      <c r="J66" s="10"/>
      <c r="K66" s="6" t="s">
        <v>90</v>
      </c>
      <c r="L66" s="7"/>
      <c r="M66" s="14"/>
      <c r="N66" s="7" t="s">
        <v>93</v>
      </c>
      <c r="O66" s="10"/>
      <c r="P66" s="7" t="s">
        <v>90</v>
      </c>
      <c r="Q66" s="15">
        <f>IF(P66="oui",MIN(Parametres!$B$4,MAX(Parametres!$B$3,IF(M66="",Parametres!$B$3,ROUND(M66*10%,0)))),"")</f>
        <v>0</v>
      </c>
      <c r="R66" s="7" t="s">
        <v>134</v>
      </c>
      <c r="S66" s="7" t="s">
        <v>90</v>
      </c>
      <c r="T66" s="15">
        <f>IF(S66="oui",Parametres!$B$5,"")</f>
        <v>500</v>
      </c>
      <c r="U66" s="7" t="s">
        <v>134</v>
      </c>
      <c r="V66" s="15">
        <f t="shared" ref="V66:V129" si="4">SUM(Q66,T66)</f>
        <v>500</v>
      </c>
      <c r="W66" s="15" t="str">
        <f t="shared" ref="W66:W129" si="5">IF(M66="","",M66-V66)</f>
        <v/>
      </c>
      <c r="X66" s="6" t="s">
        <v>90</v>
      </c>
      <c r="Y66" s="7" t="s">
        <v>133</v>
      </c>
      <c r="Z66" s="10"/>
      <c r="AA66" s="6" t="s">
        <v>93</v>
      </c>
      <c r="AB66" s="7" t="s">
        <v>160</v>
      </c>
      <c r="AC66" s="10"/>
      <c r="AD66" s="9" t="str">
        <f t="shared" ref="AD66:AD129" si="6">IF(K66&lt;&gt;"oui","oui",IF(OR(AND(X66="oui",Y66&lt;&gt;"fait"),AND(AA66="oui",AB66&lt;&gt;"fait"),AND(P66="oui",R66&lt;&gt;"valide"),AND(S66="oui",U66&lt;&gt;"valide"),N66&lt;&gt;"oui"),"oui","non"))</f>
        <v>oui</v>
      </c>
      <c r="AE66" s="9" t="str">
        <f t="shared" ref="AE66:AE129" si="7">IF(K66&lt;&gt;"oui","Résidence ou logement non vendable",IF(AND(X66="oui",Y66&lt;&gt;"fait"),"TAE manquant",IF(AND(AA66="oui",AB66&lt;&gt;"fait"),"SPANC manquant",IF(AND(P66="oui",R66&lt;&gt;"valide"),"Chèque primo non validé",IF(AND(S66="oui",U66&lt;&gt;"valide"),"Chèque CINOR non validé",IF(N66&lt;&gt;"oui","Prix non confirmé",""))))))</f>
        <v>TAE manquant</v>
      </c>
      <c r="AF66" s="7"/>
      <c r="AG66" s="10"/>
      <c r="AH66" s="10"/>
      <c r="AI66" s="7" t="s">
        <v>160</v>
      </c>
      <c r="AJ66" s="10"/>
      <c r="AK66" s="10"/>
      <c r="AL66" s="10"/>
      <c r="AM66" s="11" t="s">
        <v>131</v>
      </c>
      <c r="AN66" s="11" t="s">
        <v>131</v>
      </c>
      <c r="AO66" s="11" t="s">
        <v>131</v>
      </c>
      <c r="AP66" s="11" t="s">
        <v>131</v>
      </c>
      <c r="AQ66" s="11"/>
      <c r="AR66" s="7"/>
    </row>
    <row r="67" spans="1:44" ht="14.4" x14ac:dyDescent="0.3">
      <c r="A67" s="6" t="s">
        <v>270</v>
      </c>
      <c r="B67" s="6" t="s">
        <v>548</v>
      </c>
      <c r="C67" s="6" t="s">
        <v>565</v>
      </c>
      <c r="D67" s="6" t="s">
        <v>550</v>
      </c>
      <c r="E67" s="6" t="s">
        <v>566</v>
      </c>
      <c r="F67" s="7" t="s">
        <v>125</v>
      </c>
      <c r="G67" s="10"/>
      <c r="H67" s="7" t="s">
        <v>93</v>
      </c>
      <c r="I67" s="7"/>
      <c r="J67" s="10"/>
      <c r="K67" s="6" t="s">
        <v>90</v>
      </c>
      <c r="L67" s="7"/>
      <c r="M67" s="14"/>
      <c r="N67" s="7" t="s">
        <v>93</v>
      </c>
      <c r="O67" s="10"/>
      <c r="P67" s="7" t="s">
        <v>90</v>
      </c>
      <c r="Q67" s="15">
        <f>IF(P67="oui",MIN(Parametres!$B$4,MAX(Parametres!$B$3,IF(M67="",Parametres!$B$3,ROUND(M67*10%,0)))),"")</f>
        <v>0</v>
      </c>
      <c r="R67" s="7" t="s">
        <v>134</v>
      </c>
      <c r="S67" s="7" t="s">
        <v>90</v>
      </c>
      <c r="T67" s="15">
        <f>IF(S67="oui",Parametres!$B$5,"")</f>
        <v>500</v>
      </c>
      <c r="U67" s="7" t="s">
        <v>134</v>
      </c>
      <c r="V67" s="15">
        <f t="shared" si="4"/>
        <v>500</v>
      </c>
      <c r="W67" s="15" t="str">
        <f t="shared" si="5"/>
        <v/>
      </c>
      <c r="X67" s="6" t="s">
        <v>90</v>
      </c>
      <c r="Y67" s="7" t="s">
        <v>133</v>
      </c>
      <c r="Z67" s="10"/>
      <c r="AA67" s="6" t="s">
        <v>93</v>
      </c>
      <c r="AB67" s="7" t="s">
        <v>160</v>
      </c>
      <c r="AC67" s="10"/>
      <c r="AD67" s="9" t="str">
        <f t="shared" si="6"/>
        <v>oui</v>
      </c>
      <c r="AE67" s="9" t="str">
        <f t="shared" si="7"/>
        <v>TAE manquant</v>
      </c>
      <c r="AF67" s="7"/>
      <c r="AG67" s="10"/>
      <c r="AH67" s="10"/>
      <c r="AI67" s="7" t="s">
        <v>160</v>
      </c>
      <c r="AJ67" s="10"/>
      <c r="AK67" s="10"/>
      <c r="AL67" s="10"/>
      <c r="AM67" s="11" t="s">
        <v>131</v>
      </c>
      <c r="AN67" s="11" t="s">
        <v>131</v>
      </c>
      <c r="AO67" s="11" t="s">
        <v>131</v>
      </c>
      <c r="AP67" s="11" t="s">
        <v>131</v>
      </c>
      <c r="AQ67" s="11"/>
      <c r="AR67" s="7"/>
    </row>
    <row r="68" spans="1:44" ht="14.4" x14ac:dyDescent="0.3">
      <c r="A68" s="6" t="s">
        <v>270</v>
      </c>
      <c r="B68" s="6" t="s">
        <v>548</v>
      </c>
      <c r="C68" s="6" t="s">
        <v>570</v>
      </c>
      <c r="D68" s="6" t="s">
        <v>550</v>
      </c>
      <c r="E68" s="6" t="s">
        <v>571</v>
      </c>
      <c r="F68" s="7" t="s">
        <v>125</v>
      </c>
      <c r="G68" s="10"/>
      <c r="H68" s="7" t="s">
        <v>93</v>
      </c>
      <c r="I68" s="7"/>
      <c r="J68" s="10"/>
      <c r="K68" s="6" t="s">
        <v>90</v>
      </c>
      <c r="L68" s="7"/>
      <c r="M68" s="14"/>
      <c r="N68" s="7" t="s">
        <v>93</v>
      </c>
      <c r="O68" s="10"/>
      <c r="P68" s="7" t="s">
        <v>90</v>
      </c>
      <c r="Q68" s="15">
        <f>IF(P68="oui",MIN(Parametres!$B$4,MAX(Parametres!$B$3,IF(M68="",Parametres!$B$3,ROUND(M68*10%,0)))),"")</f>
        <v>0</v>
      </c>
      <c r="R68" s="7" t="s">
        <v>134</v>
      </c>
      <c r="S68" s="7" t="s">
        <v>90</v>
      </c>
      <c r="T68" s="15">
        <f>IF(S68="oui",Parametres!$B$5,"")</f>
        <v>500</v>
      </c>
      <c r="U68" s="7" t="s">
        <v>134</v>
      </c>
      <c r="V68" s="15">
        <f t="shared" si="4"/>
        <v>500</v>
      </c>
      <c r="W68" s="15" t="str">
        <f t="shared" si="5"/>
        <v/>
      </c>
      <c r="X68" s="6" t="s">
        <v>90</v>
      </c>
      <c r="Y68" s="7" t="s">
        <v>133</v>
      </c>
      <c r="Z68" s="10"/>
      <c r="AA68" s="6" t="s">
        <v>93</v>
      </c>
      <c r="AB68" s="7" t="s">
        <v>160</v>
      </c>
      <c r="AC68" s="10"/>
      <c r="AD68" s="9" t="str">
        <f t="shared" si="6"/>
        <v>oui</v>
      </c>
      <c r="AE68" s="9" t="str">
        <f t="shared" si="7"/>
        <v>TAE manquant</v>
      </c>
      <c r="AF68" s="7"/>
      <c r="AG68" s="10"/>
      <c r="AH68" s="10"/>
      <c r="AI68" s="7" t="s">
        <v>160</v>
      </c>
      <c r="AJ68" s="10"/>
      <c r="AK68" s="10"/>
      <c r="AL68" s="10"/>
      <c r="AM68" s="11" t="s">
        <v>131</v>
      </c>
      <c r="AN68" s="11" t="s">
        <v>131</v>
      </c>
      <c r="AO68" s="11" t="s">
        <v>131</v>
      </c>
      <c r="AP68" s="11" t="s">
        <v>131</v>
      </c>
      <c r="AQ68" s="11"/>
      <c r="AR68" s="7"/>
    </row>
    <row r="69" spans="1:44" ht="14.4" x14ac:dyDescent="0.3">
      <c r="A69" s="6" t="s">
        <v>270</v>
      </c>
      <c r="B69" s="6" t="s">
        <v>548</v>
      </c>
      <c r="C69" s="6" t="s">
        <v>574</v>
      </c>
      <c r="D69" s="6" t="s">
        <v>550</v>
      </c>
      <c r="E69" s="6" t="s">
        <v>575</v>
      </c>
      <c r="F69" s="7" t="s">
        <v>125</v>
      </c>
      <c r="G69" s="10"/>
      <c r="H69" s="7" t="s">
        <v>93</v>
      </c>
      <c r="I69" s="7"/>
      <c r="J69" s="10"/>
      <c r="K69" s="6" t="s">
        <v>90</v>
      </c>
      <c r="L69" s="7"/>
      <c r="M69" s="14"/>
      <c r="N69" s="7" t="s">
        <v>93</v>
      </c>
      <c r="O69" s="10"/>
      <c r="P69" s="7" t="s">
        <v>90</v>
      </c>
      <c r="Q69" s="15">
        <f>IF(P69="oui",MIN(Parametres!$B$4,MAX(Parametres!$B$3,IF(M69="",Parametres!$B$3,ROUND(M69*10%,0)))),"")</f>
        <v>0</v>
      </c>
      <c r="R69" s="7" t="s">
        <v>134</v>
      </c>
      <c r="S69" s="7" t="s">
        <v>90</v>
      </c>
      <c r="T69" s="15">
        <f>IF(S69="oui",Parametres!$B$5,"")</f>
        <v>500</v>
      </c>
      <c r="U69" s="7" t="s">
        <v>134</v>
      </c>
      <c r="V69" s="15">
        <f t="shared" si="4"/>
        <v>500</v>
      </c>
      <c r="W69" s="15" t="str">
        <f t="shared" si="5"/>
        <v/>
      </c>
      <c r="X69" s="6" t="s">
        <v>90</v>
      </c>
      <c r="Y69" s="7" t="s">
        <v>133</v>
      </c>
      <c r="Z69" s="10"/>
      <c r="AA69" s="6" t="s">
        <v>93</v>
      </c>
      <c r="AB69" s="7" t="s">
        <v>160</v>
      </c>
      <c r="AC69" s="10"/>
      <c r="AD69" s="9" t="str">
        <f t="shared" si="6"/>
        <v>oui</v>
      </c>
      <c r="AE69" s="9" t="str">
        <f t="shared" si="7"/>
        <v>TAE manquant</v>
      </c>
      <c r="AF69" s="7"/>
      <c r="AG69" s="10"/>
      <c r="AH69" s="10"/>
      <c r="AI69" s="7" t="s">
        <v>160</v>
      </c>
      <c r="AJ69" s="10"/>
      <c r="AK69" s="10"/>
      <c r="AL69" s="10"/>
      <c r="AM69" s="11" t="s">
        <v>131</v>
      </c>
      <c r="AN69" s="11" t="s">
        <v>131</v>
      </c>
      <c r="AO69" s="11" t="s">
        <v>131</v>
      </c>
      <c r="AP69" s="11" t="s">
        <v>131</v>
      </c>
      <c r="AQ69" s="11"/>
      <c r="AR69" s="7"/>
    </row>
    <row r="70" spans="1:44" ht="14.4" x14ac:dyDescent="0.3">
      <c r="A70" s="6" t="s">
        <v>270</v>
      </c>
      <c r="B70" s="6" t="s">
        <v>548</v>
      </c>
      <c r="C70" s="6" t="s">
        <v>579</v>
      </c>
      <c r="D70" s="6" t="s">
        <v>550</v>
      </c>
      <c r="E70" s="6" t="s">
        <v>580</v>
      </c>
      <c r="F70" s="7" t="s">
        <v>125</v>
      </c>
      <c r="G70" s="10"/>
      <c r="H70" s="7" t="s">
        <v>93</v>
      </c>
      <c r="I70" s="7"/>
      <c r="J70" s="10"/>
      <c r="K70" s="6" t="s">
        <v>90</v>
      </c>
      <c r="L70" s="7"/>
      <c r="M70" s="14"/>
      <c r="N70" s="7" t="s">
        <v>93</v>
      </c>
      <c r="O70" s="10"/>
      <c r="P70" s="7" t="s">
        <v>90</v>
      </c>
      <c r="Q70" s="15">
        <f>IF(P70="oui",MIN(Parametres!$B$4,MAX(Parametres!$B$3,IF(M70="",Parametres!$B$3,ROUND(M70*10%,0)))),"")</f>
        <v>0</v>
      </c>
      <c r="R70" s="7" t="s">
        <v>134</v>
      </c>
      <c r="S70" s="7" t="s">
        <v>90</v>
      </c>
      <c r="T70" s="15">
        <f>IF(S70="oui",Parametres!$B$5,"")</f>
        <v>500</v>
      </c>
      <c r="U70" s="7" t="s">
        <v>134</v>
      </c>
      <c r="V70" s="15">
        <f t="shared" si="4"/>
        <v>500</v>
      </c>
      <c r="W70" s="15" t="str">
        <f t="shared" si="5"/>
        <v/>
      </c>
      <c r="X70" s="6" t="s">
        <v>90</v>
      </c>
      <c r="Y70" s="7" t="s">
        <v>133</v>
      </c>
      <c r="Z70" s="10"/>
      <c r="AA70" s="6" t="s">
        <v>93</v>
      </c>
      <c r="AB70" s="7" t="s">
        <v>160</v>
      </c>
      <c r="AC70" s="10"/>
      <c r="AD70" s="9" t="str">
        <f t="shared" si="6"/>
        <v>oui</v>
      </c>
      <c r="AE70" s="9" t="str">
        <f t="shared" si="7"/>
        <v>TAE manquant</v>
      </c>
      <c r="AF70" s="7"/>
      <c r="AG70" s="10"/>
      <c r="AH70" s="10"/>
      <c r="AI70" s="7" t="s">
        <v>160</v>
      </c>
      <c r="AJ70" s="10"/>
      <c r="AK70" s="10"/>
      <c r="AL70" s="10"/>
      <c r="AM70" s="11" t="s">
        <v>131</v>
      </c>
      <c r="AN70" s="11" t="s">
        <v>131</v>
      </c>
      <c r="AO70" s="11" t="s">
        <v>131</v>
      </c>
      <c r="AP70" s="11" t="s">
        <v>131</v>
      </c>
      <c r="AQ70" s="11"/>
      <c r="AR70" s="7"/>
    </row>
    <row r="71" spans="1:44" ht="14.4" x14ac:dyDescent="0.3">
      <c r="A71" s="6" t="s">
        <v>270</v>
      </c>
      <c r="B71" s="6" t="s">
        <v>548</v>
      </c>
      <c r="C71" s="6" t="s">
        <v>585</v>
      </c>
      <c r="D71" s="6" t="s">
        <v>550</v>
      </c>
      <c r="E71" s="6" t="s">
        <v>586</v>
      </c>
      <c r="F71" s="7" t="s">
        <v>125</v>
      </c>
      <c r="G71" s="10"/>
      <c r="H71" s="7" t="s">
        <v>93</v>
      </c>
      <c r="I71" s="7"/>
      <c r="J71" s="10"/>
      <c r="K71" s="6" t="s">
        <v>90</v>
      </c>
      <c r="L71" s="7"/>
      <c r="M71" s="14"/>
      <c r="N71" s="7" t="s">
        <v>93</v>
      </c>
      <c r="O71" s="10"/>
      <c r="P71" s="7" t="s">
        <v>90</v>
      </c>
      <c r="Q71" s="15">
        <f>IF(P71="oui",MIN(Parametres!$B$4,MAX(Parametres!$B$3,IF(M71="",Parametres!$B$3,ROUND(M71*10%,0)))),"")</f>
        <v>0</v>
      </c>
      <c r="R71" s="7" t="s">
        <v>134</v>
      </c>
      <c r="S71" s="7" t="s">
        <v>90</v>
      </c>
      <c r="T71" s="15">
        <f>IF(S71="oui",Parametres!$B$5,"")</f>
        <v>500</v>
      </c>
      <c r="U71" s="7" t="s">
        <v>134</v>
      </c>
      <c r="V71" s="15">
        <f t="shared" si="4"/>
        <v>500</v>
      </c>
      <c r="W71" s="15" t="str">
        <f t="shared" si="5"/>
        <v/>
      </c>
      <c r="X71" s="6" t="s">
        <v>90</v>
      </c>
      <c r="Y71" s="7" t="s">
        <v>133</v>
      </c>
      <c r="Z71" s="10"/>
      <c r="AA71" s="6" t="s">
        <v>93</v>
      </c>
      <c r="AB71" s="7" t="s">
        <v>160</v>
      </c>
      <c r="AC71" s="10"/>
      <c r="AD71" s="9" t="str">
        <f t="shared" si="6"/>
        <v>oui</v>
      </c>
      <c r="AE71" s="9" t="str">
        <f t="shared" si="7"/>
        <v>TAE manquant</v>
      </c>
      <c r="AF71" s="7"/>
      <c r="AG71" s="10"/>
      <c r="AH71" s="10"/>
      <c r="AI71" s="7" t="s">
        <v>160</v>
      </c>
      <c r="AJ71" s="10"/>
      <c r="AK71" s="10"/>
      <c r="AL71" s="10"/>
      <c r="AM71" s="11" t="s">
        <v>131</v>
      </c>
      <c r="AN71" s="11" t="s">
        <v>131</v>
      </c>
      <c r="AO71" s="11" t="s">
        <v>131</v>
      </c>
      <c r="AP71" s="11" t="s">
        <v>131</v>
      </c>
      <c r="AQ71" s="11"/>
      <c r="AR71" s="7"/>
    </row>
    <row r="72" spans="1:44" ht="14.4" x14ac:dyDescent="0.3">
      <c r="A72" s="6" t="s">
        <v>270</v>
      </c>
      <c r="B72" s="6" t="s">
        <v>548</v>
      </c>
      <c r="C72" s="6" t="s">
        <v>589</v>
      </c>
      <c r="D72" s="6" t="s">
        <v>550</v>
      </c>
      <c r="E72" s="6" t="s">
        <v>590</v>
      </c>
      <c r="F72" s="7" t="s">
        <v>125</v>
      </c>
      <c r="G72" s="10"/>
      <c r="H72" s="7" t="s">
        <v>93</v>
      </c>
      <c r="I72" s="7"/>
      <c r="J72" s="10"/>
      <c r="K72" s="6" t="s">
        <v>90</v>
      </c>
      <c r="L72" s="7"/>
      <c r="M72" s="14"/>
      <c r="N72" s="7" t="s">
        <v>93</v>
      </c>
      <c r="O72" s="10"/>
      <c r="P72" s="7" t="s">
        <v>90</v>
      </c>
      <c r="Q72" s="15">
        <f>IF(P72="oui",MIN(Parametres!$B$4,MAX(Parametres!$B$3,IF(M72="",Parametres!$B$3,ROUND(M72*10%,0)))),"")</f>
        <v>0</v>
      </c>
      <c r="R72" s="7" t="s">
        <v>134</v>
      </c>
      <c r="S72" s="7" t="s">
        <v>90</v>
      </c>
      <c r="T72" s="15">
        <f>IF(S72="oui",Parametres!$B$5,"")</f>
        <v>500</v>
      </c>
      <c r="U72" s="7" t="s">
        <v>134</v>
      </c>
      <c r="V72" s="15">
        <f t="shared" si="4"/>
        <v>500</v>
      </c>
      <c r="W72" s="15" t="str">
        <f t="shared" si="5"/>
        <v/>
      </c>
      <c r="X72" s="6" t="s">
        <v>90</v>
      </c>
      <c r="Y72" s="7" t="s">
        <v>133</v>
      </c>
      <c r="Z72" s="10"/>
      <c r="AA72" s="6" t="s">
        <v>93</v>
      </c>
      <c r="AB72" s="7" t="s">
        <v>160</v>
      </c>
      <c r="AC72" s="10"/>
      <c r="AD72" s="9" t="str">
        <f t="shared" si="6"/>
        <v>oui</v>
      </c>
      <c r="AE72" s="9" t="str">
        <f t="shared" si="7"/>
        <v>TAE manquant</v>
      </c>
      <c r="AF72" s="7"/>
      <c r="AG72" s="10"/>
      <c r="AH72" s="10"/>
      <c r="AI72" s="7" t="s">
        <v>160</v>
      </c>
      <c r="AJ72" s="10"/>
      <c r="AK72" s="10"/>
      <c r="AL72" s="10"/>
      <c r="AM72" s="11" t="s">
        <v>131</v>
      </c>
      <c r="AN72" s="11" t="s">
        <v>131</v>
      </c>
      <c r="AO72" s="11" t="s">
        <v>131</v>
      </c>
      <c r="AP72" s="11" t="s">
        <v>131</v>
      </c>
      <c r="AQ72" s="11"/>
      <c r="AR72" s="7"/>
    </row>
    <row r="73" spans="1:44" ht="14.4" x14ac:dyDescent="0.3">
      <c r="A73" s="6" t="s">
        <v>270</v>
      </c>
      <c r="B73" s="6" t="s">
        <v>548</v>
      </c>
      <c r="C73" s="6" t="s">
        <v>594</v>
      </c>
      <c r="D73" s="6" t="s">
        <v>550</v>
      </c>
      <c r="E73" s="6" t="s">
        <v>595</v>
      </c>
      <c r="F73" s="7" t="s">
        <v>125</v>
      </c>
      <c r="G73" s="10"/>
      <c r="H73" s="7" t="s">
        <v>93</v>
      </c>
      <c r="I73" s="7"/>
      <c r="J73" s="10"/>
      <c r="K73" s="6" t="s">
        <v>90</v>
      </c>
      <c r="L73" s="7"/>
      <c r="M73" s="14"/>
      <c r="N73" s="7" t="s">
        <v>93</v>
      </c>
      <c r="O73" s="10"/>
      <c r="P73" s="7" t="s">
        <v>90</v>
      </c>
      <c r="Q73" s="15">
        <f>IF(P73="oui",MIN(Parametres!$B$4,MAX(Parametres!$B$3,IF(M73="",Parametres!$B$3,ROUND(M73*10%,0)))),"")</f>
        <v>0</v>
      </c>
      <c r="R73" s="7" t="s">
        <v>134</v>
      </c>
      <c r="S73" s="7" t="s">
        <v>90</v>
      </c>
      <c r="T73" s="15">
        <f>IF(S73="oui",Parametres!$B$5,"")</f>
        <v>500</v>
      </c>
      <c r="U73" s="7" t="s">
        <v>134</v>
      </c>
      <c r="V73" s="15">
        <f t="shared" si="4"/>
        <v>500</v>
      </c>
      <c r="W73" s="15" t="str">
        <f t="shared" si="5"/>
        <v/>
      </c>
      <c r="X73" s="6" t="s">
        <v>90</v>
      </c>
      <c r="Y73" s="7" t="s">
        <v>133</v>
      </c>
      <c r="Z73" s="10"/>
      <c r="AA73" s="6" t="s">
        <v>93</v>
      </c>
      <c r="AB73" s="7" t="s">
        <v>160</v>
      </c>
      <c r="AC73" s="10"/>
      <c r="AD73" s="9" t="str">
        <f t="shared" si="6"/>
        <v>oui</v>
      </c>
      <c r="AE73" s="9" t="str">
        <f t="shared" si="7"/>
        <v>TAE manquant</v>
      </c>
      <c r="AF73" s="7"/>
      <c r="AG73" s="10"/>
      <c r="AH73" s="10"/>
      <c r="AI73" s="7" t="s">
        <v>160</v>
      </c>
      <c r="AJ73" s="10"/>
      <c r="AK73" s="10"/>
      <c r="AL73" s="10"/>
      <c r="AM73" s="11" t="s">
        <v>131</v>
      </c>
      <c r="AN73" s="11" t="s">
        <v>131</v>
      </c>
      <c r="AO73" s="11" t="s">
        <v>131</v>
      </c>
      <c r="AP73" s="11" t="s">
        <v>131</v>
      </c>
      <c r="AQ73" s="11"/>
      <c r="AR73" s="7"/>
    </row>
    <row r="74" spans="1:44" ht="14.4" x14ac:dyDescent="0.3">
      <c r="A74" s="6" t="s">
        <v>270</v>
      </c>
      <c r="B74" s="6" t="s">
        <v>548</v>
      </c>
      <c r="C74" s="6" t="s">
        <v>598</v>
      </c>
      <c r="D74" s="6" t="s">
        <v>550</v>
      </c>
      <c r="E74" s="6" t="s">
        <v>599</v>
      </c>
      <c r="F74" s="7" t="s">
        <v>125</v>
      </c>
      <c r="G74" s="10"/>
      <c r="H74" s="7" t="s">
        <v>93</v>
      </c>
      <c r="I74" s="7"/>
      <c r="J74" s="10"/>
      <c r="K74" s="6" t="s">
        <v>90</v>
      </c>
      <c r="L74" s="7"/>
      <c r="M74" s="14"/>
      <c r="N74" s="7" t="s">
        <v>93</v>
      </c>
      <c r="O74" s="10"/>
      <c r="P74" s="7" t="s">
        <v>90</v>
      </c>
      <c r="Q74" s="15">
        <f>IF(P74="oui",MIN(Parametres!$B$4,MAX(Parametres!$B$3,IF(M74="",Parametres!$B$3,ROUND(M74*10%,0)))),"")</f>
        <v>0</v>
      </c>
      <c r="R74" s="7" t="s">
        <v>134</v>
      </c>
      <c r="S74" s="7" t="s">
        <v>90</v>
      </c>
      <c r="T74" s="15">
        <f>IF(S74="oui",Parametres!$B$5,"")</f>
        <v>500</v>
      </c>
      <c r="U74" s="7" t="s">
        <v>134</v>
      </c>
      <c r="V74" s="15">
        <f t="shared" si="4"/>
        <v>500</v>
      </c>
      <c r="W74" s="15" t="str">
        <f t="shared" si="5"/>
        <v/>
      </c>
      <c r="X74" s="6" t="s">
        <v>90</v>
      </c>
      <c r="Y74" s="7" t="s">
        <v>133</v>
      </c>
      <c r="Z74" s="10"/>
      <c r="AA74" s="6" t="s">
        <v>93</v>
      </c>
      <c r="AB74" s="7" t="s">
        <v>160</v>
      </c>
      <c r="AC74" s="10"/>
      <c r="AD74" s="9" t="str">
        <f t="shared" si="6"/>
        <v>oui</v>
      </c>
      <c r="AE74" s="9" t="str">
        <f t="shared" si="7"/>
        <v>TAE manquant</v>
      </c>
      <c r="AF74" s="7"/>
      <c r="AG74" s="10"/>
      <c r="AH74" s="10"/>
      <c r="AI74" s="7" t="s">
        <v>160</v>
      </c>
      <c r="AJ74" s="10"/>
      <c r="AK74" s="10"/>
      <c r="AL74" s="10"/>
      <c r="AM74" s="11" t="s">
        <v>131</v>
      </c>
      <c r="AN74" s="11" t="s">
        <v>131</v>
      </c>
      <c r="AO74" s="11" t="s">
        <v>131</v>
      </c>
      <c r="AP74" s="11" t="s">
        <v>131</v>
      </c>
      <c r="AQ74" s="11"/>
      <c r="AR74" s="7"/>
    </row>
    <row r="75" spans="1:44" ht="14.4" x14ac:dyDescent="0.3">
      <c r="A75" s="6" t="s">
        <v>270</v>
      </c>
      <c r="B75" s="6" t="s">
        <v>548</v>
      </c>
      <c r="C75" s="6" t="s">
        <v>603</v>
      </c>
      <c r="D75" s="6" t="s">
        <v>550</v>
      </c>
      <c r="E75" s="6" t="s">
        <v>604</v>
      </c>
      <c r="F75" s="7" t="s">
        <v>125</v>
      </c>
      <c r="G75" s="10"/>
      <c r="H75" s="7" t="s">
        <v>93</v>
      </c>
      <c r="I75" s="7"/>
      <c r="J75" s="10"/>
      <c r="K75" s="6" t="s">
        <v>90</v>
      </c>
      <c r="L75" s="7"/>
      <c r="M75" s="14"/>
      <c r="N75" s="7" t="s">
        <v>93</v>
      </c>
      <c r="O75" s="10"/>
      <c r="P75" s="7" t="s">
        <v>90</v>
      </c>
      <c r="Q75" s="15">
        <f>IF(P75="oui",MIN(Parametres!$B$4,MAX(Parametres!$B$3,IF(M75="",Parametres!$B$3,ROUND(M75*10%,0)))),"")</f>
        <v>0</v>
      </c>
      <c r="R75" s="7" t="s">
        <v>134</v>
      </c>
      <c r="S75" s="7" t="s">
        <v>90</v>
      </c>
      <c r="T75" s="15">
        <f>IF(S75="oui",Parametres!$B$5,"")</f>
        <v>500</v>
      </c>
      <c r="U75" s="7" t="s">
        <v>134</v>
      </c>
      <c r="V75" s="15">
        <f t="shared" si="4"/>
        <v>500</v>
      </c>
      <c r="W75" s="15" t="str">
        <f t="shared" si="5"/>
        <v/>
      </c>
      <c r="X75" s="6" t="s">
        <v>90</v>
      </c>
      <c r="Y75" s="7" t="s">
        <v>133</v>
      </c>
      <c r="Z75" s="10"/>
      <c r="AA75" s="6" t="s">
        <v>93</v>
      </c>
      <c r="AB75" s="7" t="s">
        <v>160</v>
      </c>
      <c r="AC75" s="10"/>
      <c r="AD75" s="9" t="str">
        <f t="shared" si="6"/>
        <v>oui</v>
      </c>
      <c r="AE75" s="9" t="str">
        <f t="shared" si="7"/>
        <v>TAE manquant</v>
      </c>
      <c r="AF75" s="7"/>
      <c r="AG75" s="10"/>
      <c r="AH75" s="10"/>
      <c r="AI75" s="7" t="s">
        <v>160</v>
      </c>
      <c r="AJ75" s="10"/>
      <c r="AK75" s="10"/>
      <c r="AL75" s="10"/>
      <c r="AM75" s="11" t="s">
        <v>131</v>
      </c>
      <c r="AN75" s="11" t="s">
        <v>131</v>
      </c>
      <c r="AO75" s="11" t="s">
        <v>131</v>
      </c>
      <c r="AP75" s="11" t="s">
        <v>131</v>
      </c>
      <c r="AQ75" s="11"/>
      <c r="AR75" s="7"/>
    </row>
    <row r="76" spans="1:44" ht="14.4" x14ac:dyDescent="0.3">
      <c r="A76" s="6" t="s">
        <v>270</v>
      </c>
      <c r="B76" s="6" t="s">
        <v>548</v>
      </c>
      <c r="C76" s="6" t="s">
        <v>609</v>
      </c>
      <c r="D76" s="6" t="s">
        <v>550</v>
      </c>
      <c r="E76" s="6" t="s">
        <v>610</v>
      </c>
      <c r="F76" s="7" t="s">
        <v>125</v>
      </c>
      <c r="G76" s="10"/>
      <c r="H76" s="7" t="s">
        <v>93</v>
      </c>
      <c r="I76" s="7"/>
      <c r="J76" s="10"/>
      <c r="K76" s="6" t="s">
        <v>90</v>
      </c>
      <c r="L76" s="7"/>
      <c r="M76" s="14"/>
      <c r="N76" s="7" t="s">
        <v>93</v>
      </c>
      <c r="O76" s="10"/>
      <c r="P76" s="7" t="s">
        <v>90</v>
      </c>
      <c r="Q76" s="15">
        <f>IF(P76="oui",MIN(Parametres!$B$4,MAX(Parametres!$B$3,IF(M76="",Parametres!$B$3,ROUND(M76*10%,0)))),"")</f>
        <v>0</v>
      </c>
      <c r="R76" s="7" t="s">
        <v>134</v>
      </c>
      <c r="S76" s="7" t="s">
        <v>90</v>
      </c>
      <c r="T76" s="15">
        <f>IF(S76="oui",Parametres!$B$5,"")</f>
        <v>500</v>
      </c>
      <c r="U76" s="7" t="s">
        <v>134</v>
      </c>
      <c r="V76" s="15">
        <f t="shared" si="4"/>
        <v>500</v>
      </c>
      <c r="W76" s="15" t="str">
        <f t="shared" si="5"/>
        <v/>
      </c>
      <c r="X76" s="6" t="s">
        <v>90</v>
      </c>
      <c r="Y76" s="7" t="s">
        <v>133</v>
      </c>
      <c r="Z76" s="10"/>
      <c r="AA76" s="6" t="s">
        <v>93</v>
      </c>
      <c r="AB76" s="7" t="s">
        <v>160</v>
      </c>
      <c r="AC76" s="10"/>
      <c r="AD76" s="9" t="str">
        <f t="shared" si="6"/>
        <v>oui</v>
      </c>
      <c r="AE76" s="9" t="str">
        <f t="shared" si="7"/>
        <v>TAE manquant</v>
      </c>
      <c r="AF76" s="7"/>
      <c r="AG76" s="10"/>
      <c r="AH76" s="10"/>
      <c r="AI76" s="7" t="s">
        <v>160</v>
      </c>
      <c r="AJ76" s="10"/>
      <c r="AK76" s="10"/>
      <c r="AL76" s="10"/>
      <c r="AM76" s="11" t="s">
        <v>131</v>
      </c>
      <c r="AN76" s="11" t="s">
        <v>131</v>
      </c>
      <c r="AO76" s="11" t="s">
        <v>131</v>
      </c>
      <c r="AP76" s="11" t="s">
        <v>131</v>
      </c>
      <c r="AQ76" s="11"/>
      <c r="AR76" s="7"/>
    </row>
    <row r="77" spans="1:44" ht="14.4" x14ac:dyDescent="0.3">
      <c r="A77" s="6" t="s">
        <v>270</v>
      </c>
      <c r="B77" s="6" t="s">
        <v>548</v>
      </c>
      <c r="C77" s="6" t="s">
        <v>613</v>
      </c>
      <c r="D77" s="6" t="s">
        <v>550</v>
      </c>
      <c r="E77" s="6" t="s">
        <v>614</v>
      </c>
      <c r="F77" s="7" t="s">
        <v>125</v>
      </c>
      <c r="G77" s="10"/>
      <c r="H77" s="7" t="s">
        <v>93</v>
      </c>
      <c r="I77" s="7"/>
      <c r="J77" s="10"/>
      <c r="K77" s="6" t="s">
        <v>90</v>
      </c>
      <c r="L77" s="7"/>
      <c r="M77" s="14"/>
      <c r="N77" s="7" t="s">
        <v>93</v>
      </c>
      <c r="O77" s="10"/>
      <c r="P77" s="7" t="s">
        <v>90</v>
      </c>
      <c r="Q77" s="15">
        <f>IF(P77="oui",MIN(Parametres!$B$4,MAX(Parametres!$B$3,IF(M77="",Parametres!$B$3,ROUND(M77*10%,0)))),"")</f>
        <v>0</v>
      </c>
      <c r="R77" s="7" t="s">
        <v>134</v>
      </c>
      <c r="S77" s="7" t="s">
        <v>90</v>
      </c>
      <c r="T77" s="15">
        <f>IF(S77="oui",Parametres!$B$5,"")</f>
        <v>500</v>
      </c>
      <c r="U77" s="7" t="s">
        <v>134</v>
      </c>
      <c r="V77" s="15">
        <f t="shared" si="4"/>
        <v>500</v>
      </c>
      <c r="W77" s="15" t="str">
        <f t="shared" si="5"/>
        <v/>
      </c>
      <c r="X77" s="6" t="s">
        <v>90</v>
      </c>
      <c r="Y77" s="7" t="s">
        <v>133</v>
      </c>
      <c r="Z77" s="10"/>
      <c r="AA77" s="6" t="s">
        <v>93</v>
      </c>
      <c r="AB77" s="7" t="s">
        <v>160</v>
      </c>
      <c r="AC77" s="10"/>
      <c r="AD77" s="9" t="str">
        <f t="shared" si="6"/>
        <v>oui</v>
      </c>
      <c r="AE77" s="9" t="str">
        <f t="shared" si="7"/>
        <v>TAE manquant</v>
      </c>
      <c r="AF77" s="7"/>
      <c r="AG77" s="10"/>
      <c r="AH77" s="10"/>
      <c r="AI77" s="7" t="s">
        <v>160</v>
      </c>
      <c r="AJ77" s="10"/>
      <c r="AK77" s="10"/>
      <c r="AL77" s="10"/>
      <c r="AM77" s="11" t="s">
        <v>131</v>
      </c>
      <c r="AN77" s="11" t="s">
        <v>131</v>
      </c>
      <c r="AO77" s="11" t="s">
        <v>131</v>
      </c>
      <c r="AP77" s="11" t="s">
        <v>131</v>
      </c>
      <c r="AQ77" s="11"/>
      <c r="AR77" s="7"/>
    </row>
    <row r="78" spans="1:44" ht="14.4" x14ac:dyDescent="0.3">
      <c r="A78" s="6" t="s">
        <v>270</v>
      </c>
      <c r="B78" s="6" t="s">
        <v>548</v>
      </c>
      <c r="C78" s="6" t="s">
        <v>618</v>
      </c>
      <c r="D78" s="6" t="s">
        <v>550</v>
      </c>
      <c r="E78" s="6" t="s">
        <v>619</v>
      </c>
      <c r="F78" s="7" t="s">
        <v>125</v>
      </c>
      <c r="G78" s="10"/>
      <c r="H78" s="7" t="s">
        <v>93</v>
      </c>
      <c r="I78" s="7"/>
      <c r="J78" s="10"/>
      <c r="K78" s="6" t="s">
        <v>90</v>
      </c>
      <c r="L78" s="7"/>
      <c r="M78" s="14"/>
      <c r="N78" s="7" t="s">
        <v>93</v>
      </c>
      <c r="O78" s="10"/>
      <c r="P78" s="7" t="s">
        <v>90</v>
      </c>
      <c r="Q78" s="15">
        <f>IF(P78="oui",MIN(Parametres!$B$4,MAX(Parametres!$B$3,IF(M78="",Parametres!$B$3,ROUND(M78*10%,0)))),"")</f>
        <v>0</v>
      </c>
      <c r="R78" s="7" t="s">
        <v>134</v>
      </c>
      <c r="S78" s="7" t="s">
        <v>90</v>
      </c>
      <c r="T78" s="15">
        <f>IF(S78="oui",Parametres!$B$5,"")</f>
        <v>500</v>
      </c>
      <c r="U78" s="7" t="s">
        <v>134</v>
      </c>
      <c r="V78" s="15">
        <f t="shared" si="4"/>
        <v>500</v>
      </c>
      <c r="W78" s="15" t="str">
        <f t="shared" si="5"/>
        <v/>
      </c>
      <c r="X78" s="6" t="s">
        <v>90</v>
      </c>
      <c r="Y78" s="7" t="s">
        <v>133</v>
      </c>
      <c r="Z78" s="10"/>
      <c r="AA78" s="6" t="s">
        <v>93</v>
      </c>
      <c r="AB78" s="7" t="s">
        <v>160</v>
      </c>
      <c r="AC78" s="10"/>
      <c r="AD78" s="9" t="str">
        <f t="shared" si="6"/>
        <v>oui</v>
      </c>
      <c r="AE78" s="9" t="str">
        <f t="shared" si="7"/>
        <v>TAE manquant</v>
      </c>
      <c r="AF78" s="7"/>
      <c r="AG78" s="10"/>
      <c r="AH78" s="10"/>
      <c r="AI78" s="7" t="s">
        <v>160</v>
      </c>
      <c r="AJ78" s="10"/>
      <c r="AK78" s="10"/>
      <c r="AL78" s="10"/>
      <c r="AM78" s="11" t="s">
        <v>131</v>
      </c>
      <c r="AN78" s="11" t="s">
        <v>131</v>
      </c>
      <c r="AO78" s="11" t="s">
        <v>131</v>
      </c>
      <c r="AP78" s="11" t="s">
        <v>131</v>
      </c>
      <c r="AQ78" s="11"/>
      <c r="AR78" s="7"/>
    </row>
    <row r="79" spans="1:44" ht="14.4" x14ac:dyDescent="0.3">
      <c r="A79" s="6" t="s">
        <v>270</v>
      </c>
      <c r="B79" s="6" t="s">
        <v>548</v>
      </c>
      <c r="C79" s="6" t="s">
        <v>623</v>
      </c>
      <c r="D79" s="6" t="s">
        <v>550</v>
      </c>
      <c r="E79" s="6" t="s">
        <v>624</v>
      </c>
      <c r="F79" s="7" t="s">
        <v>125</v>
      </c>
      <c r="G79" s="10"/>
      <c r="H79" s="7" t="s">
        <v>93</v>
      </c>
      <c r="I79" s="7"/>
      <c r="J79" s="10"/>
      <c r="K79" s="6" t="s">
        <v>90</v>
      </c>
      <c r="L79" s="7"/>
      <c r="M79" s="14"/>
      <c r="N79" s="7" t="s">
        <v>93</v>
      </c>
      <c r="O79" s="10"/>
      <c r="P79" s="7" t="s">
        <v>90</v>
      </c>
      <c r="Q79" s="15">
        <f>IF(P79="oui",MIN(Parametres!$B$4,MAX(Parametres!$B$3,IF(M79="",Parametres!$B$3,ROUND(M79*10%,0)))),"")</f>
        <v>0</v>
      </c>
      <c r="R79" s="7" t="s">
        <v>134</v>
      </c>
      <c r="S79" s="7" t="s">
        <v>90</v>
      </c>
      <c r="T79" s="15">
        <f>IF(S79="oui",Parametres!$B$5,"")</f>
        <v>500</v>
      </c>
      <c r="U79" s="7" t="s">
        <v>134</v>
      </c>
      <c r="V79" s="15">
        <f t="shared" si="4"/>
        <v>500</v>
      </c>
      <c r="W79" s="15" t="str">
        <f t="shared" si="5"/>
        <v/>
      </c>
      <c r="X79" s="6" t="s">
        <v>90</v>
      </c>
      <c r="Y79" s="7" t="s">
        <v>133</v>
      </c>
      <c r="Z79" s="10"/>
      <c r="AA79" s="6" t="s">
        <v>93</v>
      </c>
      <c r="AB79" s="7" t="s">
        <v>160</v>
      </c>
      <c r="AC79" s="10"/>
      <c r="AD79" s="9" t="str">
        <f t="shared" si="6"/>
        <v>oui</v>
      </c>
      <c r="AE79" s="9" t="str">
        <f t="shared" si="7"/>
        <v>TAE manquant</v>
      </c>
      <c r="AF79" s="7"/>
      <c r="AG79" s="10"/>
      <c r="AH79" s="10"/>
      <c r="AI79" s="7" t="s">
        <v>160</v>
      </c>
      <c r="AJ79" s="10"/>
      <c r="AK79" s="10"/>
      <c r="AL79" s="10"/>
      <c r="AM79" s="11" t="s">
        <v>131</v>
      </c>
      <c r="AN79" s="11" t="s">
        <v>131</v>
      </c>
      <c r="AO79" s="11" t="s">
        <v>131</v>
      </c>
      <c r="AP79" s="11" t="s">
        <v>131</v>
      </c>
      <c r="AQ79" s="11"/>
      <c r="AR79" s="7"/>
    </row>
    <row r="80" spans="1:44" ht="14.4" x14ac:dyDescent="0.3">
      <c r="A80" s="6" t="s">
        <v>270</v>
      </c>
      <c r="B80" s="6" t="s">
        <v>548</v>
      </c>
      <c r="C80" s="6" t="s">
        <v>628</v>
      </c>
      <c r="D80" s="6" t="s">
        <v>550</v>
      </c>
      <c r="E80" s="6" t="s">
        <v>629</v>
      </c>
      <c r="F80" s="7" t="s">
        <v>125</v>
      </c>
      <c r="G80" s="10"/>
      <c r="H80" s="7" t="s">
        <v>93</v>
      </c>
      <c r="I80" s="7"/>
      <c r="J80" s="10"/>
      <c r="K80" s="6" t="s">
        <v>90</v>
      </c>
      <c r="L80" s="7"/>
      <c r="M80" s="14"/>
      <c r="N80" s="7" t="s">
        <v>93</v>
      </c>
      <c r="O80" s="10"/>
      <c r="P80" s="7" t="s">
        <v>90</v>
      </c>
      <c r="Q80" s="15">
        <f>IF(P80="oui",MIN(Parametres!$B$4,MAX(Parametres!$B$3,IF(M80="",Parametres!$B$3,ROUND(M80*10%,0)))),"")</f>
        <v>0</v>
      </c>
      <c r="R80" s="7" t="s">
        <v>134</v>
      </c>
      <c r="S80" s="7" t="s">
        <v>90</v>
      </c>
      <c r="T80" s="15">
        <f>IF(S80="oui",Parametres!$B$5,"")</f>
        <v>500</v>
      </c>
      <c r="U80" s="7" t="s">
        <v>134</v>
      </c>
      <c r="V80" s="15">
        <f t="shared" si="4"/>
        <v>500</v>
      </c>
      <c r="W80" s="15" t="str">
        <f t="shared" si="5"/>
        <v/>
      </c>
      <c r="X80" s="6" t="s">
        <v>90</v>
      </c>
      <c r="Y80" s="7" t="s">
        <v>133</v>
      </c>
      <c r="Z80" s="10"/>
      <c r="AA80" s="6" t="s">
        <v>93</v>
      </c>
      <c r="AB80" s="7" t="s">
        <v>160</v>
      </c>
      <c r="AC80" s="10"/>
      <c r="AD80" s="9" t="str">
        <f t="shared" si="6"/>
        <v>oui</v>
      </c>
      <c r="AE80" s="9" t="str">
        <f t="shared" si="7"/>
        <v>TAE manquant</v>
      </c>
      <c r="AF80" s="7"/>
      <c r="AG80" s="10"/>
      <c r="AH80" s="10"/>
      <c r="AI80" s="7" t="s">
        <v>160</v>
      </c>
      <c r="AJ80" s="10"/>
      <c r="AK80" s="10"/>
      <c r="AL80" s="10"/>
      <c r="AM80" s="11" t="s">
        <v>131</v>
      </c>
      <c r="AN80" s="11" t="s">
        <v>131</v>
      </c>
      <c r="AO80" s="11" t="s">
        <v>131</v>
      </c>
      <c r="AP80" s="11" t="s">
        <v>131</v>
      </c>
      <c r="AQ80" s="11"/>
      <c r="AR80" s="7"/>
    </row>
    <row r="81" spans="1:44" ht="14.4" x14ac:dyDescent="0.3">
      <c r="A81" s="6" t="s">
        <v>270</v>
      </c>
      <c r="B81" s="6" t="s">
        <v>548</v>
      </c>
      <c r="C81" s="6" t="s">
        <v>633</v>
      </c>
      <c r="D81" s="6" t="s">
        <v>550</v>
      </c>
      <c r="E81" s="6" t="s">
        <v>634</v>
      </c>
      <c r="F81" s="7" t="s">
        <v>125</v>
      </c>
      <c r="G81" s="10"/>
      <c r="H81" s="7" t="s">
        <v>93</v>
      </c>
      <c r="I81" s="7"/>
      <c r="J81" s="10"/>
      <c r="K81" s="6" t="s">
        <v>90</v>
      </c>
      <c r="L81" s="7"/>
      <c r="M81" s="14"/>
      <c r="N81" s="7" t="s">
        <v>93</v>
      </c>
      <c r="O81" s="10"/>
      <c r="P81" s="7" t="s">
        <v>90</v>
      </c>
      <c r="Q81" s="15">
        <f>IF(P81="oui",MIN(Parametres!$B$4,MAX(Parametres!$B$3,IF(M81="",Parametres!$B$3,ROUND(M81*10%,0)))),"")</f>
        <v>0</v>
      </c>
      <c r="R81" s="7" t="s">
        <v>134</v>
      </c>
      <c r="S81" s="7" t="s">
        <v>90</v>
      </c>
      <c r="T81" s="15">
        <f>IF(S81="oui",Parametres!$B$5,"")</f>
        <v>500</v>
      </c>
      <c r="U81" s="7" t="s">
        <v>134</v>
      </c>
      <c r="V81" s="15">
        <f t="shared" si="4"/>
        <v>500</v>
      </c>
      <c r="W81" s="15" t="str">
        <f t="shared" si="5"/>
        <v/>
      </c>
      <c r="X81" s="6" t="s">
        <v>90</v>
      </c>
      <c r="Y81" s="7" t="s">
        <v>133</v>
      </c>
      <c r="Z81" s="10"/>
      <c r="AA81" s="6" t="s">
        <v>93</v>
      </c>
      <c r="AB81" s="7" t="s">
        <v>160</v>
      </c>
      <c r="AC81" s="10"/>
      <c r="AD81" s="9" t="str">
        <f t="shared" si="6"/>
        <v>oui</v>
      </c>
      <c r="AE81" s="9" t="str">
        <f t="shared" si="7"/>
        <v>TAE manquant</v>
      </c>
      <c r="AF81" s="7"/>
      <c r="AG81" s="10"/>
      <c r="AH81" s="10"/>
      <c r="AI81" s="7" t="s">
        <v>160</v>
      </c>
      <c r="AJ81" s="10"/>
      <c r="AK81" s="10"/>
      <c r="AL81" s="10"/>
      <c r="AM81" s="11" t="s">
        <v>131</v>
      </c>
      <c r="AN81" s="11" t="s">
        <v>131</v>
      </c>
      <c r="AO81" s="11" t="s">
        <v>131</v>
      </c>
      <c r="AP81" s="11" t="s">
        <v>131</v>
      </c>
      <c r="AQ81" s="11"/>
      <c r="AR81" s="7"/>
    </row>
    <row r="82" spans="1:44" ht="14.4" x14ac:dyDescent="0.3">
      <c r="A82" s="6" t="s">
        <v>270</v>
      </c>
      <c r="B82" s="6" t="s">
        <v>548</v>
      </c>
      <c r="C82" s="6" t="s">
        <v>640</v>
      </c>
      <c r="D82" s="6" t="s">
        <v>550</v>
      </c>
      <c r="E82" s="6" t="s">
        <v>641</v>
      </c>
      <c r="F82" s="7" t="s">
        <v>125</v>
      </c>
      <c r="G82" s="10"/>
      <c r="H82" s="7" t="s">
        <v>93</v>
      </c>
      <c r="I82" s="7"/>
      <c r="J82" s="10"/>
      <c r="K82" s="6" t="s">
        <v>90</v>
      </c>
      <c r="L82" s="7"/>
      <c r="M82" s="14"/>
      <c r="N82" s="7" t="s">
        <v>93</v>
      </c>
      <c r="O82" s="10"/>
      <c r="P82" s="7" t="s">
        <v>90</v>
      </c>
      <c r="Q82" s="15">
        <f>IF(P82="oui",MIN(Parametres!$B$4,MAX(Parametres!$B$3,IF(M82="",Parametres!$B$3,ROUND(M82*10%,0)))),"")</f>
        <v>0</v>
      </c>
      <c r="R82" s="7" t="s">
        <v>134</v>
      </c>
      <c r="S82" s="7" t="s">
        <v>90</v>
      </c>
      <c r="T82" s="15">
        <f>IF(S82="oui",Parametres!$B$5,"")</f>
        <v>500</v>
      </c>
      <c r="U82" s="7" t="s">
        <v>134</v>
      </c>
      <c r="V82" s="15">
        <f t="shared" si="4"/>
        <v>500</v>
      </c>
      <c r="W82" s="15" t="str">
        <f t="shared" si="5"/>
        <v/>
      </c>
      <c r="X82" s="6" t="s">
        <v>90</v>
      </c>
      <c r="Y82" s="7" t="s">
        <v>133</v>
      </c>
      <c r="Z82" s="10"/>
      <c r="AA82" s="6" t="s">
        <v>93</v>
      </c>
      <c r="AB82" s="7" t="s">
        <v>160</v>
      </c>
      <c r="AC82" s="10"/>
      <c r="AD82" s="9" t="str">
        <f t="shared" si="6"/>
        <v>oui</v>
      </c>
      <c r="AE82" s="9" t="str">
        <f t="shared" si="7"/>
        <v>TAE manquant</v>
      </c>
      <c r="AF82" s="7"/>
      <c r="AG82" s="10"/>
      <c r="AH82" s="10"/>
      <c r="AI82" s="7" t="s">
        <v>160</v>
      </c>
      <c r="AJ82" s="10"/>
      <c r="AK82" s="10"/>
      <c r="AL82" s="10"/>
      <c r="AM82" s="11" t="s">
        <v>131</v>
      </c>
      <c r="AN82" s="11" t="s">
        <v>131</v>
      </c>
      <c r="AO82" s="11" t="s">
        <v>131</v>
      </c>
      <c r="AP82" s="11" t="s">
        <v>131</v>
      </c>
      <c r="AQ82" s="11"/>
      <c r="AR82" s="7"/>
    </row>
    <row r="83" spans="1:44" ht="14.4" x14ac:dyDescent="0.3">
      <c r="A83" s="6" t="s">
        <v>270</v>
      </c>
      <c r="B83" s="6" t="s">
        <v>548</v>
      </c>
      <c r="C83" s="6" t="s">
        <v>644</v>
      </c>
      <c r="D83" s="6" t="s">
        <v>550</v>
      </c>
      <c r="E83" s="6" t="s">
        <v>645</v>
      </c>
      <c r="F83" s="7" t="s">
        <v>125</v>
      </c>
      <c r="G83" s="10"/>
      <c r="H83" s="7" t="s">
        <v>93</v>
      </c>
      <c r="I83" s="7"/>
      <c r="J83" s="10"/>
      <c r="K83" s="6" t="s">
        <v>90</v>
      </c>
      <c r="L83" s="7"/>
      <c r="M83" s="14"/>
      <c r="N83" s="7" t="s">
        <v>93</v>
      </c>
      <c r="O83" s="10"/>
      <c r="P83" s="7" t="s">
        <v>90</v>
      </c>
      <c r="Q83" s="15">
        <f>IF(P83="oui",MIN(Parametres!$B$4,MAX(Parametres!$B$3,IF(M83="",Parametres!$B$3,ROUND(M83*10%,0)))),"")</f>
        <v>0</v>
      </c>
      <c r="R83" s="7" t="s">
        <v>134</v>
      </c>
      <c r="S83" s="7" t="s">
        <v>90</v>
      </c>
      <c r="T83" s="15">
        <f>IF(S83="oui",Parametres!$B$5,"")</f>
        <v>500</v>
      </c>
      <c r="U83" s="7" t="s">
        <v>134</v>
      </c>
      <c r="V83" s="15">
        <f t="shared" si="4"/>
        <v>500</v>
      </c>
      <c r="W83" s="15" t="str">
        <f t="shared" si="5"/>
        <v/>
      </c>
      <c r="X83" s="6" t="s">
        <v>90</v>
      </c>
      <c r="Y83" s="7" t="s">
        <v>133</v>
      </c>
      <c r="Z83" s="10"/>
      <c r="AA83" s="6" t="s">
        <v>93</v>
      </c>
      <c r="AB83" s="7" t="s">
        <v>160</v>
      </c>
      <c r="AC83" s="10"/>
      <c r="AD83" s="9" t="str">
        <f t="shared" si="6"/>
        <v>oui</v>
      </c>
      <c r="AE83" s="9" t="str">
        <f t="shared" si="7"/>
        <v>TAE manquant</v>
      </c>
      <c r="AF83" s="7"/>
      <c r="AG83" s="10"/>
      <c r="AH83" s="10"/>
      <c r="AI83" s="7" t="s">
        <v>160</v>
      </c>
      <c r="AJ83" s="10"/>
      <c r="AK83" s="10"/>
      <c r="AL83" s="10"/>
      <c r="AM83" s="11" t="s">
        <v>131</v>
      </c>
      <c r="AN83" s="11" t="s">
        <v>131</v>
      </c>
      <c r="AO83" s="11" t="s">
        <v>131</v>
      </c>
      <c r="AP83" s="11" t="s">
        <v>131</v>
      </c>
      <c r="AQ83" s="11"/>
      <c r="AR83" s="7"/>
    </row>
    <row r="84" spans="1:44" ht="14.4" x14ac:dyDescent="0.3">
      <c r="A84" s="6" t="s">
        <v>270</v>
      </c>
      <c r="B84" s="6" t="s">
        <v>548</v>
      </c>
      <c r="C84" s="6" t="s">
        <v>651</v>
      </c>
      <c r="D84" s="6" t="s">
        <v>550</v>
      </c>
      <c r="E84" s="6" t="s">
        <v>652</v>
      </c>
      <c r="F84" s="7" t="s">
        <v>125</v>
      </c>
      <c r="G84" s="10"/>
      <c r="H84" s="7" t="s">
        <v>93</v>
      </c>
      <c r="I84" s="7"/>
      <c r="J84" s="10"/>
      <c r="K84" s="6" t="s">
        <v>90</v>
      </c>
      <c r="L84" s="7"/>
      <c r="M84" s="14"/>
      <c r="N84" s="7" t="s">
        <v>93</v>
      </c>
      <c r="O84" s="10"/>
      <c r="P84" s="7" t="s">
        <v>90</v>
      </c>
      <c r="Q84" s="15">
        <f>IF(P84="oui",MIN(Parametres!$B$4,MAX(Parametres!$B$3,IF(M84="",Parametres!$B$3,ROUND(M84*10%,0)))),"")</f>
        <v>0</v>
      </c>
      <c r="R84" s="7" t="s">
        <v>134</v>
      </c>
      <c r="S84" s="7" t="s">
        <v>90</v>
      </c>
      <c r="T84" s="15">
        <f>IF(S84="oui",Parametres!$B$5,"")</f>
        <v>500</v>
      </c>
      <c r="U84" s="7" t="s">
        <v>134</v>
      </c>
      <c r="V84" s="15">
        <f t="shared" si="4"/>
        <v>500</v>
      </c>
      <c r="W84" s="15" t="str">
        <f t="shared" si="5"/>
        <v/>
      </c>
      <c r="X84" s="6" t="s">
        <v>90</v>
      </c>
      <c r="Y84" s="7" t="s">
        <v>133</v>
      </c>
      <c r="Z84" s="10"/>
      <c r="AA84" s="6" t="s">
        <v>93</v>
      </c>
      <c r="AB84" s="7" t="s">
        <v>160</v>
      </c>
      <c r="AC84" s="10"/>
      <c r="AD84" s="9" t="str">
        <f t="shared" si="6"/>
        <v>oui</v>
      </c>
      <c r="AE84" s="9" t="str">
        <f t="shared" si="7"/>
        <v>TAE manquant</v>
      </c>
      <c r="AF84" s="7"/>
      <c r="AG84" s="10"/>
      <c r="AH84" s="10"/>
      <c r="AI84" s="7" t="s">
        <v>160</v>
      </c>
      <c r="AJ84" s="10"/>
      <c r="AK84" s="10"/>
      <c r="AL84" s="10"/>
      <c r="AM84" s="11" t="s">
        <v>131</v>
      </c>
      <c r="AN84" s="11" t="s">
        <v>131</v>
      </c>
      <c r="AO84" s="11" t="s">
        <v>131</v>
      </c>
      <c r="AP84" s="11" t="s">
        <v>131</v>
      </c>
      <c r="AQ84" s="11"/>
      <c r="AR84" s="7"/>
    </row>
    <row r="85" spans="1:44" ht="14.4" x14ac:dyDescent="0.3">
      <c r="A85" s="6" t="s">
        <v>270</v>
      </c>
      <c r="B85" s="6" t="s">
        <v>548</v>
      </c>
      <c r="C85" s="6" t="s">
        <v>656</v>
      </c>
      <c r="D85" s="6" t="s">
        <v>550</v>
      </c>
      <c r="E85" s="6" t="s">
        <v>657</v>
      </c>
      <c r="F85" s="7" t="s">
        <v>125</v>
      </c>
      <c r="G85" s="10"/>
      <c r="H85" s="7" t="s">
        <v>93</v>
      </c>
      <c r="I85" s="7"/>
      <c r="J85" s="10"/>
      <c r="K85" s="6" t="s">
        <v>90</v>
      </c>
      <c r="L85" s="7"/>
      <c r="M85" s="14"/>
      <c r="N85" s="7" t="s">
        <v>93</v>
      </c>
      <c r="O85" s="10"/>
      <c r="P85" s="7" t="s">
        <v>90</v>
      </c>
      <c r="Q85" s="15">
        <f>IF(P85="oui",MIN(Parametres!$B$4,MAX(Parametres!$B$3,IF(M85="",Parametres!$B$3,ROUND(M85*10%,0)))),"")</f>
        <v>0</v>
      </c>
      <c r="R85" s="7" t="s">
        <v>134</v>
      </c>
      <c r="S85" s="7" t="s">
        <v>90</v>
      </c>
      <c r="T85" s="15">
        <f>IF(S85="oui",Parametres!$B$5,"")</f>
        <v>500</v>
      </c>
      <c r="U85" s="7" t="s">
        <v>134</v>
      </c>
      <c r="V85" s="15">
        <f t="shared" si="4"/>
        <v>500</v>
      </c>
      <c r="W85" s="15" t="str">
        <f t="shared" si="5"/>
        <v/>
      </c>
      <c r="X85" s="6" t="s">
        <v>90</v>
      </c>
      <c r="Y85" s="7" t="s">
        <v>133</v>
      </c>
      <c r="Z85" s="10"/>
      <c r="AA85" s="6" t="s">
        <v>93</v>
      </c>
      <c r="AB85" s="7" t="s">
        <v>160</v>
      </c>
      <c r="AC85" s="10"/>
      <c r="AD85" s="9" t="str">
        <f t="shared" si="6"/>
        <v>oui</v>
      </c>
      <c r="AE85" s="9" t="str">
        <f t="shared" si="7"/>
        <v>TAE manquant</v>
      </c>
      <c r="AF85" s="7"/>
      <c r="AG85" s="10"/>
      <c r="AH85" s="10"/>
      <c r="AI85" s="7" t="s">
        <v>160</v>
      </c>
      <c r="AJ85" s="10"/>
      <c r="AK85" s="10"/>
      <c r="AL85" s="10"/>
      <c r="AM85" s="11" t="s">
        <v>131</v>
      </c>
      <c r="AN85" s="11" t="s">
        <v>131</v>
      </c>
      <c r="AO85" s="11" t="s">
        <v>131</v>
      </c>
      <c r="AP85" s="11" t="s">
        <v>131</v>
      </c>
      <c r="AQ85" s="11"/>
      <c r="AR85" s="7"/>
    </row>
    <row r="86" spans="1:44" ht="14.4" x14ac:dyDescent="0.3">
      <c r="A86" s="6" t="s">
        <v>270</v>
      </c>
      <c r="B86" s="6" t="s">
        <v>548</v>
      </c>
      <c r="C86" s="6" t="s">
        <v>661</v>
      </c>
      <c r="D86" s="6" t="s">
        <v>550</v>
      </c>
      <c r="E86" s="6" t="s">
        <v>662</v>
      </c>
      <c r="F86" s="7" t="s">
        <v>125</v>
      </c>
      <c r="G86" s="10"/>
      <c r="H86" s="7" t="s">
        <v>93</v>
      </c>
      <c r="I86" s="7"/>
      <c r="J86" s="10"/>
      <c r="K86" s="6" t="s">
        <v>90</v>
      </c>
      <c r="L86" s="7"/>
      <c r="M86" s="14"/>
      <c r="N86" s="7" t="s">
        <v>93</v>
      </c>
      <c r="O86" s="10"/>
      <c r="P86" s="7" t="s">
        <v>90</v>
      </c>
      <c r="Q86" s="15">
        <f>IF(P86="oui",MIN(Parametres!$B$4,MAX(Parametres!$B$3,IF(M86="",Parametres!$B$3,ROUND(M86*10%,0)))),"")</f>
        <v>0</v>
      </c>
      <c r="R86" s="7" t="s">
        <v>134</v>
      </c>
      <c r="S86" s="7" t="s">
        <v>90</v>
      </c>
      <c r="T86" s="15">
        <f>IF(S86="oui",Parametres!$B$5,"")</f>
        <v>500</v>
      </c>
      <c r="U86" s="7" t="s">
        <v>134</v>
      </c>
      <c r="V86" s="15">
        <f t="shared" si="4"/>
        <v>500</v>
      </c>
      <c r="W86" s="15" t="str">
        <f t="shared" si="5"/>
        <v/>
      </c>
      <c r="X86" s="6" t="s">
        <v>90</v>
      </c>
      <c r="Y86" s="7" t="s">
        <v>133</v>
      </c>
      <c r="Z86" s="10"/>
      <c r="AA86" s="6" t="s">
        <v>93</v>
      </c>
      <c r="AB86" s="7" t="s">
        <v>160</v>
      </c>
      <c r="AC86" s="10"/>
      <c r="AD86" s="9" t="str">
        <f t="shared" si="6"/>
        <v>oui</v>
      </c>
      <c r="AE86" s="9" t="str">
        <f t="shared" si="7"/>
        <v>TAE manquant</v>
      </c>
      <c r="AF86" s="7"/>
      <c r="AG86" s="10"/>
      <c r="AH86" s="10"/>
      <c r="AI86" s="7" t="s">
        <v>160</v>
      </c>
      <c r="AJ86" s="10"/>
      <c r="AK86" s="10"/>
      <c r="AL86" s="10"/>
      <c r="AM86" s="11" t="s">
        <v>131</v>
      </c>
      <c r="AN86" s="11" t="s">
        <v>131</v>
      </c>
      <c r="AO86" s="11" t="s">
        <v>131</v>
      </c>
      <c r="AP86" s="11" t="s">
        <v>131</v>
      </c>
      <c r="AQ86" s="11"/>
      <c r="AR86" s="7"/>
    </row>
    <row r="87" spans="1:44" ht="14.4" x14ac:dyDescent="0.3">
      <c r="A87" s="6" t="s">
        <v>270</v>
      </c>
      <c r="B87" s="6" t="s">
        <v>548</v>
      </c>
      <c r="C87" s="6" t="s">
        <v>666</v>
      </c>
      <c r="D87" s="6" t="s">
        <v>550</v>
      </c>
      <c r="E87" s="6" t="s">
        <v>667</v>
      </c>
      <c r="F87" s="7" t="s">
        <v>125</v>
      </c>
      <c r="G87" s="10"/>
      <c r="H87" s="7" t="s">
        <v>93</v>
      </c>
      <c r="I87" s="7"/>
      <c r="J87" s="10"/>
      <c r="K87" s="6" t="s">
        <v>90</v>
      </c>
      <c r="L87" s="7"/>
      <c r="M87" s="14"/>
      <c r="N87" s="7" t="s">
        <v>93</v>
      </c>
      <c r="O87" s="10"/>
      <c r="P87" s="7" t="s">
        <v>90</v>
      </c>
      <c r="Q87" s="15">
        <f>IF(P87="oui",MIN(Parametres!$B$4,MAX(Parametres!$B$3,IF(M87="",Parametres!$B$3,ROUND(M87*10%,0)))),"")</f>
        <v>0</v>
      </c>
      <c r="R87" s="7" t="s">
        <v>134</v>
      </c>
      <c r="S87" s="7" t="s">
        <v>90</v>
      </c>
      <c r="T87" s="15">
        <f>IF(S87="oui",Parametres!$B$5,"")</f>
        <v>500</v>
      </c>
      <c r="U87" s="7" t="s">
        <v>134</v>
      </c>
      <c r="V87" s="15">
        <f t="shared" si="4"/>
        <v>500</v>
      </c>
      <c r="W87" s="15" t="str">
        <f t="shared" si="5"/>
        <v/>
      </c>
      <c r="X87" s="6" t="s">
        <v>90</v>
      </c>
      <c r="Y87" s="7" t="s">
        <v>133</v>
      </c>
      <c r="Z87" s="10"/>
      <c r="AA87" s="6" t="s">
        <v>93</v>
      </c>
      <c r="AB87" s="7" t="s">
        <v>160</v>
      </c>
      <c r="AC87" s="10"/>
      <c r="AD87" s="9" t="str">
        <f t="shared" si="6"/>
        <v>oui</v>
      </c>
      <c r="AE87" s="9" t="str">
        <f t="shared" si="7"/>
        <v>TAE manquant</v>
      </c>
      <c r="AF87" s="7"/>
      <c r="AG87" s="10"/>
      <c r="AH87" s="10"/>
      <c r="AI87" s="7" t="s">
        <v>160</v>
      </c>
      <c r="AJ87" s="10"/>
      <c r="AK87" s="10"/>
      <c r="AL87" s="10"/>
      <c r="AM87" s="11" t="s">
        <v>131</v>
      </c>
      <c r="AN87" s="11" t="s">
        <v>131</v>
      </c>
      <c r="AO87" s="11" t="s">
        <v>131</v>
      </c>
      <c r="AP87" s="11" t="s">
        <v>131</v>
      </c>
      <c r="AQ87" s="11"/>
      <c r="AR87" s="7"/>
    </row>
    <row r="88" spans="1:44" ht="14.4" x14ac:dyDescent="0.3">
      <c r="A88" s="6" t="s">
        <v>270</v>
      </c>
      <c r="B88" s="6" t="s">
        <v>673</v>
      </c>
      <c r="C88" s="6" t="s">
        <v>674</v>
      </c>
      <c r="D88" s="6" t="s">
        <v>675</v>
      </c>
      <c r="E88" s="6" t="s">
        <v>676</v>
      </c>
      <c r="F88" s="7" t="s">
        <v>125</v>
      </c>
      <c r="G88" s="10"/>
      <c r="H88" s="7" t="s">
        <v>93</v>
      </c>
      <c r="I88" s="7"/>
      <c r="J88" s="10"/>
      <c r="K88" s="6" t="s">
        <v>90</v>
      </c>
      <c r="L88" s="7"/>
      <c r="M88" s="14"/>
      <c r="N88" s="7" t="s">
        <v>93</v>
      </c>
      <c r="O88" s="10"/>
      <c r="P88" s="7" t="s">
        <v>90</v>
      </c>
      <c r="Q88" s="15">
        <f>IF(P88="oui",MIN(Parametres!$B$4,MAX(Parametres!$B$3,IF(M88="",Parametres!$B$3,ROUND(M88*10%,0)))),"")</f>
        <v>0</v>
      </c>
      <c r="R88" s="7" t="s">
        <v>134</v>
      </c>
      <c r="S88" s="7" t="s">
        <v>90</v>
      </c>
      <c r="T88" s="15">
        <f>IF(S88="oui",Parametres!$B$5,"")</f>
        <v>500</v>
      </c>
      <c r="U88" s="7" t="s">
        <v>134</v>
      </c>
      <c r="V88" s="15">
        <f t="shared" si="4"/>
        <v>500</v>
      </c>
      <c r="W88" s="15" t="str">
        <f t="shared" si="5"/>
        <v/>
      </c>
      <c r="X88" s="6" t="s">
        <v>90</v>
      </c>
      <c r="Y88" s="7" t="s">
        <v>133</v>
      </c>
      <c r="Z88" s="10"/>
      <c r="AA88" s="6" t="s">
        <v>93</v>
      </c>
      <c r="AB88" s="7" t="s">
        <v>160</v>
      </c>
      <c r="AC88" s="10"/>
      <c r="AD88" s="9" t="str">
        <f t="shared" si="6"/>
        <v>oui</v>
      </c>
      <c r="AE88" s="9" t="str">
        <f t="shared" si="7"/>
        <v>TAE manquant</v>
      </c>
      <c r="AF88" s="7"/>
      <c r="AG88" s="10"/>
      <c r="AH88" s="10"/>
      <c r="AI88" s="7" t="s">
        <v>160</v>
      </c>
      <c r="AJ88" s="10"/>
      <c r="AK88" s="10"/>
      <c r="AL88" s="10"/>
      <c r="AM88" s="11" t="s">
        <v>131</v>
      </c>
      <c r="AN88" s="11" t="s">
        <v>131</v>
      </c>
      <c r="AO88" s="11" t="s">
        <v>131</v>
      </c>
      <c r="AP88" s="11" t="s">
        <v>131</v>
      </c>
      <c r="AQ88" s="11"/>
      <c r="AR88" s="7"/>
    </row>
    <row r="89" spans="1:44" ht="14.4" x14ac:dyDescent="0.3">
      <c r="A89" s="6" t="s">
        <v>270</v>
      </c>
      <c r="B89" s="6" t="s">
        <v>673</v>
      </c>
      <c r="C89" s="6" t="s">
        <v>679</v>
      </c>
      <c r="D89" s="6" t="s">
        <v>675</v>
      </c>
      <c r="E89" s="6" t="s">
        <v>680</v>
      </c>
      <c r="F89" s="7" t="s">
        <v>125</v>
      </c>
      <c r="G89" s="10"/>
      <c r="H89" s="7" t="s">
        <v>93</v>
      </c>
      <c r="I89" s="7"/>
      <c r="J89" s="10"/>
      <c r="K89" s="6" t="s">
        <v>90</v>
      </c>
      <c r="L89" s="7"/>
      <c r="M89" s="14"/>
      <c r="N89" s="7" t="s">
        <v>93</v>
      </c>
      <c r="O89" s="10"/>
      <c r="P89" s="7" t="s">
        <v>90</v>
      </c>
      <c r="Q89" s="15">
        <f>IF(P89="oui",MIN(Parametres!$B$4,MAX(Parametres!$B$3,IF(M89="",Parametres!$B$3,ROUND(M89*10%,0)))),"")</f>
        <v>0</v>
      </c>
      <c r="R89" s="7" t="s">
        <v>134</v>
      </c>
      <c r="S89" s="7" t="s">
        <v>90</v>
      </c>
      <c r="T89" s="15">
        <f>IF(S89="oui",Parametres!$B$5,"")</f>
        <v>500</v>
      </c>
      <c r="U89" s="7" t="s">
        <v>134</v>
      </c>
      <c r="V89" s="15">
        <f t="shared" si="4"/>
        <v>500</v>
      </c>
      <c r="W89" s="15" t="str">
        <f t="shared" si="5"/>
        <v/>
      </c>
      <c r="X89" s="6" t="s">
        <v>90</v>
      </c>
      <c r="Y89" s="7" t="s">
        <v>133</v>
      </c>
      <c r="Z89" s="10"/>
      <c r="AA89" s="6" t="s">
        <v>93</v>
      </c>
      <c r="AB89" s="7" t="s">
        <v>160</v>
      </c>
      <c r="AC89" s="10"/>
      <c r="AD89" s="9" t="str">
        <f t="shared" si="6"/>
        <v>oui</v>
      </c>
      <c r="AE89" s="9" t="str">
        <f t="shared" si="7"/>
        <v>TAE manquant</v>
      </c>
      <c r="AF89" s="7"/>
      <c r="AG89" s="10"/>
      <c r="AH89" s="10"/>
      <c r="AI89" s="7" t="s">
        <v>160</v>
      </c>
      <c r="AJ89" s="10"/>
      <c r="AK89" s="10"/>
      <c r="AL89" s="10"/>
      <c r="AM89" s="11" t="s">
        <v>131</v>
      </c>
      <c r="AN89" s="11" t="s">
        <v>131</v>
      </c>
      <c r="AO89" s="11" t="s">
        <v>131</v>
      </c>
      <c r="AP89" s="11" t="s">
        <v>131</v>
      </c>
      <c r="AQ89" s="11"/>
      <c r="AR89" s="7"/>
    </row>
    <row r="90" spans="1:44" ht="14.4" x14ac:dyDescent="0.3">
      <c r="A90" s="6" t="s">
        <v>292</v>
      </c>
      <c r="B90" s="6" t="s">
        <v>683</v>
      </c>
      <c r="C90" s="6" t="s">
        <v>684</v>
      </c>
      <c r="D90" s="6" t="s">
        <v>685</v>
      </c>
      <c r="E90" s="6" t="s">
        <v>686</v>
      </c>
      <c r="F90" s="7" t="s">
        <v>125</v>
      </c>
      <c r="G90" s="10"/>
      <c r="H90" s="7" t="s">
        <v>93</v>
      </c>
      <c r="I90" s="7"/>
      <c r="J90" s="10"/>
      <c r="K90" s="6" t="s">
        <v>90</v>
      </c>
      <c r="L90" s="7"/>
      <c r="M90" s="14"/>
      <c r="N90" s="7" t="s">
        <v>93</v>
      </c>
      <c r="O90" s="10"/>
      <c r="P90" s="7" t="s">
        <v>90</v>
      </c>
      <c r="Q90" s="15">
        <f>IF(P90="oui",MIN(Parametres!$B$4,MAX(Parametres!$B$3,IF(M90="",Parametres!$B$3,ROUND(M90*10%,0)))),"")</f>
        <v>0</v>
      </c>
      <c r="R90" s="7" t="s">
        <v>134</v>
      </c>
      <c r="S90" s="7" t="s">
        <v>90</v>
      </c>
      <c r="T90" s="15">
        <f>IF(S90="oui",Parametres!$B$5,"")</f>
        <v>500</v>
      </c>
      <c r="U90" s="7" t="s">
        <v>134</v>
      </c>
      <c r="V90" s="15">
        <f t="shared" si="4"/>
        <v>500</v>
      </c>
      <c r="W90" s="15" t="str">
        <f t="shared" si="5"/>
        <v/>
      </c>
      <c r="X90" s="6" t="s">
        <v>90</v>
      </c>
      <c r="Y90" s="7" t="s">
        <v>133</v>
      </c>
      <c r="Z90" s="10"/>
      <c r="AA90" s="6" t="s">
        <v>93</v>
      </c>
      <c r="AB90" s="7" t="s">
        <v>160</v>
      </c>
      <c r="AC90" s="10"/>
      <c r="AD90" s="9" t="str">
        <f t="shared" si="6"/>
        <v>oui</v>
      </c>
      <c r="AE90" s="9" t="str">
        <f t="shared" si="7"/>
        <v>TAE manquant</v>
      </c>
      <c r="AF90" s="7"/>
      <c r="AG90" s="10"/>
      <c r="AH90" s="10"/>
      <c r="AI90" s="7" t="s">
        <v>160</v>
      </c>
      <c r="AJ90" s="10"/>
      <c r="AK90" s="10"/>
      <c r="AL90" s="10"/>
      <c r="AM90" s="11" t="s">
        <v>131</v>
      </c>
      <c r="AN90" s="11" t="s">
        <v>131</v>
      </c>
      <c r="AO90" s="11" t="s">
        <v>131</v>
      </c>
      <c r="AP90" s="11" t="s">
        <v>131</v>
      </c>
      <c r="AQ90" s="11"/>
      <c r="AR90" s="7"/>
    </row>
    <row r="91" spans="1:44" ht="14.4" x14ac:dyDescent="0.3">
      <c r="A91" s="6" t="s">
        <v>292</v>
      </c>
      <c r="B91" s="6" t="s">
        <v>683</v>
      </c>
      <c r="C91" s="6" t="s">
        <v>690</v>
      </c>
      <c r="D91" s="6" t="s">
        <v>685</v>
      </c>
      <c r="E91" s="6" t="s">
        <v>691</v>
      </c>
      <c r="F91" s="7" t="s">
        <v>125</v>
      </c>
      <c r="G91" s="10"/>
      <c r="H91" s="7" t="s">
        <v>93</v>
      </c>
      <c r="I91" s="7"/>
      <c r="J91" s="10"/>
      <c r="K91" s="6" t="s">
        <v>90</v>
      </c>
      <c r="L91" s="7"/>
      <c r="M91" s="14"/>
      <c r="N91" s="7" t="s">
        <v>93</v>
      </c>
      <c r="O91" s="10"/>
      <c r="P91" s="7" t="s">
        <v>90</v>
      </c>
      <c r="Q91" s="15">
        <f>IF(P91="oui",MIN(Parametres!$B$4,MAX(Parametres!$B$3,IF(M91="",Parametres!$B$3,ROUND(M91*10%,0)))),"")</f>
        <v>0</v>
      </c>
      <c r="R91" s="7" t="s">
        <v>134</v>
      </c>
      <c r="S91" s="7" t="s">
        <v>90</v>
      </c>
      <c r="T91" s="15">
        <f>IF(S91="oui",Parametres!$B$5,"")</f>
        <v>500</v>
      </c>
      <c r="U91" s="7" t="s">
        <v>134</v>
      </c>
      <c r="V91" s="15">
        <f t="shared" si="4"/>
        <v>500</v>
      </c>
      <c r="W91" s="15" t="str">
        <f t="shared" si="5"/>
        <v/>
      </c>
      <c r="X91" s="6" t="s">
        <v>90</v>
      </c>
      <c r="Y91" s="7" t="s">
        <v>133</v>
      </c>
      <c r="Z91" s="10"/>
      <c r="AA91" s="6" t="s">
        <v>93</v>
      </c>
      <c r="AB91" s="7" t="s">
        <v>160</v>
      </c>
      <c r="AC91" s="10"/>
      <c r="AD91" s="9" t="str">
        <f t="shared" si="6"/>
        <v>oui</v>
      </c>
      <c r="AE91" s="9" t="str">
        <f t="shared" si="7"/>
        <v>TAE manquant</v>
      </c>
      <c r="AF91" s="7"/>
      <c r="AG91" s="10"/>
      <c r="AH91" s="10"/>
      <c r="AI91" s="7" t="s">
        <v>160</v>
      </c>
      <c r="AJ91" s="10"/>
      <c r="AK91" s="10"/>
      <c r="AL91" s="10"/>
      <c r="AM91" s="11" t="s">
        <v>131</v>
      </c>
      <c r="AN91" s="11" t="s">
        <v>131</v>
      </c>
      <c r="AO91" s="11" t="s">
        <v>131</v>
      </c>
      <c r="AP91" s="11" t="s">
        <v>131</v>
      </c>
      <c r="AQ91" s="11"/>
      <c r="AR91" s="7"/>
    </row>
    <row r="92" spans="1:44" ht="14.4" x14ac:dyDescent="0.3">
      <c r="A92" s="6" t="s">
        <v>292</v>
      </c>
      <c r="B92" s="6" t="s">
        <v>683</v>
      </c>
      <c r="C92" s="6" t="s">
        <v>695</v>
      </c>
      <c r="D92" s="6" t="s">
        <v>685</v>
      </c>
      <c r="E92" s="6" t="s">
        <v>696</v>
      </c>
      <c r="F92" s="7" t="s">
        <v>125</v>
      </c>
      <c r="G92" s="10"/>
      <c r="H92" s="7" t="s">
        <v>93</v>
      </c>
      <c r="I92" s="7"/>
      <c r="J92" s="10"/>
      <c r="K92" s="6" t="s">
        <v>90</v>
      </c>
      <c r="L92" s="7"/>
      <c r="M92" s="14"/>
      <c r="N92" s="7" t="s">
        <v>93</v>
      </c>
      <c r="O92" s="10"/>
      <c r="P92" s="7" t="s">
        <v>90</v>
      </c>
      <c r="Q92" s="15">
        <f>IF(P92="oui",MIN(Parametres!$B$4,MAX(Parametres!$B$3,IF(M92="",Parametres!$B$3,ROUND(M92*10%,0)))),"")</f>
        <v>0</v>
      </c>
      <c r="R92" s="7" t="s">
        <v>134</v>
      </c>
      <c r="S92" s="7" t="s">
        <v>90</v>
      </c>
      <c r="T92" s="15">
        <f>IF(S92="oui",Parametres!$B$5,"")</f>
        <v>500</v>
      </c>
      <c r="U92" s="7" t="s">
        <v>134</v>
      </c>
      <c r="V92" s="15">
        <f t="shared" si="4"/>
        <v>500</v>
      </c>
      <c r="W92" s="15" t="str">
        <f t="shared" si="5"/>
        <v/>
      </c>
      <c r="X92" s="6" t="s">
        <v>90</v>
      </c>
      <c r="Y92" s="7" t="s">
        <v>133</v>
      </c>
      <c r="Z92" s="10"/>
      <c r="AA92" s="6" t="s">
        <v>93</v>
      </c>
      <c r="AB92" s="7" t="s">
        <v>160</v>
      </c>
      <c r="AC92" s="10"/>
      <c r="AD92" s="9" t="str">
        <f t="shared" si="6"/>
        <v>oui</v>
      </c>
      <c r="AE92" s="9" t="str">
        <f t="shared" si="7"/>
        <v>TAE manquant</v>
      </c>
      <c r="AF92" s="7"/>
      <c r="AG92" s="10"/>
      <c r="AH92" s="10"/>
      <c r="AI92" s="7" t="s">
        <v>160</v>
      </c>
      <c r="AJ92" s="10"/>
      <c r="AK92" s="10"/>
      <c r="AL92" s="10"/>
      <c r="AM92" s="11" t="s">
        <v>131</v>
      </c>
      <c r="AN92" s="11" t="s">
        <v>131</v>
      </c>
      <c r="AO92" s="11" t="s">
        <v>131</v>
      </c>
      <c r="AP92" s="11" t="s">
        <v>131</v>
      </c>
      <c r="AQ92" s="11"/>
      <c r="AR92" s="7"/>
    </row>
    <row r="93" spans="1:44" ht="14.4" x14ac:dyDescent="0.3">
      <c r="A93" s="6" t="s">
        <v>292</v>
      </c>
      <c r="B93" s="6" t="s">
        <v>683</v>
      </c>
      <c r="C93" s="6" t="s">
        <v>701</v>
      </c>
      <c r="D93" s="6" t="s">
        <v>685</v>
      </c>
      <c r="E93" s="6" t="s">
        <v>702</v>
      </c>
      <c r="F93" s="7" t="s">
        <v>125</v>
      </c>
      <c r="G93" s="10"/>
      <c r="H93" s="7" t="s">
        <v>93</v>
      </c>
      <c r="I93" s="7"/>
      <c r="J93" s="10"/>
      <c r="K93" s="6" t="s">
        <v>90</v>
      </c>
      <c r="L93" s="7"/>
      <c r="M93" s="14"/>
      <c r="N93" s="7" t="s">
        <v>93</v>
      </c>
      <c r="O93" s="10"/>
      <c r="P93" s="7" t="s">
        <v>90</v>
      </c>
      <c r="Q93" s="15">
        <f>IF(P93="oui",MIN(Parametres!$B$4,MAX(Parametres!$B$3,IF(M93="",Parametres!$B$3,ROUND(M93*10%,0)))),"")</f>
        <v>0</v>
      </c>
      <c r="R93" s="7" t="s">
        <v>134</v>
      </c>
      <c r="S93" s="7" t="s">
        <v>90</v>
      </c>
      <c r="T93" s="15">
        <f>IF(S93="oui",Parametres!$B$5,"")</f>
        <v>500</v>
      </c>
      <c r="U93" s="7" t="s">
        <v>134</v>
      </c>
      <c r="V93" s="15">
        <f t="shared" si="4"/>
        <v>500</v>
      </c>
      <c r="W93" s="15" t="str">
        <f t="shared" si="5"/>
        <v/>
      </c>
      <c r="X93" s="6" t="s">
        <v>90</v>
      </c>
      <c r="Y93" s="7" t="s">
        <v>133</v>
      </c>
      <c r="Z93" s="10"/>
      <c r="AA93" s="6" t="s">
        <v>93</v>
      </c>
      <c r="AB93" s="7" t="s">
        <v>160</v>
      </c>
      <c r="AC93" s="10"/>
      <c r="AD93" s="9" t="str">
        <f t="shared" si="6"/>
        <v>oui</v>
      </c>
      <c r="AE93" s="9" t="str">
        <f t="shared" si="7"/>
        <v>TAE manquant</v>
      </c>
      <c r="AF93" s="7"/>
      <c r="AG93" s="10"/>
      <c r="AH93" s="10"/>
      <c r="AI93" s="7" t="s">
        <v>160</v>
      </c>
      <c r="AJ93" s="10"/>
      <c r="AK93" s="10"/>
      <c r="AL93" s="10"/>
      <c r="AM93" s="11" t="s">
        <v>131</v>
      </c>
      <c r="AN93" s="11" t="s">
        <v>131</v>
      </c>
      <c r="AO93" s="11" t="s">
        <v>131</v>
      </c>
      <c r="AP93" s="11" t="s">
        <v>131</v>
      </c>
      <c r="AQ93" s="11"/>
      <c r="AR93" s="7"/>
    </row>
    <row r="94" spans="1:44" ht="14.4" x14ac:dyDescent="0.3">
      <c r="A94" s="6" t="s">
        <v>292</v>
      </c>
      <c r="B94" s="6" t="s">
        <v>683</v>
      </c>
      <c r="C94" s="6" t="s">
        <v>704</v>
      </c>
      <c r="D94" s="6" t="s">
        <v>685</v>
      </c>
      <c r="E94" s="6" t="s">
        <v>705</v>
      </c>
      <c r="F94" s="7" t="s">
        <v>125</v>
      </c>
      <c r="G94" s="10"/>
      <c r="H94" s="7" t="s">
        <v>93</v>
      </c>
      <c r="I94" s="7"/>
      <c r="J94" s="10"/>
      <c r="K94" s="6" t="s">
        <v>90</v>
      </c>
      <c r="L94" s="7"/>
      <c r="M94" s="14"/>
      <c r="N94" s="7" t="s">
        <v>93</v>
      </c>
      <c r="O94" s="10"/>
      <c r="P94" s="7" t="s">
        <v>90</v>
      </c>
      <c r="Q94" s="15">
        <f>IF(P94="oui",MIN(Parametres!$B$4,MAX(Parametres!$B$3,IF(M94="",Parametres!$B$3,ROUND(M94*10%,0)))),"")</f>
        <v>0</v>
      </c>
      <c r="R94" s="7" t="s">
        <v>134</v>
      </c>
      <c r="S94" s="7" t="s">
        <v>90</v>
      </c>
      <c r="T94" s="15">
        <f>IF(S94="oui",Parametres!$B$5,"")</f>
        <v>500</v>
      </c>
      <c r="U94" s="7" t="s">
        <v>134</v>
      </c>
      <c r="V94" s="15">
        <f t="shared" si="4"/>
        <v>500</v>
      </c>
      <c r="W94" s="15" t="str">
        <f t="shared" si="5"/>
        <v/>
      </c>
      <c r="X94" s="6" t="s">
        <v>90</v>
      </c>
      <c r="Y94" s="7" t="s">
        <v>133</v>
      </c>
      <c r="Z94" s="10"/>
      <c r="AA94" s="6" t="s">
        <v>93</v>
      </c>
      <c r="AB94" s="7" t="s">
        <v>160</v>
      </c>
      <c r="AC94" s="10"/>
      <c r="AD94" s="9" t="str">
        <f t="shared" si="6"/>
        <v>oui</v>
      </c>
      <c r="AE94" s="9" t="str">
        <f t="shared" si="7"/>
        <v>TAE manquant</v>
      </c>
      <c r="AF94" s="7"/>
      <c r="AG94" s="10"/>
      <c r="AH94" s="10"/>
      <c r="AI94" s="7" t="s">
        <v>160</v>
      </c>
      <c r="AJ94" s="10"/>
      <c r="AK94" s="10"/>
      <c r="AL94" s="10"/>
      <c r="AM94" s="11" t="s">
        <v>131</v>
      </c>
      <c r="AN94" s="11" t="s">
        <v>131</v>
      </c>
      <c r="AO94" s="11" t="s">
        <v>131</v>
      </c>
      <c r="AP94" s="11" t="s">
        <v>131</v>
      </c>
      <c r="AQ94" s="11"/>
      <c r="AR94" s="7"/>
    </row>
    <row r="95" spans="1:44" ht="14.4" x14ac:dyDescent="0.3">
      <c r="A95" s="6" t="s">
        <v>292</v>
      </c>
      <c r="B95" s="6" t="s">
        <v>683</v>
      </c>
      <c r="C95" s="6" t="s">
        <v>710</v>
      </c>
      <c r="D95" s="6" t="s">
        <v>685</v>
      </c>
      <c r="E95" s="6" t="s">
        <v>711</v>
      </c>
      <c r="F95" s="7" t="s">
        <v>125</v>
      </c>
      <c r="G95" s="10"/>
      <c r="H95" s="7" t="s">
        <v>93</v>
      </c>
      <c r="I95" s="7"/>
      <c r="J95" s="10"/>
      <c r="K95" s="6" t="s">
        <v>90</v>
      </c>
      <c r="L95" s="7"/>
      <c r="M95" s="14"/>
      <c r="N95" s="7" t="s">
        <v>93</v>
      </c>
      <c r="O95" s="10"/>
      <c r="P95" s="7" t="s">
        <v>90</v>
      </c>
      <c r="Q95" s="15">
        <f>IF(P95="oui",MIN(Parametres!$B$4,MAX(Parametres!$B$3,IF(M95="",Parametres!$B$3,ROUND(M95*10%,0)))),"")</f>
        <v>0</v>
      </c>
      <c r="R95" s="7" t="s">
        <v>134</v>
      </c>
      <c r="S95" s="7" t="s">
        <v>90</v>
      </c>
      <c r="T95" s="15">
        <f>IF(S95="oui",Parametres!$B$5,"")</f>
        <v>500</v>
      </c>
      <c r="U95" s="7" t="s">
        <v>134</v>
      </c>
      <c r="V95" s="15">
        <f t="shared" si="4"/>
        <v>500</v>
      </c>
      <c r="W95" s="15" t="str">
        <f t="shared" si="5"/>
        <v/>
      </c>
      <c r="X95" s="6" t="s">
        <v>90</v>
      </c>
      <c r="Y95" s="7" t="s">
        <v>133</v>
      </c>
      <c r="Z95" s="10"/>
      <c r="AA95" s="6" t="s">
        <v>93</v>
      </c>
      <c r="AB95" s="7" t="s">
        <v>160</v>
      </c>
      <c r="AC95" s="10"/>
      <c r="AD95" s="9" t="str">
        <f t="shared" si="6"/>
        <v>oui</v>
      </c>
      <c r="AE95" s="9" t="str">
        <f t="shared" si="7"/>
        <v>TAE manquant</v>
      </c>
      <c r="AF95" s="7"/>
      <c r="AG95" s="10"/>
      <c r="AH95" s="10"/>
      <c r="AI95" s="7" t="s">
        <v>160</v>
      </c>
      <c r="AJ95" s="10"/>
      <c r="AK95" s="10"/>
      <c r="AL95" s="10"/>
      <c r="AM95" s="11" t="s">
        <v>131</v>
      </c>
      <c r="AN95" s="11" t="s">
        <v>131</v>
      </c>
      <c r="AO95" s="11" t="s">
        <v>131</v>
      </c>
      <c r="AP95" s="11" t="s">
        <v>131</v>
      </c>
      <c r="AQ95" s="11"/>
      <c r="AR95" s="7"/>
    </row>
    <row r="96" spans="1:44" ht="14.4" x14ac:dyDescent="0.3">
      <c r="A96" s="6" t="s">
        <v>292</v>
      </c>
      <c r="B96" s="6" t="s">
        <v>683</v>
      </c>
      <c r="C96" s="6" t="s">
        <v>715</v>
      </c>
      <c r="D96" s="6" t="s">
        <v>685</v>
      </c>
      <c r="E96" s="6" t="s">
        <v>716</v>
      </c>
      <c r="F96" s="7" t="s">
        <v>125</v>
      </c>
      <c r="G96" s="10"/>
      <c r="H96" s="7" t="s">
        <v>93</v>
      </c>
      <c r="I96" s="7"/>
      <c r="J96" s="10"/>
      <c r="K96" s="6" t="s">
        <v>90</v>
      </c>
      <c r="L96" s="7"/>
      <c r="M96" s="14"/>
      <c r="N96" s="7" t="s">
        <v>93</v>
      </c>
      <c r="O96" s="10"/>
      <c r="P96" s="7" t="s">
        <v>90</v>
      </c>
      <c r="Q96" s="15">
        <f>IF(P96="oui",MIN(Parametres!$B$4,MAX(Parametres!$B$3,IF(M96="",Parametres!$B$3,ROUND(M96*10%,0)))),"")</f>
        <v>0</v>
      </c>
      <c r="R96" s="7" t="s">
        <v>134</v>
      </c>
      <c r="S96" s="7" t="s">
        <v>90</v>
      </c>
      <c r="T96" s="15">
        <f>IF(S96="oui",Parametres!$B$5,"")</f>
        <v>500</v>
      </c>
      <c r="U96" s="7" t="s">
        <v>134</v>
      </c>
      <c r="V96" s="15">
        <f t="shared" si="4"/>
        <v>500</v>
      </c>
      <c r="W96" s="15" t="str">
        <f t="shared" si="5"/>
        <v/>
      </c>
      <c r="X96" s="6" t="s">
        <v>90</v>
      </c>
      <c r="Y96" s="7" t="s">
        <v>133</v>
      </c>
      <c r="Z96" s="10"/>
      <c r="AA96" s="6" t="s">
        <v>93</v>
      </c>
      <c r="AB96" s="7" t="s">
        <v>160</v>
      </c>
      <c r="AC96" s="10"/>
      <c r="AD96" s="9" t="str">
        <f t="shared" si="6"/>
        <v>oui</v>
      </c>
      <c r="AE96" s="9" t="str">
        <f t="shared" si="7"/>
        <v>TAE manquant</v>
      </c>
      <c r="AF96" s="7"/>
      <c r="AG96" s="10"/>
      <c r="AH96" s="10"/>
      <c r="AI96" s="7" t="s">
        <v>160</v>
      </c>
      <c r="AJ96" s="10"/>
      <c r="AK96" s="10"/>
      <c r="AL96" s="10"/>
      <c r="AM96" s="11" t="s">
        <v>131</v>
      </c>
      <c r="AN96" s="11" t="s">
        <v>131</v>
      </c>
      <c r="AO96" s="11" t="s">
        <v>131</v>
      </c>
      <c r="AP96" s="11" t="s">
        <v>131</v>
      </c>
      <c r="AQ96" s="11"/>
      <c r="AR96" s="7"/>
    </row>
    <row r="97" spans="1:44" ht="14.4" x14ac:dyDescent="0.3">
      <c r="A97" s="6" t="s">
        <v>292</v>
      </c>
      <c r="B97" s="6" t="s">
        <v>683</v>
      </c>
      <c r="C97" s="6" t="s">
        <v>718</v>
      </c>
      <c r="D97" s="6" t="s">
        <v>685</v>
      </c>
      <c r="E97" s="6" t="s">
        <v>719</v>
      </c>
      <c r="F97" s="7" t="s">
        <v>125</v>
      </c>
      <c r="G97" s="10"/>
      <c r="H97" s="7" t="s">
        <v>93</v>
      </c>
      <c r="I97" s="7"/>
      <c r="J97" s="10"/>
      <c r="K97" s="6" t="s">
        <v>90</v>
      </c>
      <c r="L97" s="7"/>
      <c r="M97" s="14"/>
      <c r="N97" s="7" t="s">
        <v>93</v>
      </c>
      <c r="O97" s="10"/>
      <c r="P97" s="7" t="s">
        <v>90</v>
      </c>
      <c r="Q97" s="15">
        <f>IF(P97="oui",MIN(Parametres!$B$4,MAX(Parametres!$B$3,IF(M97="",Parametres!$B$3,ROUND(M97*10%,0)))),"")</f>
        <v>0</v>
      </c>
      <c r="R97" s="7" t="s">
        <v>134</v>
      </c>
      <c r="S97" s="7" t="s">
        <v>90</v>
      </c>
      <c r="T97" s="15">
        <f>IF(S97="oui",Parametres!$B$5,"")</f>
        <v>500</v>
      </c>
      <c r="U97" s="7" t="s">
        <v>134</v>
      </c>
      <c r="V97" s="15">
        <f t="shared" si="4"/>
        <v>500</v>
      </c>
      <c r="W97" s="15" t="str">
        <f t="shared" si="5"/>
        <v/>
      </c>
      <c r="X97" s="6" t="s">
        <v>90</v>
      </c>
      <c r="Y97" s="7" t="s">
        <v>133</v>
      </c>
      <c r="Z97" s="10"/>
      <c r="AA97" s="6" t="s">
        <v>93</v>
      </c>
      <c r="AB97" s="7" t="s">
        <v>160</v>
      </c>
      <c r="AC97" s="10"/>
      <c r="AD97" s="9" t="str">
        <f t="shared" si="6"/>
        <v>oui</v>
      </c>
      <c r="AE97" s="9" t="str">
        <f t="shared" si="7"/>
        <v>TAE manquant</v>
      </c>
      <c r="AF97" s="7"/>
      <c r="AG97" s="10"/>
      <c r="AH97" s="10"/>
      <c r="AI97" s="7" t="s">
        <v>160</v>
      </c>
      <c r="AJ97" s="10"/>
      <c r="AK97" s="10"/>
      <c r="AL97" s="10"/>
      <c r="AM97" s="11" t="s">
        <v>131</v>
      </c>
      <c r="AN97" s="11" t="s">
        <v>131</v>
      </c>
      <c r="AO97" s="11" t="s">
        <v>131</v>
      </c>
      <c r="AP97" s="11" t="s">
        <v>131</v>
      </c>
      <c r="AQ97" s="11"/>
      <c r="AR97" s="7"/>
    </row>
    <row r="98" spans="1:44" ht="14.4" x14ac:dyDescent="0.3">
      <c r="A98" s="6" t="s">
        <v>292</v>
      </c>
      <c r="B98" s="6" t="s">
        <v>683</v>
      </c>
      <c r="C98" s="6" t="s">
        <v>724</v>
      </c>
      <c r="D98" s="6" t="s">
        <v>685</v>
      </c>
      <c r="E98" s="6" t="s">
        <v>725</v>
      </c>
      <c r="F98" s="7" t="s">
        <v>125</v>
      </c>
      <c r="G98" s="10"/>
      <c r="H98" s="7" t="s">
        <v>93</v>
      </c>
      <c r="I98" s="7"/>
      <c r="J98" s="10"/>
      <c r="K98" s="6" t="s">
        <v>90</v>
      </c>
      <c r="L98" s="7"/>
      <c r="M98" s="14"/>
      <c r="N98" s="7" t="s">
        <v>93</v>
      </c>
      <c r="O98" s="10"/>
      <c r="P98" s="7" t="s">
        <v>90</v>
      </c>
      <c r="Q98" s="15">
        <f>IF(P98="oui",MIN(Parametres!$B$4,MAX(Parametres!$B$3,IF(M98="",Parametres!$B$3,ROUND(M98*10%,0)))),"")</f>
        <v>0</v>
      </c>
      <c r="R98" s="7" t="s">
        <v>134</v>
      </c>
      <c r="S98" s="7" t="s">
        <v>90</v>
      </c>
      <c r="T98" s="15">
        <f>IF(S98="oui",Parametres!$B$5,"")</f>
        <v>500</v>
      </c>
      <c r="U98" s="7" t="s">
        <v>134</v>
      </c>
      <c r="V98" s="15">
        <f t="shared" si="4"/>
        <v>500</v>
      </c>
      <c r="W98" s="15" t="str">
        <f t="shared" si="5"/>
        <v/>
      </c>
      <c r="X98" s="6" t="s">
        <v>90</v>
      </c>
      <c r="Y98" s="7" t="s">
        <v>133</v>
      </c>
      <c r="Z98" s="10"/>
      <c r="AA98" s="6" t="s">
        <v>93</v>
      </c>
      <c r="AB98" s="7" t="s">
        <v>160</v>
      </c>
      <c r="AC98" s="10"/>
      <c r="AD98" s="9" t="str">
        <f t="shared" si="6"/>
        <v>oui</v>
      </c>
      <c r="AE98" s="9" t="str">
        <f t="shared" si="7"/>
        <v>TAE manquant</v>
      </c>
      <c r="AF98" s="7"/>
      <c r="AG98" s="10"/>
      <c r="AH98" s="10"/>
      <c r="AI98" s="7" t="s">
        <v>160</v>
      </c>
      <c r="AJ98" s="10"/>
      <c r="AK98" s="10"/>
      <c r="AL98" s="10"/>
      <c r="AM98" s="11" t="s">
        <v>131</v>
      </c>
      <c r="AN98" s="11" t="s">
        <v>131</v>
      </c>
      <c r="AO98" s="11" t="s">
        <v>131</v>
      </c>
      <c r="AP98" s="11" t="s">
        <v>131</v>
      </c>
      <c r="AQ98" s="11"/>
      <c r="AR98" s="7"/>
    </row>
    <row r="99" spans="1:44" ht="27.6" x14ac:dyDescent="0.3">
      <c r="A99" s="6" t="s">
        <v>270</v>
      </c>
      <c r="B99" s="6" t="s">
        <v>729</v>
      </c>
      <c r="C99" s="6" t="s">
        <v>730</v>
      </c>
      <c r="D99" s="6" t="s">
        <v>88</v>
      </c>
      <c r="E99" s="6" t="s">
        <v>731</v>
      </c>
      <c r="F99" s="7" t="s">
        <v>125</v>
      </c>
      <c r="G99" s="10"/>
      <c r="H99" s="7" t="s">
        <v>93</v>
      </c>
      <c r="I99" s="7"/>
      <c r="J99" s="10"/>
      <c r="K99" s="6" t="s">
        <v>93</v>
      </c>
      <c r="L99" s="7"/>
      <c r="M99" s="14"/>
      <c r="N99" s="7" t="s">
        <v>93</v>
      </c>
      <c r="O99" s="10"/>
      <c r="P99" s="7" t="s">
        <v>93</v>
      </c>
      <c r="Q99" s="15" t="str">
        <f>IF(P99="oui",MIN(Parametres!$B$4,MAX(Parametres!$B$3,IF(M99="",Parametres!$B$3,ROUND(M99*10%,0)))),"")</f>
        <v/>
      </c>
      <c r="R99" s="7" t="s">
        <v>160</v>
      </c>
      <c r="S99" s="7" t="s">
        <v>93</v>
      </c>
      <c r="T99" s="15" t="str">
        <f>IF(S99="oui",Parametres!$B$5,"")</f>
        <v/>
      </c>
      <c r="U99" s="7" t="s">
        <v>160</v>
      </c>
      <c r="V99" s="15">
        <f t="shared" si="4"/>
        <v>0</v>
      </c>
      <c r="W99" s="15" t="str">
        <f t="shared" si="5"/>
        <v/>
      </c>
      <c r="X99" s="6" t="s">
        <v>93</v>
      </c>
      <c r="Y99" s="7" t="s">
        <v>160</v>
      </c>
      <c r="Z99" s="10"/>
      <c r="AA99" s="6" t="s">
        <v>93</v>
      </c>
      <c r="AB99" s="7" t="s">
        <v>160</v>
      </c>
      <c r="AC99" s="10"/>
      <c r="AD99" s="9" t="str">
        <f t="shared" si="6"/>
        <v>oui</v>
      </c>
      <c r="AE99" s="9" t="str">
        <f t="shared" si="7"/>
        <v>Résidence ou logement non vendable</v>
      </c>
      <c r="AF99" s="7"/>
      <c r="AG99" s="10"/>
      <c r="AH99" s="10"/>
      <c r="AI99" s="7" t="s">
        <v>160</v>
      </c>
      <c r="AJ99" s="10"/>
      <c r="AK99" s="10"/>
      <c r="AL99" s="10"/>
      <c r="AM99" s="11" t="s">
        <v>160</v>
      </c>
      <c r="AN99" s="11" t="s">
        <v>160</v>
      </c>
      <c r="AO99" s="11" t="s">
        <v>160</v>
      </c>
      <c r="AP99" s="11" t="s">
        <v>160</v>
      </c>
      <c r="AQ99" s="11"/>
      <c r="AR99" s="7"/>
    </row>
    <row r="100" spans="1:44" ht="27.6" x14ac:dyDescent="0.3">
      <c r="A100" s="6" t="s">
        <v>270</v>
      </c>
      <c r="B100" s="6" t="s">
        <v>729</v>
      </c>
      <c r="C100" s="6" t="s">
        <v>735</v>
      </c>
      <c r="D100" s="6" t="s">
        <v>88</v>
      </c>
      <c r="E100" s="6" t="s">
        <v>736</v>
      </c>
      <c r="F100" s="7" t="s">
        <v>125</v>
      </c>
      <c r="G100" s="10"/>
      <c r="H100" s="7" t="s">
        <v>93</v>
      </c>
      <c r="I100" s="7"/>
      <c r="J100" s="10"/>
      <c r="K100" s="6" t="s">
        <v>93</v>
      </c>
      <c r="L100" s="7"/>
      <c r="M100" s="14"/>
      <c r="N100" s="7" t="s">
        <v>93</v>
      </c>
      <c r="O100" s="10"/>
      <c r="P100" s="7" t="s">
        <v>93</v>
      </c>
      <c r="Q100" s="15" t="str">
        <f>IF(P100="oui",MIN(Parametres!$B$4,MAX(Parametres!$B$3,IF(M100="",Parametres!$B$3,ROUND(M100*10%,0)))),"")</f>
        <v/>
      </c>
      <c r="R100" s="7" t="s">
        <v>160</v>
      </c>
      <c r="S100" s="7" t="s">
        <v>93</v>
      </c>
      <c r="T100" s="15" t="str">
        <f>IF(S100="oui",Parametres!$B$5,"")</f>
        <v/>
      </c>
      <c r="U100" s="7" t="s">
        <v>160</v>
      </c>
      <c r="V100" s="15">
        <f t="shared" si="4"/>
        <v>0</v>
      </c>
      <c r="W100" s="15" t="str">
        <f t="shared" si="5"/>
        <v/>
      </c>
      <c r="X100" s="6" t="s">
        <v>93</v>
      </c>
      <c r="Y100" s="7" t="s">
        <v>160</v>
      </c>
      <c r="Z100" s="10"/>
      <c r="AA100" s="6" t="s">
        <v>93</v>
      </c>
      <c r="AB100" s="7" t="s">
        <v>160</v>
      </c>
      <c r="AC100" s="10"/>
      <c r="AD100" s="9" t="str">
        <f t="shared" si="6"/>
        <v>oui</v>
      </c>
      <c r="AE100" s="9" t="str">
        <f t="shared" si="7"/>
        <v>Résidence ou logement non vendable</v>
      </c>
      <c r="AF100" s="7"/>
      <c r="AG100" s="10"/>
      <c r="AH100" s="10"/>
      <c r="AI100" s="7" t="s">
        <v>160</v>
      </c>
      <c r="AJ100" s="10"/>
      <c r="AK100" s="10"/>
      <c r="AL100" s="10"/>
      <c r="AM100" s="11" t="s">
        <v>160</v>
      </c>
      <c r="AN100" s="11" t="s">
        <v>160</v>
      </c>
      <c r="AO100" s="11" t="s">
        <v>160</v>
      </c>
      <c r="AP100" s="11" t="s">
        <v>160</v>
      </c>
      <c r="AQ100" s="11"/>
      <c r="AR100" s="7"/>
    </row>
    <row r="101" spans="1:44" ht="27.6" x14ac:dyDescent="0.3">
      <c r="A101" s="6" t="s">
        <v>270</v>
      </c>
      <c r="B101" s="6" t="s">
        <v>729</v>
      </c>
      <c r="C101" s="6" t="s">
        <v>740</v>
      </c>
      <c r="D101" s="6" t="s">
        <v>88</v>
      </c>
      <c r="E101" s="6" t="s">
        <v>741</v>
      </c>
      <c r="F101" s="7" t="s">
        <v>125</v>
      </c>
      <c r="G101" s="10"/>
      <c r="H101" s="7" t="s">
        <v>93</v>
      </c>
      <c r="I101" s="7"/>
      <c r="J101" s="10"/>
      <c r="K101" s="6" t="s">
        <v>93</v>
      </c>
      <c r="L101" s="7"/>
      <c r="M101" s="14"/>
      <c r="N101" s="7" t="s">
        <v>93</v>
      </c>
      <c r="O101" s="10"/>
      <c r="P101" s="7" t="s">
        <v>93</v>
      </c>
      <c r="Q101" s="15" t="str">
        <f>IF(P101="oui",MIN(Parametres!$B$4,MAX(Parametres!$B$3,IF(M101="",Parametres!$B$3,ROUND(M101*10%,0)))),"")</f>
        <v/>
      </c>
      <c r="R101" s="7" t="s">
        <v>160</v>
      </c>
      <c r="S101" s="7" t="s">
        <v>93</v>
      </c>
      <c r="T101" s="15" t="str">
        <f>IF(S101="oui",Parametres!$B$5,"")</f>
        <v/>
      </c>
      <c r="U101" s="7" t="s">
        <v>160</v>
      </c>
      <c r="V101" s="15">
        <f t="shared" si="4"/>
        <v>0</v>
      </c>
      <c r="W101" s="15" t="str">
        <f t="shared" si="5"/>
        <v/>
      </c>
      <c r="X101" s="6" t="s">
        <v>93</v>
      </c>
      <c r="Y101" s="7" t="s">
        <v>160</v>
      </c>
      <c r="Z101" s="10"/>
      <c r="AA101" s="6" t="s">
        <v>93</v>
      </c>
      <c r="AB101" s="7" t="s">
        <v>160</v>
      </c>
      <c r="AC101" s="10"/>
      <c r="AD101" s="9" t="str">
        <f t="shared" si="6"/>
        <v>oui</v>
      </c>
      <c r="AE101" s="9" t="str">
        <f t="shared" si="7"/>
        <v>Résidence ou logement non vendable</v>
      </c>
      <c r="AF101" s="7"/>
      <c r="AG101" s="10"/>
      <c r="AH101" s="10"/>
      <c r="AI101" s="7" t="s">
        <v>160</v>
      </c>
      <c r="AJ101" s="10"/>
      <c r="AK101" s="10"/>
      <c r="AL101" s="10"/>
      <c r="AM101" s="11" t="s">
        <v>160</v>
      </c>
      <c r="AN101" s="11" t="s">
        <v>160</v>
      </c>
      <c r="AO101" s="11" t="s">
        <v>160</v>
      </c>
      <c r="AP101" s="11" t="s">
        <v>160</v>
      </c>
      <c r="AQ101" s="11"/>
      <c r="AR101" s="7"/>
    </row>
    <row r="102" spans="1:44" ht="27.6" x14ac:dyDescent="0.3">
      <c r="A102" s="6" t="s">
        <v>270</v>
      </c>
      <c r="B102" s="6" t="s">
        <v>729</v>
      </c>
      <c r="C102" s="6" t="s">
        <v>745</v>
      </c>
      <c r="D102" s="6" t="s">
        <v>88</v>
      </c>
      <c r="E102" s="6" t="s">
        <v>746</v>
      </c>
      <c r="F102" s="7" t="s">
        <v>125</v>
      </c>
      <c r="G102" s="10"/>
      <c r="H102" s="7" t="s">
        <v>93</v>
      </c>
      <c r="I102" s="7"/>
      <c r="J102" s="10"/>
      <c r="K102" s="6" t="s">
        <v>93</v>
      </c>
      <c r="L102" s="7"/>
      <c r="M102" s="14"/>
      <c r="N102" s="7" t="s">
        <v>93</v>
      </c>
      <c r="O102" s="10"/>
      <c r="P102" s="7" t="s">
        <v>93</v>
      </c>
      <c r="Q102" s="15" t="str">
        <f>IF(P102="oui",MIN(Parametres!$B$4,MAX(Parametres!$B$3,IF(M102="",Parametres!$B$3,ROUND(M102*10%,0)))),"")</f>
        <v/>
      </c>
      <c r="R102" s="7" t="s">
        <v>160</v>
      </c>
      <c r="S102" s="7" t="s">
        <v>93</v>
      </c>
      <c r="T102" s="15" t="str">
        <f>IF(S102="oui",Parametres!$B$5,"")</f>
        <v/>
      </c>
      <c r="U102" s="7" t="s">
        <v>160</v>
      </c>
      <c r="V102" s="15">
        <f t="shared" si="4"/>
        <v>0</v>
      </c>
      <c r="W102" s="15" t="str">
        <f t="shared" si="5"/>
        <v/>
      </c>
      <c r="X102" s="6" t="s">
        <v>93</v>
      </c>
      <c r="Y102" s="7" t="s">
        <v>160</v>
      </c>
      <c r="Z102" s="10"/>
      <c r="AA102" s="6" t="s">
        <v>93</v>
      </c>
      <c r="AB102" s="7" t="s">
        <v>160</v>
      </c>
      <c r="AC102" s="10"/>
      <c r="AD102" s="9" t="str">
        <f t="shared" si="6"/>
        <v>oui</v>
      </c>
      <c r="AE102" s="9" t="str">
        <f t="shared" si="7"/>
        <v>Résidence ou logement non vendable</v>
      </c>
      <c r="AF102" s="7"/>
      <c r="AG102" s="10"/>
      <c r="AH102" s="10"/>
      <c r="AI102" s="7" t="s">
        <v>160</v>
      </c>
      <c r="AJ102" s="10"/>
      <c r="AK102" s="10"/>
      <c r="AL102" s="10"/>
      <c r="AM102" s="11" t="s">
        <v>160</v>
      </c>
      <c r="AN102" s="11" t="s">
        <v>160</v>
      </c>
      <c r="AO102" s="11" t="s">
        <v>160</v>
      </c>
      <c r="AP102" s="11" t="s">
        <v>160</v>
      </c>
      <c r="AQ102" s="11"/>
      <c r="AR102" s="7"/>
    </row>
    <row r="103" spans="1:44" ht="27.6" x14ac:dyDescent="0.3">
      <c r="A103" s="6" t="s">
        <v>270</v>
      </c>
      <c r="B103" s="6" t="s">
        <v>729</v>
      </c>
      <c r="C103" s="6" t="s">
        <v>751</v>
      </c>
      <c r="D103" s="6" t="s">
        <v>88</v>
      </c>
      <c r="E103" s="6" t="s">
        <v>752</v>
      </c>
      <c r="F103" s="7" t="s">
        <v>125</v>
      </c>
      <c r="G103" s="10"/>
      <c r="H103" s="7" t="s">
        <v>93</v>
      </c>
      <c r="I103" s="7"/>
      <c r="J103" s="10"/>
      <c r="K103" s="6" t="s">
        <v>93</v>
      </c>
      <c r="L103" s="7"/>
      <c r="M103" s="14"/>
      <c r="N103" s="7" t="s">
        <v>93</v>
      </c>
      <c r="O103" s="10"/>
      <c r="P103" s="7" t="s">
        <v>93</v>
      </c>
      <c r="Q103" s="15" t="str">
        <f>IF(P103="oui",MIN(Parametres!$B$4,MAX(Parametres!$B$3,IF(M103="",Parametres!$B$3,ROUND(M103*10%,0)))),"")</f>
        <v/>
      </c>
      <c r="R103" s="7" t="s">
        <v>160</v>
      </c>
      <c r="S103" s="7" t="s">
        <v>93</v>
      </c>
      <c r="T103" s="15" t="str">
        <f>IF(S103="oui",Parametres!$B$5,"")</f>
        <v/>
      </c>
      <c r="U103" s="7" t="s">
        <v>160</v>
      </c>
      <c r="V103" s="15">
        <f t="shared" si="4"/>
        <v>0</v>
      </c>
      <c r="W103" s="15" t="str">
        <f t="shared" si="5"/>
        <v/>
      </c>
      <c r="X103" s="6" t="s">
        <v>93</v>
      </c>
      <c r="Y103" s="7" t="s">
        <v>160</v>
      </c>
      <c r="Z103" s="10"/>
      <c r="AA103" s="6" t="s">
        <v>93</v>
      </c>
      <c r="AB103" s="7" t="s">
        <v>160</v>
      </c>
      <c r="AC103" s="10"/>
      <c r="AD103" s="9" t="str">
        <f t="shared" si="6"/>
        <v>oui</v>
      </c>
      <c r="AE103" s="9" t="str">
        <f t="shared" si="7"/>
        <v>Résidence ou logement non vendable</v>
      </c>
      <c r="AF103" s="7"/>
      <c r="AG103" s="10"/>
      <c r="AH103" s="10"/>
      <c r="AI103" s="7" t="s">
        <v>160</v>
      </c>
      <c r="AJ103" s="10"/>
      <c r="AK103" s="10"/>
      <c r="AL103" s="10"/>
      <c r="AM103" s="11" t="s">
        <v>160</v>
      </c>
      <c r="AN103" s="11" t="s">
        <v>160</v>
      </c>
      <c r="AO103" s="11" t="s">
        <v>160</v>
      </c>
      <c r="AP103" s="11" t="s">
        <v>160</v>
      </c>
      <c r="AQ103" s="11"/>
      <c r="AR103" s="7"/>
    </row>
    <row r="104" spans="1:44" ht="27.6" x14ac:dyDescent="0.3">
      <c r="A104" s="6" t="s">
        <v>270</v>
      </c>
      <c r="B104" s="6" t="s">
        <v>729</v>
      </c>
      <c r="C104" s="6" t="s">
        <v>756</v>
      </c>
      <c r="D104" s="6" t="s">
        <v>88</v>
      </c>
      <c r="E104" s="6" t="s">
        <v>757</v>
      </c>
      <c r="F104" s="7" t="s">
        <v>125</v>
      </c>
      <c r="G104" s="10"/>
      <c r="H104" s="7" t="s">
        <v>93</v>
      </c>
      <c r="I104" s="7"/>
      <c r="J104" s="10"/>
      <c r="K104" s="6" t="s">
        <v>93</v>
      </c>
      <c r="L104" s="7"/>
      <c r="M104" s="14"/>
      <c r="N104" s="7" t="s">
        <v>93</v>
      </c>
      <c r="O104" s="10"/>
      <c r="P104" s="7" t="s">
        <v>93</v>
      </c>
      <c r="Q104" s="15" t="str">
        <f>IF(P104="oui",MIN(Parametres!$B$4,MAX(Parametres!$B$3,IF(M104="",Parametres!$B$3,ROUND(M104*10%,0)))),"")</f>
        <v/>
      </c>
      <c r="R104" s="7" t="s">
        <v>160</v>
      </c>
      <c r="S104" s="7" t="s">
        <v>93</v>
      </c>
      <c r="T104" s="15" t="str">
        <f>IF(S104="oui",Parametres!$B$5,"")</f>
        <v/>
      </c>
      <c r="U104" s="7" t="s">
        <v>160</v>
      </c>
      <c r="V104" s="15">
        <f t="shared" si="4"/>
        <v>0</v>
      </c>
      <c r="W104" s="15" t="str">
        <f t="shared" si="5"/>
        <v/>
      </c>
      <c r="X104" s="6" t="s">
        <v>93</v>
      </c>
      <c r="Y104" s="7" t="s">
        <v>160</v>
      </c>
      <c r="Z104" s="10"/>
      <c r="AA104" s="6" t="s">
        <v>93</v>
      </c>
      <c r="AB104" s="7" t="s">
        <v>160</v>
      </c>
      <c r="AC104" s="10"/>
      <c r="AD104" s="9" t="str">
        <f t="shared" si="6"/>
        <v>oui</v>
      </c>
      <c r="AE104" s="9" t="str">
        <f t="shared" si="7"/>
        <v>Résidence ou logement non vendable</v>
      </c>
      <c r="AF104" s="7"/>
      <c r="AG104" s="10"/>
      <c r="AH104" s="10"/>
      <c r="AI104" s="7" t="s">
        <v>160</v>
      </c>
      <c r="AJ104" s="10"/>
      <c r="AK104" s="10"/>
      <c r="AL104" s="10"/>
      <c r="AM104" s="11" t="s">
        <v>160</v>
      </c>
      <c r="AN104" s="11" t="s">
        <v>160</v>
      </c>
      <c r="AO104" s="11" t="s">
        <v>160</v>
      </c>
      <c r="AP104" s="11" t="s">
        <v>160</v>
      </c>
      <c r="AQ104" s="11"/>
      <c r="AR104" s="7"/>
    </row>
    <row r="105" spans="1:44" ht="27.6" x14ac:dyDescent="0.3">
      <c r="A105" s="6" t="s">
        <v>270</v>
      </c>
      <c r="B105" s="6" t="s">
        <v>729</v>
      </c>
      <c r="C105" s="6" t="s">
        <v>761</v>
      </c>
      <c r="D105" s="6" t="s">
        <v>88</v>
      </c>
      <c r="E105" s="6" t="s">
        <v>762</v>
      </c>
      <c r="F105" s="7" t="s">
        <v>125</v>
      </c>
      <c r="G105" s="10"/>
      <c r="H105" s="7" t="s">
        <v>93</v>
      </c>
      <c r="I105" s="7"/>
      <c r="J105" s="10"/>
      <c r="K105" s="6" t="s">
        <v>93</v>
      </c>
      <c r="L105" s="7"/>
      <c r="M105" s="14"/>
      <c r="N105" s="7" t="s">
        <v>93</v>
      </c>
      <c r="O105" s="10"/>
      <c r="P105" s="7" t="s">
        <v>93</v>
      </c>
      <c r="Q105" s="15" t="str">
        <f>IF(P105="oui",MIN(Parametres!$B$4,MAX(Parametres!$B$3,IF(M105="",Parametres!$B$3,ROUND(M105*10%,0)))),"")</f>
        <v/>
      </c>
      <c r="R105" s="7" t="s">
        <v>160</v>
      </c>
      <c r="S105" s="7" t="s">
        <v>93</v>
      </c>
      <c r="T105" s="15" t="str">
        <f>IF(S105="oui",Parametres!$B$5,"")</f>
        <v/>
      </c>
      <c r="U105" s="7" t="s">
        <v>160</v>
      </c>
      <c r="V105" s="15">
        <f t="shared" si="4"/>
        <v>0</v>
      </c>
      <c r="W105" s="15" t="str">
        <f t="shared" si="5"/>
        <v/>
      </c>
      <c r="X105" s="6" t="s">
        <v>93</v>
      </c>
      <c r="Y105" s="7" t="s">
        <v>160</v>
      </c>
      <c r="Z105" s="10"/>
      <c r="AA105" s="6" t="s">
        <v>93</v>
      </c>
      <c r="AB105" s="7" t="s">
        <v>160</v>
      </c>
      <c r="AC105" s="10"/>
      <c r="AD105" s="9" t="str">
        <f t="shared" si="6"/>
        <v>oui</v>
      </c>
      <c r="AE105" s="9" t="str">
        <f t="shared" si="7"/>
        <v>Résidence ou logement non vendable</v>
      </c>
      <c r="AF105" s="7"/>
      <c r="AG105" s="10"/>
      <c r="AH105" s="10"/>
      <c r="AI105" s="7" t="s">
        <v>160</v>
      </c>
      <c r="AJ105" s="10"/>
      <c r="AK105" s="10"/>
      <c r="AL105" s="10"/>
      <c r="AM105" s="11" t="s">
        <v>160</v>
      </c>
      <c r="AN105" s="11" t="s">
        <v>160</v>
      </c>
      <c r="AO105" s="11" t="s">
        <v>160</v>
      </c>
      <c r="AP105" s="11" t="s">
        <v>160</v>
      </c>
      <c r="AQ105" s="11"/>
      <c r="AR105" s="7"/>
    </row>
    <row r="106" spans="1:44" ht="27.6" x14ac:dyDescent="0.3">
      <c r="A106" s="6" t="s">
        <v>270</v>
      </c>
      <c r="B106" s="6" t="s">
        <v>729</v>
      </c>
      <c r="C106" s="6" t="s">
        <v>766</v>
      </c>
      <c r="D106" s="6" t="s">
        <v>88</v>
      </c>
      <c r="E106" s="6" t="s">
        <v>767</v>
      </c>
      <c r="F106" s="7" t="s">
        <v>125</v>
      </c>
      <c r="G106" s="10"/>
      <c r="H106" s="7" t="s">
        <v>93</v>
      </c>
      <c r="I106" s="7"/>
      <c r="J106" s="10"/>
      <c r="K106" s="6" t="s">
        <v>93</v>
      </c>
      <c r="L106" s="7"/>
      <c r="M106" s="14"/>
      <c r="N106" s="7" t="s">
        <v>93</v>
      </c>
      <c r="O106" s="10"/>
      <c r="P106" s="7" t="s">
        <v>93</v>
      </c>
      <c r="Q106" s="15" t="str">
        <f>IF(P106="oui",MIN(Parametres!$B$4,MAX(Parametres!$B$3,IF(M106="",Parametres!$B$3,ROUND(M106*10%,0)))),"")</f>
        <v/>
      </c>
      <c r="R106" s="7" t="s">
        <v>160</v>
      </c>
      <c r="S106" s="7" t="s">
        <v>93</v>
      </c>
      <c r="T106" s="15" t="str">
        <f>IF(S106="oui",Parametres!$B$5,"")</f>
        <v/>
      </c>
      <c r="U106" s="7" t="s">
        <v>160</v>
      </c>
      <c r="V106" s="15">
        <f t="shared" si="4"/>
        <v>0</v>
      </c>
      <c r="W106" s="15" t="str">
        <f t="shared" si="5"/>
        <v/>
      </c>
      <c r="X106" s="6" t="s">
        <v>93</v>
      </c>
      <c r="Y106" s="7" t="s">
        <v>160</v>
      </c>
      <c r="Z106" s="10"/>
      <c r="AA106" s="6" t="s">
        <v>93</v>
      </c>
      <c r="AB106" s="7" t="s">
        <v>160</v>
      </c>
      <c r="AC106" s="10"/>
      <c r="AD106" s="9" t="str">
        <f t="shared" si="6"/>
        <v>oui</v>
      </c>
      <c r="AE106" s="9" t="str">
        <f t="shared" si="7"/>
        <v>Résidence ou logement non vendable</v>
      </c>
      <c r="AF106" s="7"/>
      <c r="AG106" s="10"/>
      <c r="AH106" s="10"/>
      <c r="AI106" s="7" t="s">
        <v>160</v>
      </c>
      <c r="AJ106" s="10"/>
      <c r="AK106" s="10"/>
      <c r="AL106" s="10"/>
      <c r="AM106" s="11" t="s">
        <v>160</v>
      </c>
      <c r="AN106" s="11" t="s">
        <v>160</v>
      </c>
      <c r="AO106" s="11" t="s">
        <v>160</v>
      </c>
      <c r="AP106" s="11" t="s">
        <v>160</v>
      </c>
      <c r="AQ106" s="11"/>
      <c r="AR106" s="7"/>
    </row>
    <row r="107" spans="1:44" ht="27.6" x14ac:dyDescent="0.3">
      <c r="A107" s="6" t="s">
        <v>270</v>
      </c>
      <c r="B107" s="6" t="s">
        <v>729</v>
      </c>
      <c r="C107" s="6" t="s">
        <v>769</v>
      </c>
      <c r="D107" s="6" t="s">
        <v>88</v>
      </c>
      <c r="E107" s="6" t="s">
        <v>770</v>
      </c>
      <c r="F107" s="7" t="s">
        <v>125</v>
      </c>
      <c r="G107" s="10"/>
      <c r="H107" s="7" t="s">
        <v>93</v>
      </c>
      <c r="I107" s="7"/>
      <c r="J107" s="10"/>
      <c r="K107" s="6" t="s">
        <v>93</v>
      </c>
      <c r="L107" s="7"/>
      <c r="M107" s="14"/>
      <c r="N107" s="7" t="s">
        <v>93</v>
      </c>
      <c r="O107" s="10"/>
      <c r="P107" s="7" t="s">
        <v>93</v>
      </c>
      <c r="Q107" s="15" t="str">
        <f>IF(P107="oui",MIN(Parametres!$B$4,MAX(Parametres!$B$3,IF(M107="",Parametres!$B$3,ROUND(M107*10%,0)))),"")</f>
        <v/>
      </c>
      <c r="R107" s="7" t="s">
        <v>160</v>
      </c>
      <c r="S107" s="7" t="s">
        <v>93</v>
      </c>
      <c r="T107" s="15" t="str">
        <f>IF(S107="oui",Parametres!$B$5,"")</f>
        <v/>
      </c>
      <c r="U107" s="7" t="s">
        <v>160</v>
      </c>
      <c r="V107" s="15">
        <f t="shared" si="4"/>
        <v>0</v>
      </c>
      <c r="W107" s="15" t="str">
        <f t="shared" si="5"/>
        <v/>
      </c>
      <c r="X107" s="6" t="s">
        <v>93</v>
      </c>
      <c r="Y107" s="7" t="s">
        <v>160</v>
      </c>
      <c r="Z107" s="10"/>
      <c r="AA107" s="6" t="s">
        <v>93</v>
      </c>
      <c r="AB107" s="7" t="s">
        <v>160</v>
      </c>
      <c r="AC107" s="10"/>
      <c r="AD107" s="9" t="str">
        <f t="shared" si="6"/>
        <v>oui</v>
      </c>
      <c r="AE107" s="9" t="str">
        <f t="shared" si="7"/>
        <v>Résidence ou logement non vendable</v>
      </c>
      <c r="AF107" s="7"/>
      <c r="AG107" s="10"/>
      <c r="AH107" s="10"/>
      <c r="AI107" s="7" t="s">
        <v>160</v>
      </c>
      <c r="AJ107" s="10"/>
      <c r="AK107" s="10"/>
      <c r="AL107" s="10"/>
      <c r="AM107" s="11" t="s">
        <v>160</v>
      </c>
      <c r="AN107" s="11" t="s">
        <v>160</v>
      </c>
      <c r="AO107" s="11" t="s">
        <v>160</v>
      </c>
      <c r="AP107" s="11" t="s">
        <v>160</v>
      </c>
      <c r="AQ107" s="11"/>
      <c r="AR107" s="7"/>
    </row>
    <row r="108" spans="1:44" ht="27.6" x14ac:dyDescent="0.3">
      <c r="A108" s="6" t="s">
        <v>270</v>
      </c>
      <c r="B108" s="6" t="s">
        <v>729</v>
      </c>
      <c r="C108" s="6" t="s">
        <v>774</v>
      </c>
      <c r="D108" s="6" t="s">
        <v>88</v>
      </c>
      <c r="E108" s="6" t="s">
        <v>775</v>
      </c>
      <c r="F108" s="7" t="s">
        <v>125</v>
      </c>
      <c r="G108" s="10"/>
      <c r="H108" s="7" t="s">
        <v>93</v>
      </c>
      <c r="I108" s="7"/>
      <c r="J108" s="10"/>
      <c r="K108" s="6" t="s">
        <v>93</v>
      </c>
      <c r="L108" s="7"/>
      <c r="M108" s="14"/>
      <c r="N108" s="7" t="s">
        <v>93</v>
      </c>
      <c r="O108" s="10"/>
      <c r="P108" s="7" t="s">
        <v>93</v>
      </c>
      <c r="Q108" s="15" t="str">
        <f>IF(P108="oui",MIN(Parametres!$B$4,MAX(Parametres!$B$3,IF(M108="",Parametres!$B$3,ROUND(M108*10%,0)))),"")</f>
        <v/>
      </c>
      <c r="R108" s="7" t="s">
        <v>160</v>
      </c>
      <c r="S108" s="7" t="s">
        <v>93</v>
      </c>
      <c r="T108" s="15" t="str">
        <f>IF(S108="oui",Parametres!$B$5,"")</f>
        <v/>
      </c>
      <c r="U108" s="7" t="s">
        <v>160</v>
      </c>
      <c r="V108" s="15">
        <f t="shared" si="4"/>
        <v>0</v>
      </c>
      <c r="W108" s="15" t="str">
        <f t="shared" si="5"/>
        <v/>
      </c>
      <c r="X108" s="6" t="s">
        <v>93</v>
      </c>
      <c r="Y108" s="7" t="s">
        <v>160</v>
      </c>
      <c r="Z108" s="10"/>
      <c r="AA108" s="6" t="s">
        <v>93</v>
      </c>
      <c r="AB108" s="7" t="s">
        <v>160</v>
      </c>
      <c r="AC108" s="10"/>
      <c r="AD108" s="9" t="str">
        <f t="shared" si="6"/>
        <v>oui</v>
      </c>
      <c r="AE108" s="9" t="str">
        <f t="shared" si="7"/>
        <v>Résidence ou logement non vendable</v>
      </c>
      <c r="AF108" s="7"/>
      <c r="AG108" s="10"/>
      <c r="AH108" s="10"/>
      <c r="AI108" s="7" t="s">
        <v>160</v>
      </c>
      <c r="AJ108" s="10"/>
      <c r="AK108" s="10"/>
      <c r="AL108" s="10"/>
      <c r="AM108" s="11" t="s">
        <v>160</v>
      </c>
      <c r="AN108" s="11" t="s">
        <v>160</v>
      </c>
      <c r="AO108" s="11" t="s">
        <v>160</v>
      </c>
      <c r="AP108" s="11" t="s">
        <v>160</v>
      </c>
      <c r="AQ108" s="11"/>
      <c r="AR108" s="7"/>
    </row>
    <row r="109" spans="1:44" ht="27.6" x14ac:dyDescent="0.3">
      <c r="A109" s="6" t="s">
        <v>270</v>
      </c>
      <c r="B109" s="6" t="s">
        <v>729</v>
      </c>
      <c r="C109" s="6" t="s">
        <v>778</v>
      </c>
      <c r="D109" s="6" t="s">
        <v>88</v>
      </c>
      <c r="E109" s="6" t="s">
        <v>779</v>
      </c>
      <c r="F109" s="7" t="s">
        <v>125</v>
      </c>
      <c r="G109" s="10"/>
      <c r="H109" s="7" t="s">
        <v>93</v>
      </c>
      <c r="I109" s="7"/>
      <c r="J109" s="10"/>
      <c r="K109" s="6" t="s">
        <v>93</v>
      </c>
      <c r="L109" s="7"/>
      <c r="M109" s="14"/>
      <c r="N109" s="7" t="s">
        <v>93</v>
      </c>
      <c r="O109" s="10"/>
      <c r="P109" s="7" t="s">
        <v>93</v>
      </c>
      <c r="Q109" s="15" t="str">
        <f>IF(P109="oui",MIN(Parametres!$B$4,MAX(Parametres!$B$3,IF(M109="",Parametres!$B$3,ROUND(M109*10%,0)))),"")</f>
        <v/>
      </c>
      <c r="R109" s="7" t="s">
        <v>160</v>
      </c>
      <c r="S109" s="7" t="s">
        <v>93</v>
      </c>
      <c r="T109" s="15" t="str">
        <f>IF(S109="oui",Parametres!$B$5,"")</f>
        <v/>
      </c>
      <c r="U109" s="7" t="s">
        <v>160</v>
      </c>
      <c r="V109" s="15">
        <f t="shared" si="4"/>
        <v>0</v>
      </c>
      <c r="W109" s="15" t="str">
        <f t="shared" si="5"/>
        <v/>
      </c>
      <c r="X109" s="6" t="s">
        <v>93</v>
      </c>
      <c r="Y109" s="7" t="s">
        <v>160</v>
      </c>
      <c r="Z109" s="10"/>
      <c r="AA109" s="6" t="s">
        <v>93</v>
      </c>
      <c r="AB109" s="7" t="s">
        <v>160</v>
      </c>
      <c r="AC109" s="10"/>
      <c r="AD109" s="9" t="str">
        <f t="shared" si="6"/>
        <v>oui</v>
      </c>
      <c r="AE109" s="9" t="str">
        <f t="shared" si="7"/>
        <v>Résidence ou logement non vendable</v>
      </c>
      <c r="AF109" s="7"/>
      <c r="AG109" s="10"/>
      <c r="AH109" s="10"/>
      <c r="AI109" s="7" t="s">
        <v>160</v>
      </c>
      <c r="AJ109" s="10"/>
      <c r="AK109" s="10"/>
      <c r="AL109" s="10"/>
      <c r="AM109" s="11" t="s">
        <v>160</v>
      </c>
      <c r="AN109" s="11" t="s">
        <v>160</v>
      </c>
      <c r="AO109" s="11" t="s">
        <v>160</v>
      </c>
      <c r="AP109" s="11" t="s">
        <v>160</v>
      </c>
      <c r="AQ109" s="11"/>
      <c r="AR109" s="7"/>
    </row>
    <row r="110" spans="1:44" ht="27.6" x14ac:dyDescent="0.3">
      <c r="A110" s="6" t="s">
        <v>270</v>
      </c>
      <c r="B110" s="6" t="s">
        <v>729</v>
      </c>
      <c r="C110" s="6" t="s">
        <v>783</v>
      </c>
      <c r="D110" s="6" t="s">
        <v>88</v>
      </c>
      <c r="E110" s="6" t="s">
        <v>784</v>
      </c>
      <c r="F110" s="7" t="s">
        <v>125</v>
      </c>
      <c r="G110" s="10"/>
      <c r="H110" s="7" t="s">
        <v>93</v>
      </c>
      <c r="I110" s="7"/>
      <c r="J110" s="10"/>
      <c r="K110" s="6" t="s">
        <v>93</v>
      </c>
      <c r="L110" s="7"/>
      <c r="M110" s="14"/>
      <c r="N110" s="7" t="s">
        <v>93</v>
      </c>
      <c r="O110" s="10"/>
      <c r="P110" s="7" t="s">
        <v>93</v>
      </c>
      <c r="Q110" s="15" t="str">
        <f>IF(P110="oui",MIN(Parametres!$B$4,MAX(Parametres!$B$3,IF(M110="",Parametres!$B$3,ROUND(M110*10%,0)))),"")</f>
        <v/>
      </c>
      <c r="R110" s="7" t="s">
        <v>160</v>
      </c>
      <c r="S110" s="7" t="s">
        <v>93</v>
      </c>
      <c r="T110" s="15" t="str">
        <f>IF(S110="oui",Parametres!$B$5,"")</f>
        <v/>
      </c>
      <c r="U110" s="7" t="s">
        <v>160</v>
      </c>
      <c r="V110" s="15">
        <f t="shared" si="4"/>
        <v>0</v>
      </c>
      <c r="W110" s="15" t="str">
        <f t="shared" si="5"/>
        <v/>
      </c>
      <c r="X110" s="6" t="s">
        <v>93</v>
      </c>
      <c r="Y110" s="7" t="s">
        <v>160</v>
      </c>
      <c r="Z110" s="10"/>
      <c r="AA110" s="6" t="s">
        <v>93</v>
      </c>
      <c r="AB110" s="7" t="s">
        <v>160</v>
      </c>
      <c r="AC110" s="10"/>
      <c r="AD110" s="9" t="str">
        <f t="shared" si="6"/>
        <v>oui</v>
      </c>
      <c r="AE110" s="9" t="str">
        <f t="shared" si="7"/>
        <v>Résidence ou logement non vendable</v>
      </c>
      <c r="AF110" s="7"/>
      <c r="AG110" s="10"/>
      <c r="AH110" s="10"/>
      <c r="AI110" s="7" t="s">
        <v>160</v>
      </c>
      <c r="AJ110" s="10"/>
      <c r="AK110" s="10"/>
      <c r="AL110" s="10"/>
      <c r="AM110" s="11" t="s">
        <v>160</v>
      </c>
      <c r="AN110" s="11" t="s">
        <v>160</v>
      </c>
      <c r="AO110" s="11" t="s">
        <v>160</v>
      </c>
      <c r="AP110" s="11" t="s">
        <v>160</v>
      </c>
      <c r="AQ110" s="11"/>
      <c r="AR110" s="7"/>
    </row>
    <row r="111" spans="1:44" ht="27.6" x14ac:dyDescent="0.3">
      <c r="A111" s="6" t="s">
        <v>270</v>
      </c>
      <c r="B111" s="6" t="s">
        <v>729</v>
      </c>
      <c r="C111" s="6" t="s">
        <v>787</v>
      </c>
      <c r="D111" s="6" t="s">
        <v>88</v>
      </c>
      <c r="E111" s="6" t="s">
        <v>788</v>
      </c>
      <c r="F111" s="7" t="s">
        <v>125</v>
      </c>
      <c r="G111" s="10"/>
      <c r="H111" s="7" t="s">
        <v>93</v>
      </c>
      <c r="I111" s="7"/>
      <c r="J111" s="10"/>
      <c r="K111" s="6" t="s">
        <v>93</v>
      </c>
      <c r="L111" s="7"/>
      <c r="M111" s="14"/>
      <c r="N111" s="7" t="s">
        <v>93</v>
      </c>
      <c r="O111" s="10"/>
      <c r="P111" s="7" t="s">
        <v>93</v>
      </c>
      <c r="Q111" s="15" t="str">
        <f>IF(P111="oui",MIN(Parametres!$B$4,MAX(Parametres!$B$3,IF(M111="",Parametres!$B$3,ROUND(M111*10%,0)))),"")</f>
        <v/>
      </c>
      <c r="R111" s="7" t="s">
        <v>160</v>
      </c>
      <c r="S111" s="7" t="s">
        <v>93</v>
      </c>
      <c r="T111" s="15" t="str">
        <f>IF(S111="oui",Parametres!$B$5,"")</f>
        <v/>
      </c>
      <c r="U111" s="7" t="s">
        <v>160</v>
      </c>
      <c r="V111" s="15">
        <f t="shared" si="4"/>
        <v>0</v>
      </c>
      <c r="W111" s="15" t="str">
        <f t="shared" si="5"/>
        <v/>
      </c>
      <c r="X111" s="6" t="s">
        <v>93</v>
      </c>
      <c r="Y111" s="7" t="s">
        <v>160</v>
      </c>
      <c r="Z111" s="10"/>
      <c r="AA111" s="6" t="s">
        <v>93</v>
      </c>
      <c r="AB111" s="7" t="s">
        <v>160</v>
      </c>
      <c r="AC111" s="10"/>
      <c r="AD111" s="9" t="str">
        <f t="shared" si="6"/>
        <v>oui</v>
      </c>
      <c r="AE111" s="9" t="str">
        <f t="shared" si="7"/>
        <v>Résidence ou logement non vendable</v>
      </c>
      <c r="AF111" s="7"/>
      <c r="AG111" s="10"/>
      <c r="AH111" s="10"/>
      <c r="AI111" s="7" t="s">
        <v>160</v>
      </c>
      <c r="AJ111" s="10"/>
      <c r="AK111" s="10"/>
      <c r="AL111" s="10"/>
      <c r="AM111" s="11" t="s">
        <v>160</v>
      </c>
      <c r="AN111" s="11" t="s">
        <v>160</v>
      </c>
      <c r="AO111" s="11" t="s">
        <v>160</v>
      </c>
      <c r="AP111" s="11" t="s">
        <v>160</v>
      </c>
      <c r="AQ111" s="11"/>
      <c r="AR111" s="7"/>
    </row>
    <row r="112" spans="1:44" ht="27.6" x14ac:dyDescent="0.3">
      <c r="A112" s="6" t="s">
        <v>270</v>
      </c>
      <c r="B112" s="6" t="s">
        <v>729</v>
      </c>
      <c r="C112" s="6" t="s">
        <v>791</v>
      </c>
      <c r="D112" s="6" t="s">
        <v>88</v>
      </c>
      <c r="E112" s="6" t="s">
        <v>792</v>
      </c>
      <c r="F112" s="7" t="s">
        <v>125</v>
      </c>
      <c r="G112" s="10"/>
      <c r="H112" s="7" t="s">
        <v>93</v>
      </c>
      <c r="I112" s="7"/>
      <c r="J112" s="10"/>
      <c r="K112" s="6" t="s">
        <v>93</v>
      </c>
      <c r="L112" s="7"/>
      <c r="M112" s="14"/>
      <c r="N112" s="7" t="s">
        <v>93</v>
      </c>
      <c r="O112" s="10"/>
      <c r="P112" s="7" t="s">
        <v>93</v>
      </c>
      <c r="Q112" s="15" t="str">
        <f>IF(P112="oui",MIN(Parametres!$B$4,MAX(Parametres!$B$3,IF(M112="",Parametres!$B$3,ROUND(M112*10%,0)))),"")</f>
        <v/>
      </c>
      <c r="R112" s="7" t="s">
        <v>160</v>
      </c>
      <c r="S112" s="7" t="s">
        <v>93</v>
      </c>
      <c r="T112" s="15" t="str">
        <f>IF(S112="oui",Parametres!$B$5,"")</f>
        <v/>
      </c>
      <c r="U112" s="7" t="s">
        <v>160</v>
      </c>
      <c r="V112" s="15">
        <f t="shared" si="4"/>
        <v>0</v>
      </c>
      <c r="W112" s="15" t="str">
        <f t="shared" si="5"/>
        <v/>
      </c>
      <c r="X112" s="6" t="s">
        <v>93</v>
      </c>
      <c r="Y112" s="7" t="s">
        <v>160</v>
      </c>
      <c r="Z112" s="10"/>
      <c r="AA112" s="6" t="s">
        <v>93</v>
      </c>
      <c r="AB112" s="7" t="s">
        <v>160</v>
      </c>
      <c r="AC112" s="10"/>
      <c r="AD112" s="9" t="str">
        <f t="shared" si="6"/>
        <v>oui</v>
      </c>
      <c r="AE112" s="9" t="str">
        <f t="shared" si="7"/>
        <v>Résidence ou logement non vendable</v>
      </c>
      <c r="AF112" s="7"/>
      <c r="AG112" s="10"/>
      <c r="AH112" s="10"/>
      <c r="AI112" s="7" t="s">
        <v>160</v>
      </c>
      <c r="AJ112" s="10"/>
      <c r="AK112" s="10"/>
      <c r="AL112" s="10"/>
      <c r="AM112" s="11" t="s">
        <v>160</v>
      </c>
      <c r="AN112" s="11" t="s">
        <v>160</v>
      </c>
      <c r="AO112" s="11" t="s">
        <v>160</v>
      </c>
      <c r="AP112" s="11" t="s">
        <v>160</v>
      </c>
      <c r="AQ112" s="11"/>
      <c r="AR112" s="7"/>
    </row>
    <row r="113" spans="1:44" ht="27.6" x14ac:dyDescent="0.3">
      <c r="A113" s="6" t="s">
        <v>270</v>
      </c>
      <c r="B113" s="6" t="s">
        <v>729</v>
      </c>
      <c r="C113" s="6" t="s">
        <v>798</v>
      </c>
      <c r="D113" s="6" t="s">
        <v>88</v>
      </c>
      <c r="E113" s="6" t="s">
        <v>799</v>
      </c>
      <c r="F113" s="7" t="s">
        <v>125</v>
      </c>
      <c r="G113" s="10"/>
      <c r="H113" s="7" t="s">
        <v>93</v>
      </c>
      <c r="I113" s="7"/>
      <c r="J113" s="10"/>
      <c r="K113" s="6" t="s">
        <v>93</v>
      </c>
      <c r="L113" s="7"/>
      <c r="M113" s="14"/>
      <c r="N113" s="7" t="s">
        <v>93</v>
      </c>
      <c r="O113" s="10"/>
      <c r="P113" s="7" t="s">
        <v>93</v>
      </c>
      <c r="Q113" s="15" t="str">
        <f>IF(P113="oui",MIN(Parametres!$B$4,MAX(Parametres!$B$3,IF(M113="",Parametres!$B$3,ROUND(M113*10%,0)))),"")</f>
        <v/>
      </c>
      <c r="R113" s="7" t="s">
        <v>160</v>
      </c>
      <c r="S113" s="7" t="s">
        <v>93</v>
      </c>
      <c r="T113" s="15" t="str">
        <f>IF(S113="oui",Parametres!$B$5,"")</f>
        <v/>
      </c>
      <c r="U113" s="7" t="s">
        <v>160</v>
      </c>
      <c r="V113" s="15">
        <f t="shared" si="4"/>
        <v>0</v>
      </c>
      <c r="W113" s="15" t="str">
        <f t="shared" si="5"/>
        <v/>
      </c>
      <c r="X113" s="6" t="s">
        <v>93</v>
      </c>
      <c r="Y113" s="7" t="s">
        <v>160</v>
      </c>
      <c r="Z113" s="10"/>
      <c r="AA113" s="6" t="s">
        <v>93</v>
      </c>
      <c r="AB113" s="7" t="s">
        <v>160</v>
      </c>
      <c r="AC113" s="10"/>
      <c r="AD113" s="9" t="str">
        <f t="shared" si="6"/>
        <v>oui</v>
      </c>
      <c r="AE113" s="9" t="str">
        <f t="shared" si="7"/>
        <v>Résidence ou logement non vendable</v>
      </c>
      <c r="AF113" s="7"/>
      <c r="AG113" s="10"/>
      <c r="AH113" s="10"/>
      <c r="AI113" s="7" t="s">
        <v>160</v>
      </c>
      <c r="AJ113" s="10"/>
      <c r="AK113" s="10"/>
      <c r="AL113" s="10"/>
      <c r="AM113" s="11" t="s">
        <v>160</v>
      </c>
      <c r="AN113" s="11" t="s">
        <v>160</v>
      </c>
      <c r="AO113" s="11" t="s">
        <v>160</v>
      </c>
      <c r="AP113" s="11" t="s">
        <v>160</v>
      </c>
      <c r="AQ113" s="11"/>
      <c r="AR113" s="7"/>
    </row>
    <row r="114" spans="1:44" ht="27.6" x14ac:dyDescent="0.3">
      <c r="A114" s="6" t="s">
        <v>270</v>
      </c>
      <c r="B114" s="6" t="s">
        <v>729</v>
      </c>
      <c r="C114" s="6" t="s">
        <v>805</v>
      </c>
      <c r="D114" s="6" t="s">
        <v>88</v>
      </c>
      <c r="E114" s="6" t="s">
        <v>806</v>
      </c>
      <c r="F114" s="7" t="s">
        <v>125</v>
      </c>
      <c r="G114" s="10"/>
      <c r="H114" s="7" t="s">
        <v>93</v>
      </c>
      <c r="I114" s="7"/>
      <c r="J114" s="10"/>
      <c r="K114" s="6" t="s">
        <v>93</v>
      </c>
      <c r="L114" s="7"/>
      <c r="M114" s="14"/>
      <c r="N114" s="7" t="s">
        <v>93</v>
      </c>
      <c r="O114" s="10"/>
      <c r="P114" s="7" t="s">
        <v>93</v>
      </c>
      <c r="Q114" s="15" t="str">
        <f>IF(P114="oui",MIN(Parametres!$B$4,MAX(Parametres!$B$3,IF(M114="",Parametres!$B$3,ROUND(M114*10%,0)))),"")</f>
        <v/>
      </c>
      <c r="R114" s="7" t="s">
        <v>160</v>
      </c>
      <c r="S114" s="7" t="s">
        <v>93</v>
      </c>
      <c r="T114" s="15" t="str">
        <f>IF(S114="oui",Parametres!$B$5,"")</f>
        <v/>
      </c>
      <c r="U114" s="7" t="s">
        <v>160</v>
      </c>
      <c r="V114" s="15">
        <f t="shared" si="4"/>
        <v>0</v>
      </c>
      <c r="W114" s="15" t="str">
        <f t="shared" si="5"/>
        <v/>
      </c>
      <c r="X114" s="6" t="s">
        <v>93</v>
      </c>
      <c r="Y114" s="7" t="s">
        <v>160</v>
      </c>
      <c r="Z114" s="10"/>
      <c r="AA114" s="6" t="s">
        <v>93</v>
      </c>
      <c r="AB114" s="7" t="s">
        <v>160</v>
      </c>
      <c r="AC114" s="10"/>
      <c r="AD114" s="9" t="str">
        <f t="shared" si="6"/>
        <v>oui</v>
      </c>
      <c r="AE114" s="9" t="str">
        <f t="shared" si="7"/>
        <v>Résidence ou logement non vendable</v>
      </c>
      <c r="AF114" s="7"/>
      <c r="AG114" s="10"/>
      <c r="AH114" s="10"/>
      <c r="AI114" s="7" t="s">
        <v>160</v>
      </c>
      <c r="AJ114" s="10"/>
      <c r="AK114" s="10"/>
      <c r="AL114" s="10"/>
      <c r="AM114" s="11" t="s">
        <v>160</v>
      </c>
      <c r="AN114" s="11" t="s">
        <v>160</v>
      </c>
      <c r="AO114" s="11" t="s">
        <v>160</v>
      </c>
      <c r="AP114" s="11" t="s">
        <v>160</v>
      </c>
      <c r="AQ114" s="11"/>
      <c r="AR114" s="7"/>
    </row>
    <row r="115" spans="1:44" ht="27.6" x14ac:dyDescent="0.3">
      <c r="A115" s="6" t="s">
        <v>270</v>
      </c>
      <c r="B115" s="6" t="s">
        <v>729</v>
      </c>
      <c r="C115" s="6" t="s">
        <v>810</v>
      </c>
      <c r="D115" s="6" t="s">
        <v>88</v>
      </c>
      <c r="E115" s="6" t="s">
        <v>811</v>
      </c>
      <c r="F115" s="7" t="s">
        <v>125</v>
      </c>
      <c r="G115" s="10"/>
      <c r="H115" s="7" t="s">
        <v>93</v>
      </c>
      <c r="I115" s="7"/>
      <c r="J115" s="10"/>
      <c r="K115" s="6" t="s">
        <v>93</v>
      </c>
      <c r="L115" s="7"/>
      <c r="M115" s="14"/>
      <c r="N115" s="7" t="s">
        <v>93</v>
      </c>
      <c r="O115" s="10"/>
      <c r="P115" s="7" t="s">
        <v>93</v>
      </c>
      <c r="Q115" s="15" t="str">
        <f>IF(P115="oui",MIN(Parametres!$B$4,MAX(Parametres!$B$3,IF(M115="",Parametres!$B$3,ROUND(M115*10%,0)))),"")</f>
        <v/>
      </c>
      <c r="R115" s="7" t="s">
        <v>160</v>
      </c>
      <c r="S115" s="7" t="s">
        <v>93</v>
      </c>
      <c r="T115" s="15" t="str">
        <f>IF(S115="oui",Parametres!$B$5,"")</f>
        <v/>
      </c>
      <c r="U115" s="7" t="s">
        <v>160</v>
      </c>
      <c r="V115" s="15">
        <f t="shared" si="4"/>
        <v>0</v>
      </c>
      <c r="W115" s="15" t="str">
        <f t="shared" si="5"/>
        <v/>
      </c>
      <c r="X115" s="6" t="s">
        <v>93</v>
      </c>
      <c r="Y115" s="7" t="s">
        <v>160</v>
      </c>
      <c r="Z115" s="10"/>
      <c r="AA115" s="6" t="s">
        <v>93</v>
      </c>
      <c r="AB115" s="7" t="s">
        <v>160</v>
      </c>
      <c r="AC115" s="10"/>
      <c r="AD115" s="9" t="str">
        <f t="shared" si="6"/>
        <v>oui</v>
      </c>
      <c r="AE115" s="9" t="str">
        <f t="shared" si="7"/>
        <v>Résidence ou logement non vendable</v>
      </c>
      <c r="AF115" s="7"/>
      <c r="AG115" s="10"/>
      <c r="AH115" s="10"/>
      <c r="AI115" s="7" t="s">
        <v>160</v>
      </c>
      <c r="AJ115" s="10"/>
      <c r="AK115" s="10"/>
      <c r="AL115" s="10"/>
      <c r="AM115" s="11" t="s">
        <v>160</v>
      </c>
      <c r="AN115" s="11" t="s">
        <v>160</v>
      </c>
      <c r="AO115" s="11" t="s">
        <v>160</v>
      </c>
      <c r="AP115" s="11" t="s">
        <v>160</v>
      </c>
      <c r="AQ115" s="11"/>
      <c r="AR115" s="7"/>
    </row>
    <row r="116" spans="1:44" ht="27.6" x14ac:dyDescent="0.3">
      <c r="A116" s="6" t="s">
        <v>270</v>
      </c>
      <c r="B116" s="6" t="s">
        <v>729</v>
      </c>
      <c r="C116" s="6" t="s">
        <v>815</v>
      </c>
      <c r="D116" s="6" t="s">
        <v>88</v>
      </c>
      <c r="E116" s="6" t="s">
        <v>816</v>
      </c>
      <c r="F116" s="7" t="s">
        <v>125</v>
      </c>
      <c r="G116" s="10"/>
      <c r="H116" s="7" t="s">
        <v>93</v>
      </c>
      <c r="I116" s="7"/>
      <c r="J116" s="10"/>
      <c r="K116" s="6" t="s">
        <v>93</v>
      </c>
      <c r="L116" s="7"/>
      <c r="M116" s="14"/>
      <c r="N116" s="7" t="s">
        <v>93</v>
      </c>
      <c r="O116" s="10"/>
      <c r="P116" s="7" t="s">
        <v>93</v>
      </c>
      <c r="Q116" s="15" t="str">
        <f>IF(P116="oui",MIN(Parametres!$B$4,MAX(Parametres!$B$3,IF(M116="",Parametres!$B$3,ROUND(M116*10%,0)))),"")</f>
        <v/>
      </c>
      <c r="R116" s="7" t="s">
        <v>160</v>
      </c>
      <c r="S116" s="7" t="s">
        <v>93</v>
      </c>
      <c r="T116" s="15" t="str">
        <f>IF(S116="oui",Parametres!$B$5,"")</f>
        <v/>
      </c>
      <c r="U116" s="7" t="s">
        <v>160</v>
      </c>
      <c r="V116" s="15">
        <f t="shared" si="4"/>
        <v>0</v>
      </c>
      <c r="W116" s="15" t="str">
        <f t="shared" si="5"/>
        <v/>
      </c>
      <c r="X116" s="6" t="s">
        <v>93</v>
      </c>
      <c r="Y116" s="7" t="s">
        <v>160</v>
      </c>
      <c r="Z116" s="10"/>
      <c r="AA116" s="6" t="s">
        <v>93</v>
      </c>
      <c r="AB116" s="7" t="s">
        <v>160</v>
      </c>
      <c r="AC116" s="10"/>
      <c r="AD116" s="9" t="str">
        <f t="shared" si="6"/>
        <v>oui</v>
      </c>
      <c r="AE116" s="9" t="str">
        <f t="shared" si="7"/>
        <v>Résidence ou logement non vendable</v>
      </c>
      <c r="AF116" s="7"/>
      <c r="AG116" s="10"/>
      <c r="AH116" s="10"/>
      <c r="AI116" s="7" t="s">
        <v>160</v>
      </c>
      <c r="AJ116" s="10"/>
      <c r="AK116" s="10"/>
      <c r="AL116" s="10"/>
      <c r="AM116" s="11" t="s">
        <v>160</v>
      </c>
      <c r="AN116" s="11" t="s">
        <v>160</v>
      </c>
      <c r="AO116" s="11" t="s">
        <v>160</v>
      </c>
      <c r="AP116" s="11" t="s">
        <v>160</v>
      </c>
      <c r="AQ116" s="11"/>
      <c r="AR116" s="7"/>
    </row>
    <row r="117" spans="1:44" ht="27.6" x14ac:dyDescent="0.3">
      <c r="A117" s="6" t="s">
        <v>270</v>
      </c>
      <c r="B117" s="6" t="s">
        <v>729</v>
      </c>
      <c r="C117" s="6" t="s">
        <v>820</v>
      </c>
      <c r="D117" s="6" t="s">
        <v>88</v>
      </c>
      <c r="E117" s="6" t="s">
        <v>821</v>
      </c>
      <c r="F117" s="7" t="s">
        <v>125</v>
      </c>
      <c r="G117" s="10"/>
      <c r="H117" s="7" t="s">
        <v>93</v>
      </c>
      <c r="I117" s="7"/>
      <c r="J117" s="10"/>
      <c r="K117" s="6" t="s">
        <v>93</v>
      </c>
      <c r="L117" s="7"/>
      <c r="M117" s="14"/>
      <c r="N117" s="7" t="s">
        <v>93</v>
      </c>
      <c r="O117" s="10"/>
      <c r="P117" s="7" t="s">
        <v>93</v>
      </c>
      <c r="Q117" s="15" t="str">
        <f>IF(P117="oui",MIN(Parametres!$B$4,MAX(Parametres!$B$3,IF(M117="",Parametres!$B$3,ROUND(M117*10%,0)))),"")</f>
        <v/>
      </c>
      <c r="R117" s="7" t="s">
        <v>160</v>
      </c>
      <c r="S117" s="7" t="s">
        <v>93</v>
      </c>
      <c r="T117" s="15" t="str">
        <f>IF(S117="oui",Parametres!$B$5,"")</f>
        <v/>
      </c>
      <c r="U117" s="7" t="s">
        <v>160</v>
      </c>
      <c r="V117" s="15">
        <f t="shared" si="4"/>
        <v>0</v>
      </c>
      <c r="W117" s="15" t="str">
        <f t="shared" si="5"/>
        <v/>
      </c>
      <c r="X117" s="6" t="s">
        <v>93</v>
      </c>
      <c r="Y117" s="7" t="s">
        <v>160</v>
      </c>
      <c r="Z117" s="10"/>
      <c r="AA117" s="6" t="s">
        <v>93</v>
      </c>
      <c r="AB117" s="7" t="s">
        <v>160</v>
      </c>
      <c r="AC117" s="10"/>
      <c r="AD117" s="9" t="str">
        <f t="shared" si="6"/>
        <v>oui</v>
      </c>
      <c r="AE117" s="9" t="str">
        <f t="shared" si="7"/>
        <v>Résidence ou logement non vendable</v>
      </c>
      <c r="AF117" s="7"/>
      <c r="AG117" s="10"/>
      <c r="AH117" s="10"/>
      <c r="AI117" s="7" t="s">
        <v>160</v>
      </c>
      <c r="AJ117" s="10"/>
      <c r="AK117" s="10"/>
      <c r="AL117" s="10"/>
      <c r="AM117" s="11" t="s">
        <v>160</v>
      </c>
      <c r="AN117" s="11" t="s">
        <v>160</v>
      </c>
      <c r="AO117" s="11" t="s">
        <v>160</v>
      </c>
      <c r="AP117" s="11" t="s">
        <v>160</v>
      </c>
      <c r="AQ117" s="11"/>
      <c r="AR117" s="7"/>
    </row>
    <row r="118" spans="1:44" ht="27.6" x14ac:dyDescent="0.3">
      <c r="A118" s="6" t="s">
        <v>270</v>
      </c>
      <c r="B118" s="6" t="s">
        <v>729</v>
      </c>
      <c r="C118" s="6" t="s">
        <v>824</v>
      </c>
      <c r="D118" s="6" t="s">
        <v>88</v>
      </c>
      <c r="E118" s="6" t="s">
        <v>825</v>
      </c>
      <c r="F118" s="7" t="s">
        <v>125</v>
      </c>
      <c r="G118" s="10"/>
      <c r="H118" s="7" t="s">
        <v>93</v>
      </c>
      <c r="I118" s="7"/>
      <c r="J118" s="10"/>
      <c r="K118" s="6" t="s">
        <v>93</v>
      </c>
      <c r="L118" s="7"/>
      <c r="M118" s="14"/>
      <c r="N118" s="7" t="s">
        <v>93</v>
      </c>
      <c r="O118" s="10"/>
      <c r="P118" s="7" t="s">
        <v>93</v>
      </c>
      <c r="Q118" s="15" t="str">
        <f>IF(P118="oui",MIN(Parametres!$B$4,MAX(Parametres!$B$3,IF(M118="",Parametres!$B$3,ROUND(M118*10%,0)))),"")</f>
        <v/>
      </c>
      <c r="R118" s="7" t="s">
        <v>160</v>
      </c>
      <c r="S118" s="7" t="s">
        <v>93</v>
      </c>
      <c r="T118" s="15" t="str">
        <f>IF(S118="oui",Parametres!$B$5,"")</f>
        <v/>
      </c>
      <c r="U118" s="7" t="s">
        <v>160</v>
      </c>
      <c r="V118" s="15">
        <f t="shared" si="4"/>
        <v>0</v>
      </c>
      <c r="W118" s="15" t="str">
        <f t="shared" si="5"/>
        <v/>
      </c>
      <c r="X118" s="6" t="s">
        <v>93</v>
      </c>
      <c r="Y118" s="7" t="s">
        <v>160</v>
      </c>
      <c r="Z118" s="10"/>
      <c r="AA118" s="6" t="s">
        <v>93</v>
      </c>
      <c r="AB118" s="7" t="s">
        <v>160</v>
      </c>
      <c r="AC118" s="10"/>
      <c r="AD118" s="9" t="str">
        <f t="shared" si="6"/>
        <v>oui</v>
      </c>
      <c r="AE118" s="9" t="str">
        <f t="shared" si="7"/>
        <v>Résidence ou logement non vendable</v>
      </c>
      <c r="AF118" s="7"/>
      <c r="AG118" s="10"/>
      <c r="AH118" s="10"/>
      <c r="AI118" s="7" t="s">
        <v>160</v>
      </c>
      <c r="AJ118" s="10"/>
      <c r="AK118" s="10"/>
      <c r="AL118" s="10"/>
      <c r="AM118" s="11" t="s">
        <v>160</v>
      </c>
      <c r="AN118" s="11" t="s">
        <v>160</v>
      </c>
      <c r="AO118" s="11" t="s">
        <v>160</v>
      </c>
      <c r="AP118" s="11" t="s">
        <v>160</v>
      </c>
      <c r="AQ118" s="11"/>
      <c r="AR118" s="7"/>
    </row>
    <row r="119" spans="1:44" ht="27.6" x14ac:dyDescent="0.3">
      <c r="A119" s="6" t="s">
        <v>270</v>
      </c>
      <c r="B119" s="6" t="s">
        <v>729</v>
      </c>
      <c r="C119" s="6" t="s">
        <v>828</v>
      </c>
      <c r="D119" s="6" t="s">
        <v>88</v>
      </c>
      <c r="E119" s="6" t="s">
        <v>829</v>
      </c>
      <c r="F119" s="7" t="s">
        <v>125</v>
      </c>
      <c r="G119" s="10"/>
      <c r="H119" s="7" t="s">
        <v>93</v>
      </c>
      <c r="I119" s="7"/>
      <c r="J119" s="10"/>
      <c r="K119" s="6" t="s">
        <v>93</v>
      </c>
      <c r="L119" s="7"/>
      <c r="M119" s="14"/>
      <c r="N119" s="7" t="s">
        <v>93</v>
      </c>
      <c r="O119" s="10"/>
      <c r="P119" s="7" t="s">
        <v>93</v>
      </c>
      <c r="Q119" s="15" t="str">
        <f>IF(P119="oui",MIN(Parametres!$B$4,MAX(Parametres!$B$3,IF(M119="",Parametres!$B$3,ROUND(M119*10%,0)))),"")</f>
        <v/>
      </c>
      <c r="R119" s="7" t="s">
        <v>160</v>
      </c>
      <c r="S119" s="7" t="s">
        <v>93</v>
      </c>
      <c r="T119" s="15" t="str">
        <f>IF(S119="oui",Parametres!$B$5,"")</f>
        <v/>
      </c>
      <c r="U119" s="7" t="s">
        <v>160</v>
      </c>
      <c r="V119" s="15">
        <f t="shared" si="4"/>
        <v>0</v>
      </c>
      <c r="W119" s="15" t="str">
        <f t="shared" si="5"/>
        <v/>
      </c>
      <c r="X119" s="6" t="s">
        <v>93</v>
      </c>
      <c r="Y119" s="7" t="s">
        <v>160</v>
      </c>
      <c r="Z119" s="10"/>
      <c r="AA119" s="6" t="s">
        <v>93</v>
      </c>
      <c r="AB119" s="7" t="s">
        <v>160</v>
      </c>
      <c r="AC119" s="10"/>
      <c r="AD119" s="9" t="str">
        <f t="shared" si="6"/>
        <v>oui</v>
      </c>
      <c r="AE119" s="9" t="str">
        <f t="shared" si="7"/>
        <v>Résidence ou logement non vendable</v>
      </c>
      <c r="AF119" s="7"/>
      <c r="AG119" s="10"/>
      <c r="AH119" s="10"/>
      <c r="AI119" s="7" t="s">
        <v>160</v>
      </c>
      <c r="AJ119" s="10"/>
      <c r="AK119" s="10"/>
      <c r="AL119" s="10"/>
      <c r="AM119" s="11" t="s">
        <v>160</v>
      </c>
      <c r="AN119" s="11" t="s">
        <v>160</v>
      </c>
      <c r="AO119" s="11" t="s">
        <v>160</v>
      </c>
      <c r="AP119" s="11" t="s">
        <v>160</v>
      </c>
      <c r="AQ119" s="11"/>
      <c r="AR119" s="7"/>
    </row>
    <row r="120" spans="1:44" ht="27.6" x14ac:dyDescent="0.3">
      <c r="A120" s="6" t="s">
        <v>270</v>
      </c>
      <c r="B120" s="6" t="s">
        <v>729</v>
      </c>
      <c r="C120" s="6" t="s">
        <v>833</v>
      </c>
      <c r="D120" s="6" t="s">
        <v>88</v>
      </c>
      <c r="E120" s="6" t="s">
        <v>834</v>
      </c>
      <c r="F120" s="7" t="s">
        <v>125</v>
      </c>
      <c r="G120" s="10"/>
      <c r="H120" s="7" t="s">
        <v>93</v>
      </c>
      <c r="I120" s="7"/>
      <c r="J120" s="10"/>
      <c r="K120" s="6" t="s">
        <v>93</v>
      </c>
      <c r="L120" s="7"/>
      <c r="M120" s="14"/>
      <c r="N120" s="7" t="s">
        <v>93</v>
      </c>
      <c r="O120" s="10"/>
      <c r="P120" s="7" t="s">
        <v>93</v>
      </c>
      <c r="Q120" s="15" t="str">
        <f>IF(P120="oui",MIN(Parametres!$B$4,MAX(Parametres!$B$3,IF(M120="",Parametres!$B$3,ROUND(M120*10%,0)))),"")</f>
        <v/>
      </c>
      <c r="R120" s="7" t="s">
        <v>160</v>
      </c>
      <c r="S120" s="7" t="s">
        <v>93</v>
      </c>
      <c r="T120" s="15" t="str">
        <f>IF(S120="oui",Parametres!$B$5,"")</f>
        <v/>
      </c>
      <c r="U120" s="7" t="s">
        <v>160</v>
      </c>
      <c r="V120" s="15">
        <f t="shared" si="4"/>
        <v>0</v>
      </c>
      <c r="W120" s="15" t="str">
        <f t="shared" si="5"/>
        <v/>
      </c>
      <c r="X120" s="6" t="s">
        <v>93</v>
      </c>
      <c r="Y120" s="7" t="s">
        <v>160</v>
      </c>
      <c r="Z120" s="10"/>
      <c r="AA120" s="6" t="s">
        <v>93</v>
      </c>
      <c r="AB120" s="7" t="s">
        <v>160</v>
      </c>
      <c r="AC120" s="10"/>
      <c r="AD120" s="9" t="str">
        <f t="shared" si="6"/>
        <v>oui</v>
      </c>
      <c r="AE120" s="9" t="str">
        <f t="shared" si="7"/>
        <v>Résidence ou logement non vendable</v>
      </c>
      <c r="AF120" s="7"/>
      <c r="AG120" s="10"/>
      <c r="AH120" s="10"/>
      <c r="AI120" s="7" t="s">
        <v>160</v>
      </c>
      <c r="AJ120" s="10"/>
      <c r="AK120" s="10"/>
      <c r="AL120" s="10"/>
      <c r="AM120" s="11" t="s">
        <v>160</v>
      </c>
      <c r="AN120" s="11" t="s">
        <v>160</v>
      </c>
      <c r="AO120" s="11" t="s">
        <v>160</v>
      </c>
      <c r="AP120" s="11" t="s">
        <v>160</v>
      </c>
      <c r="AQ120" s="11"/>
      <c r="AR120" s="7"/>
    </row>
    <row r="121" spans="1:44" ht="27.6" x14ac:dyDescent="0.3">
      <c r="A121" s="6" t="s">
        <v>270</v>
      </c>
      <c r="B121" s="6" t="s">
        <v>729</v>
      </c>
      <c r="C121" s="6" t="s">
        <v>839</v>
      </c>
      <c r="D121" s="6" t="s">
        <v>88</v>
      </c>
      <c r="E121" s="6" t="s">
        <v>840</v>
      </c>
      <c r="F121" s="7" t="s">
        <v>125</v>
      </c>
      <c r="G121" s="10"/>
      <c r="H121" s="7" t="s">
        <v>93</v>
      </c>
      <c r="I121" s="7"/>
      <c r="J121" s="10"/>
      <c r="K121" s="6" t="s">
        <v>93</v>
      </c>
      <c r="L121" s="7"/>
      <c r="M121" s="14"/>
      <c r="N121" s="7" t="s">
        <v>93</v>
      </c>
      <c r="O121" s="10"/>
      <c r="P121" s="7" t="s">
        <v>93</v>
      </c>
      <c r="Q121" s="15" t="str">
        <f>IF(P121="oui",MIN(Parametres!$B$4,MAX(Parametres!$B$3,IF(M121="",Parametres!$B$3,ROUND(M121*10%,0)))),"")</f>
        <v/>
      </c>
      <c r="R121" s="7" t="s">
        <v>160</v>
      </c>
      <c r="S121" s="7" t="s">
        <v>93</v>
      </c>
      <c r="T121" s="15" t="str">
        <f>IF(S121="oui",Parametres!$B$5,"")</f>
        <v/>
      </c>
      <c r="U121" s="7" t="s">
        <v>160</v>
      </c>
      <c r="V121" s="15">
        <f t="shared" si="4"/>
        <v>0</v>
      </c>
      <c r="W121" s="15" t="str">
        <f t="shared" si="5"/>
        <v/>
      </c>
      <c r="X121" s="6" t="s">
        <v>93</v>
      </c>
      <c r="Y121" s="7" t="s">
        <v>160</v>
      </c>
      <c r="Z121" s="10"/>
      <c r="AA121" s="6" t="s">
        <v>93</v>
      </c>
      <c r="AB121" s="7" t="s">
        <v>160</v>
      </c>
      <c r="AC121" s="10"/>
      <c r="AD121" s="9" t="str">
        <f t="shared" si="6"/>
        <v>oui</v>
      </c>
      <c r="AE121" s="9" t="str">
        <f t="shared" si="7"/>
        <v>Résidence ou logement non vendable</v>
      </c>
      <c r="AF121" s="7"/>
      <c r="AG121" s="10"/>
      <c r="AH121" s="10"/>
      <c r="AI121" s="7" t="s">
        <v>160</v>
      </c>
      <c r="AJ121" s="10"/>
      <c r="AK121" s="10"/>
      <c r="AL121" s="10"/>
      <c r="AM121" s="11" t="s">
        <v>160</v>
      </c>
      <c r="AN121" s="11" t="s">
        <v>160</v>
      </c>
      <c r="AO121" s="11" t="s">
        <v>160</v>
      </c>
      <c r="AP121" s="11" t="s">
        <v>160</v>
      </c>
      <c r="AQ121" s="11"/>
      <c r="AR121" s="7"/>
    </row>
    <row r="122" spans="1:44" ht="27.6" x14ac:dyDescent="0.3">
      <c r="A122" s="6" t="s">
        <v>270</v>
      </c>
      <c r="B122" s="6" t="s">
        <v>729</v>
      </c>
      <c r="C122" s="6" t="s">
        <v>843</v>
      </c>
      <c r="D122" s="6" t="s">
        <v>88</v>
      </c>
      <c r="E122" s="6" t="s">
        <v>844</v>
      </c>
      <c r="F122" s="7" t="s">
        <v>125</v>
      </c>
      <c r="G122" s="10"/>
      <c r="H122" s="7" t="s">
        <v>93</v>
      </c>
      <c r="I122" s="7"/>
      <c r="J122" s="10"/>
      <c r="K122" s="6" t="s">
        <v>93</v>
      </c>
      <c r="L122" s="7"/>
      <c r="M122" s="14"/>
      <c r="N122" s="7" t="s">
        <v>93</v>
      </c>
      <c r="O122" s="10"/>
      <c r="P122" s="7" t="s">
        <v>93</v>
      </c>
      <c r="Q122" s="15" t="str">
        <f>IF(P122="oui",MIN(Parametres!$B$4,MAX(Parametres!$B$3,IF(M122="",Parametres!$B$3,ROUND(M122*10%,0)))),"")</f>
        <v/>
      </c>
      <c r="R122" s="7" t="s">
        <v>160</v>
      </c>
      <c r="S122" s="7" t="s">
        <v>93</v>
      </c>
      <c r="T122" s="15" t="str">
        <f>IF(S122="oui",Parametres!$B$5,"")</f>
        <v/>
      </c>
      <c r="U122" s="7" t="s">
        <v>160</v>
      </c>
      <c r="V122" s="15">
        <f t="shared" si="4"/>
        <v>0</v>
      </c>
      <c r="W122" s="15" t="str">
        <f t="shared" si="5"/>
        <v/>
      </c>
      <c r="X122" s="6" t="s">
        <v>93</v>
      </c>
      <c r="Y122" s="7" t="s">
        <v>160</v>
      </c>
      <c r="Z122" s="10"/>
      <c r="AA122" s="6" t="s">
        <v>93</v>
      </c>
      <c r="AB122" s="7" t="s">
        <v>160</v>
      </c>
      <c r="AC122" s="10"/>
      <c r="AD122" s="9" t="str">
        <f t="shared" si="6"/>
        <v>oui</v>
      </c>
      <c r="AE122" s="9" t="str">
        <f t="shared" si="7"/>
        <v>Résidence ou logement non vendable</v>
      </c>
      <c r="AF122" s="7"/>
      <c r="AG122" s="10"/>
      <c r="AH122" s="10"/>
      <c r="AI122" s="7" t="s">
        <v>160</v>
      </c>
      <c r="AJ122" s="10"/>
      <c r="AK122" s="10"/>
      <c r="AL122" s="10"/>
      <c r="AM122" s="11" t="s">
        <v>160</v>
      </c>
      <c r="AN122" s="11" t="s">
        <v>160</v>
      </c>
      <c r="AO122" s="11" t="s">
        <v>160</v>
      </c>
      <c r="AP122" s="11" t="s">
        <v>160</v>
      </c>
      <c r="AQ122" s="11"/>
      <c r="AR122" s="7"/>
    </row>
    <row r="123" spans="1:44" ht="27.6" x14ac:dyDescent="0.3">
      <c r="A123" s="6" t="s">
        <v>270</v>
      </c>
      <c r="B123" s="6" t="s">
        <v>729</v>
      </c>
      <c r="C123" s="6" t="s">
        <v>848</v>
      </c>
      <c r="D123" s="6" t="s">
        <v>88</v>
      </c>
      <c r="E123" s="6" t="s">
        <v>849</v>
      </c>
      <c r="F123" s="7" t="s">
        <v>125</v>
      </c>
      <c r="G123" s="10"/>
      <c r="H123" s="7" t="s">
        <v>93</v>
      </c>
      <c r="I123" s="7"/>
      <c r="J123" s="10"/>
      <c r="K123" s="6" t="s">
        <v>93</v>
      </c>
      <c r="L123" s="7"/>
      <c r="M123" s="14"/>
      <c r="N123" s="7" t="s">
        <v>93</v>
      </c>
      <c r="O123" s="10"/>
      <c r="P123" s="7" t="s">
        <v>93</v>
      </c>
      <c r="Q123" s="15" t="str">
        <f>IF(P123="oui",MIN(Parametres!$B$4,MAX(Parametres!$B$3,IF(M123="",Parametres!$B$3,ROUND(M123*10%,0)))),"")</f>
        <v/>
      </c>
      <c r="R123" s="7" t="s">
        <v>160</v>
      </c>
      <c r="S123" s="7" t="s">
        <v>93</v>
      </c>
      <c r="T123" s="15" t="str">
        <f>IF(S123="oui",Parametres!$B$5,"")</f>
        <v/>
      </c>
      <c r="U123" s="7" t="s">
        <v>160</v>
      </c>
      <c r="V123" s="15">
        <f t="shared" si="4"/>
        <v>0</v>
      </c>
      <c r="W123" s="15" t="str">
        <f t="shared" si="5"/>
        <v/>
      </c>
      <c r="X123" s="6" t="s">
        <v>93</v>
      </c>
      <c r="Y123" s="7" t="s">
        <v>160</v>
      </c>
      <c r="Z123" s="10"/>
      <c r="AA123" s="6" t="s">
        <v>93</v>
      </c>
      <c r="AB123" s="7" t="s">
        <v>160</v>
      </c>
      <c r="AC123" s="10"/>
      <c r="AD123" s="9" t="str">
        <f t="shared" si="6"/>
        <v>oui</v>
      </c>
      <c r="AE123" s="9" t="str">
        <f t="shared" si="7"/>
        <v>Résidence ou logement non vendable</v>
      </c>
      <c r="AF123" s="7"/>
      <c r="AG123" s="10"/>
      <c r="AH123" s="10"/>
      <c r="AI123" s="7" t="s">
        <v>160</v>
      </c>
      <c r="AJ123" s="10"/>
      <c r="AK123" s="10"/>
      <c r="AL123" s="10"/>
      <c r="AM123" s="11" t="s">
        <v>160</v>
      </c>
      <c r="AN123" s="11" t="s">
        <v>160</v>
      </c>
      <c r="AO123" s="11" t="s">
        <v>160</v>
      </c>
      <c r="AP123" s="11" t="s">
        <v>160</v>
      </c>
      <c r="AQ123" s="11"/>
      <c r="AR123" s="7"/>
    </row>
    <row r="124" spans="1:44" ht="27.6" x14ac:dyDescent="0.3">
      <c r="A124" s="6" t="s">
        <v>270</v>
      </c>
      <c r="B124" s="6" t="s">
        <v>729</v>
      </c>
      <c r="C124" s="6" t="s">
        <v>854</v>
      </c>
      <c r="D124" s="6" t="s">
        <v>88</v>
      </c>
      <c r="E124" s="6" t="s">
        <v>855</v>
      </c>
      <c r="F124" s="7" t="s">
        <v>125</v>
      </c>
      <c r="G124" s="10"/>
      <c r="H124" s="7" t="s">
        <v>93</v>
      </c>
      <c r="I124" s="7"/>
      <c r="J124" s="10"/>
      <c r="K124" s="6" t="s">
        <v>93</v>
      </c>
      <c r="L124" s="7"/>
      <c r="M124" s="14"/>
      <c r="N124" s="7" t="s">
        <v>93</v>
      </c>
      <c r="O124" s="10"/>
      <c r="P124" s="7" t="s">
        <v>93</v>
      </c>
      <c r="Q124" s="15" t="str">
        <f>IF(P124="oui",MIN(Parametres!$B$4,MAX(Parametres!$B$3,IF(M124="",Parametres!$B$3,ROUND(M124*10%,0)))),"")</f>
        <v/>
      </c>
      <c r="R124" s="7" t="s">
        <v>160</v>
      </c>
      <c r="S124" s="7" t="s">
        <v>93</v>
      </c>
      <c r="T124" s="15" t="str">
        <f>IF(S124="oui",Parametres!$B$5,"")</f>
        <v/>
      </c>
      <c r="U124" s="7" t="s">
        <v>160</v>
      </c>
      <c r="V124" s="15">
        <f t="shared" si="4"/>
        <v>0</v>
      </c>
      <c r="W124" s="15" t="str">
        <f t="shared" si="5"/>
        <v/>
      </c>
      <c r="X124" s="6" t="s">
        <v>93</v>
      </c>
      <c r="Y124" s="7" t="s">
        <v>160</v>
      </c>
      <c r="Z124" s="10"/>
      <c r="AA124" s="6" t="s">
        <v>93</v>
      </c>
      <c r="AB124" s="7" t="s">
        <v>160</v>
      </c>
      <c r="AC124" s="10"/>
      <c r="AD124" s="9" t="str">
        <f t="shared" si="6"/>
        <v>oui</v>
      </c>
      <c r="AE124" s="9" t="str">
        <f t="shared" si="7"/>
        <v>Résidence ou logement non vendable</v>
      </c>
      <c r="AF124" s="7"/>
      <c r="AG124" s="10"/>
      <c r="AH124" s="10"/>
      <c r="AI124" s="7" t="s">
        <v>160</v>
      </c>
      <c r="AJ124" s="10"/>
      <c r="AK124" s="10"/>
      <c r="AL124" s="10"/>
      <c r="AM124" s="11" t="s">
        <v>160</v>
      </c>
      <c r="AN124" s="11" t="s">
        <v>160</v>
      </c>
      <c r="AO124" s="11" t="s">
        <v>160</v>
      </c>
      <c r="AP124" s="11" t="s">
        <v>160</v>
      </c>
      <c r="AQ124" s="11"/>
      <c r="AR124" s="7"/>
    </row>
    <row r="125" spans="1:44" ht="27.6" x14ac:dyDescent="0.3">
      <c r="A125" s="6" t="s">
        <v>270</v>
      </c>
      <c r="B125" s="6" t="s">
        <v>729</v>
      </c>
      <c r="C125" s="6" t="s">
        <v>859</v>
      </c>
      <c r="D125" s="6" t="s">
        <v>88</v>
      </c>
      <c r="E125" s="6" t="s">
        <v>860</v>
      </c>
      <c r="F125" s="7" t="s">
        <v>125</v>
      </c>
      <c r="G125" s="10"/>
      <c r="H125" s="7" t="s">
        <v>93</v>
      </c>
      <c r="I125" s="7"/>
      <c r="J125" s="10"/>
      <c r="K125" s="6" t="s">
        <v>93</v>
      </c>
      <c r="L125" s="7"/>
      <c r="M125" s="14"/>
      <c r="N125" s="7" t="s">
        <v>93</v>
      </c>
      <c r="O125" s="10"/>
      <c r="P125" s="7" t="s">
        <v>93</v>
      </c>
      <c r="Q125" s="15" t="str">
        <f>IF(P125="oui",MIN(Parametres!$B$4,MAX(Parametres!$B$3,IF(M125="",Parametres!$B$3,ROUND(M125*10%,0)))),"")</f>
        <v/>
      </c>
      <c r="R125" s="7" t="s">
        <v>160</v>
      </c>
      <c r="S125" s="7" t="s">
        <v>93</v>
      </c>
      <c r="T125" s="15" t="str">
        <f>IF(S125="oui",Parametres!$B$5,"")</f>
        <v/>
      </c>
      <c r="U125" s="7" t="s">
        <v>160</v>
      </c>
      <c r="V125" s="15">
        <f t="shared" si="4"/>
        <v>0</v>
      </c>
      <c r="W125" s="15" t="str">
        <f t="shared" si="5"/>
        <v/>
      </c>
      <c r="X125" s="6" t="s">
        <v>93</v>
      </c>
      <c r="Y125" s="7" t="s">
        <v>160</v>
      </c>
      <c r="Z125" s="10"/>
      <c r="AA125" s="6" t="s">
        <v>93</v>
      </c>
      <c r="AB125" s="7" t="s">
        <v>160</v>
      </c>
      <c r="AC125" s="10"/>
      <c r="AD125" s="9" t="str">
        <f t="shared" si="6"/>
        <v>oui</v>
      </c>
      <c r="AE125" s="9" t="str">
        <f t="shared" si="7"/>
        <v>Résidence ou logement non vendable</v>
      </c>
      <c r="AF125" s="7"/>
      <c r="AG125" s="10"/>
      <c r="AH125" s="10"/>
      <c r="AI125" s="7" t="s">
        <v>160</v>
      </c>
      <c r="AJ125" s="10"/>
      <c r="AK125" s="10"/>
      <c r="AL125" s="10"/>
      <c r="AM125" s="11" t="s">
        <v>160</v>
      </c>
      <c r="AN125" s="11" t="s">
        <v>160</v>
      </c>
      <c r="AO125" s="11" t="s">
        <v>160</v>
      </c>
      <c r="AP125" s="11" t="s">
        <v>160</v>
      </c>
      <c r="AQ125" s="11"/>
      <c r="AR125" s="7"/>
    </row>
    <row r="126" spans="1:44" ht="14.4" x14ac:dyDescent="0.3">
      <c r="A126" s="6" t="s">
        <v>270</v>
      </c>
      <c r="B126" s="6" t="s">
        <v>861</v>
      </c>
      <c r="C126" s="6" t="s">
        <v>862</v>
      </c>
      <c r="D126" s="6" t="s">
        <v>863</v>
      </c>
      <c r="E126" s="6" t="s">
        <v>864</v>
      </c>
      <c r="F126" s="7" t="s">
        <v>125</v>
      </c>
      <c r="G126" s="10"/>
      <c r="H126" s="7" t="s">
        <v>93</v>
      </c>
      <c r="I126" s="7"/>
      <c r="J126" s="10"/>
      <c r="K126" s="6" t="s">
        <v>90</v>
      </c>
      <c r="L126" s="7"/>
      <c r="M126" s="14"/>
      <c r="N126" s="7" t="s">
        <v>93</v>
      </c>
      <c r="O126" s="10"/>
      <c r="P126" s="7" t="s">
        <v>90</v>
      </c>
      <c r="Q126" s="15">
        <f>IF(P126="oui",MIN(Parametres!$B$4,MAX(Parametres!$B$3,IF(M126="",Parametres!$B$3,ROUND(M126*10%,0)))),"")</f>
        <v>0</v>
      </c>
      <c r="R126" s="7" t="s">
        <v>134</v>
      </c>
      <c r="S126" s="7" t="s">
        <v>90</v>
      </c>
      <c r="T126" s="15">
        <f>IF(S126="oui",Parametres!$B$5,"")</f>
        <v>500</v>
      </c>
      <c r="U126" s="7" t="s">
        <v>134</v>
      </c>
      <c r="V126" s="15">
        <f t="shared" si="4"/>
        <v>500</v>
      </c>
      <c r="W126" s="15" t="str">
        <f t="shared" si="5"/>
        <v/>
      </c>
      <c r="X126" s="6" t="s">
        <v>90</v>
      </c>
      <c r="Y126" s="7" t="s">
        <v>133</v>
      </c>
      <c r="Z126" s="10"/>
      <c r="AA126" s="6" t="s">
        <v>93</v>
      </c>
      <c r="AB126" s="7" t="s">
        <v>160</v>
      </c>
      <c r="AC126" s="10"/>
      <c r="AD126" s="9" t="str">
        <f t="shared" si="6"/>
        <v>oui</v>
      </c>
      <c r="AE126" s="9" t="str">
        <f t="shared" si="7"/>
        <v>TAE manquant</v>
      </c>
      <c r="AF126" s="7"/>
      <c r="AG126" s="10"/>
      <c r="AH126" s="10"/>
      <c r="AI126" s="7" t="s">
        <v>160</v>
      </c>
      <c r="AJ126" s="10"/>
      <c r="AK126" s="10"/>
      <c r="AL126" s="10"/>
      <c r="AM126" s="11" t="s">
        <v>131</v>
      </c>
      <c r="AN126" s="11" t="s">
        <v>131</v>
      </c>
      <c r="AO126" s="11" t="s">
        <v>131</v>
      </c>
      <c r="AP126" s="11" t="s">
        <v>131</v>
      </c>
      <c r="AQ126" s="11"/>
      <c r="AR126" s="7"/>
    </row>
    <row r="127" spans="1:44" ht="14.4" x14ac:dyDescent="0.3">
      <c r="A127" s="6" t="s">
        <v>270</v>
      </c>
      <c r="B127" s="6" t="s">
        <v>861</v>
      </c>
      <c r="C127" s="6" t="s">
        <v>869</v>
      </c>
      <c r="D127" s="6" t="s">
        <v>863</v>
      </c>
      <c r="E127" s="6" t="s">
        <v>870</v>
      </c>
      <c r="F127" s="7" t="s">
        <v>125</v>
      </c>
      <c r="G127" s="10"/>
      <c r="H127" s="7" t="s">
        <v>93</v>
      </c>
      <c r="I127" s="7"/>
      <c r="J127" s="10"/>
      <c r="K127" s="6" t="s">
        <v>90</v>
      </c>
      <c r="L127" s="7"/>
      <c r="M127" s="14"/>
      <c r="N127" s="7" t="s">
        <v>93</v>
      </c>
      <c r="O127" s="10"/>
      <c r="P127" s="7" t="s">
        <v>90</v>
      </c>
      <c r="Q127" s="15">
        <f>IF(P127="oui",MIN(Parametres!$B$4,MAX(Parametres!$B$3,IF(M127="",Parametres!$B$3,ROUND(M127*10%,0)))),"")</f>
        <v>0</v>
      </c>
      <c r="R127" s="7" t="s">
        <v>134</v>
      </c>
      <c r="S127" s="7" t="s">
        <v>90</v>
      </c>
      <c r="T127" s="15">
        <f>IF(S127="oui",Parametres!$B$5,"")</f>
        <v>500</v>
      </c>
      <c r="U127" s="7" t="s">
        <v>134</v>
      </c>
      <c r="V127" s="15">
        <f t="shared" si="4"/>
        <v>500</v>
      </c>
      <c r="W127" s="15" t="str">
        <f t="shared" si="5"/>
        <v/>
      </c>
      <c r="X127" s="6" t="s">
        <v>90</v>
      </c>
      <c r="Y127" s="7" t="s">
        <v>133</v>
      </c>
      <c r="Z127" s="10"/>
      <c r="AA127" s="6" t="s">
        <v>93</v>
      </c>
      <c r="AB127" s="7" t="s">
        <v>160</v>
      </c>
      <c r="AC127" s="10"/>
      <c r="AD127" s="9" t="str">
        <f t="shared" si="6"/>
        <v>oui</v>
      </c>
      <c r="AE127" s="9" t="str">
        <f t="shared" si="7"/>
        <v>TAE manquant</v>
      </c>
      <c r="AF127" s="7"/>
      <c r="AG127" s="10"/>
      <c r="AH127" s="10"/>
      <c r="AI127" s="7" t="s">
        <v>160</v>
      </c>
      <c r="AJ127" s="10"/>
      <c r="AK127" s="10"/>
      <c r="AL127" s="10"/>
      <c r="AM127" s="11" t="s">
        <v>131</v>
      </c>
      <c r="AN127" s="11" t="s">
        <v>131</v>
      </c>
      <c r="AO127" s="11" t="s">
        <v>131</v>
      </c>
      <c r="AP127" s="11" t="s">
        <v>131</v>
      </c>
      <c r="AQ127" s="11"/>
      <c r="AR127" s="7"/>
    </row>
    <row r="128" spans="1:44" ht="14.4" x14ac:dyDescent="0.3">
      <c r="A128" s="6" t="s">
        <v>270</v>
      </c>
      <c r="B128" s="6" t="s">
        <v>871</v>
      </c>
      <c r="C128" s="6" t="s">
        <v>872</v>
      </c>
      <c r="D128" s="6" t="s">
        <v>873</v>
      </c>
      <c r="E128" s="6" t="s">
        <v>874</v>
      </c>
      <c r="F128" s="7" t="s">
        <v>125</v>
      </c>
      <c r="G128" s="10"/>
      <c r="H128" s="7" t="s">
        <v>93</v>
      </c>
      <c r="I128" s="7"/>
      <c r="J128" s="10"/>
      <c r="K128" s="6" t="s">
        <v>90</v>
      </c>
      <c r="L128" s="7"/>
      <c r="M128" s="14"/>
      <c r="N128" s="7" t="s">
        <v>93</v>
      </c>
      <c r="O128" s="10"/>
      <c r="P128" s="7" t="s">
        <v>90</v>
      </c>
      <c r="Q128" s="15">
        <f>IF(P128="oui",MIN(Parametres!$B$4,MAX(Parametres!$B$3,IF(M128="",Parametres!$B$3,ROUND(M128*10%,0)))),"")</f>
        <v>0</v>
      </c>
      <c r="R128" s="7" t="s">
        <v>134</v>
      </c>
      <c r="S128" s="7" t="s">
        <v>90</v>
      </c>
      <c r="T128" s="15">
        <f>IF(S128="oui",Parametres!$B$5,"")</f>
        <v>500</v>
      </c>
      <c r="U128" s="7" t="s">
        <v>134</v>
      </c>
      <c r="V128" s="15">
        <f t="shared" si="4"/>
        <v>500</v>
      </c>
      <c r="W128" s="15" t="str">
        <f t="shared" si="5"/>
        <v/>
      </c>
      <c r="X128" s="6" t="s">
        <v>90</v>
      </c>
      <c r="Y128" s="7" t="s">
        <v>133</v>
      </c>
      <c r="Z128" s="10"/>
      <c r="AA128" s="6" t="s">
        <v>93</v>
      </c>
      <c r="AB128" s="7" t="s">
        <v>160</v>
      </c>
      <c r="AC128" s="10"/>
      <c r="AD128" s="9" t="str">
        <f t="shared" si="6"/>
        <v>oui</v>
      </c>
      <c r="AE128" s="9" t="str">
        <f t="shared" si="7"/>
        <v>TAE manquant</v>
      </c>
      <c r="AF128" s="7"/>
      <c r="AG128" s="10"/>
      <c r="AH128" s="10"/>
      <c r="AI128" s="7" t="s">
        <v>160</v>
      </c>
      <c r="AJ128" s="10"/>
      <c r="AK128" s="10"/>
      <c r="AL128" s="10"/>
      <c r="AM128" s="11" t="s">
        <v>131</v>
      </c>
      <c r="AN128" s="11" t="s">
        <v>131</v>
      </c>
      <c r="AO128" s="11" t="s">
        <v>131</v>
      </c>
      <c r="AP128" s="11" t="s">
        <v>131</v>
      </c>
      <c r="AQ128" s="11"/>
      <c r="AR128" s="7"/>
    </row>
    <row r="129" spans="1:44" ht="14.4" x14ac:dyDescent="0.3">
      <c r="A129" s="6" t="s">
        <v>270</v>
      </c>
      <c r="B129" s="6" t="s">
        <v>871</v>
      </c>
      <c r="C129" s="6" t="s">
        <v>878</v>
      </c>
      <c r="D129" s="6" t="s">
        <v>873</v>
      </c>
      <c r="E129" s="6" t="s">
        <v>879</v>
      </c>
      <c r="F129" s="7" t="s">
        <v>125</v>
      </c>
      <c r="G129" s="10"/>
      <c r="H129" s="7" t="s">
        <v>93</v>
      </c>
      <c r="I129" s="7"/>
      <c r="J129" s="10"/>
      <c r="K129" s="6" t="s">
        <v>90</v>
      </c>
      <c r="L129" s="7"/>
      <c r="M129" s="14"/>
      <c r="N129" s="7" t="s">
        <v>93</v>
      </c>
      <c r="O129" s="10"/>
      <c r="P129" s="7" t="s">
        <v>90</v>
      </c>
      <c r="Q129" s="15">
        <f>IF(P129="oui",MIN(Parametres!$B$4,MAX(Parametres!$B$3,IF(M129="",Parametres!$B$3,ROUND(M129*10%,0)))),"")</f>
        <v>0</v>
      </c>
      <c r="R129" s="7" t="s">
        <v>134</v>
      </c>
      <c r="S129" s="7" t="s">
        <v>90</v>
      </c>
      <c r="T129" s="15">
        <f>IF(S129="oui",Parametres!$B$5,"")</f>
        <v>500</v>
      </c>
      <c r="U129" s="7" t="s">
        <v>134</v>
      </c>
      <c r="V129" s="15">
        <f t="shared" si="4"/>
        <v>500</v>
      </c>
      <c r="W129" s="15" t="str">
        <f t="shared" si="5"/>
        <v/>
      </c>
      <c r="X129" s="6" t="s">
        <v>90</v>
      </c>
      <c r="Y129" s="7" t="s">
        <v>133</v>
      </c>
      <c r="Z129" s="10"/>
      <c r="AA129" s="6" t="s">
        <v>93</v>
      </c>
      <c r="AB129" s="7" t="s">
        <v>160</v>
      </c>
      <c r="AC129" s="10"/>
      <c r="AD129" s="9" t="str">
        <f t="shared" si="6"/>
        <v>oui</v>
      </c>
      <c r="AE129" s="9" t="str">
        <f t="shared" si="7"/>
        <v>TAE manquant</v>
      </c>
      <c r="AF129" s="7"/>
      <c r="AG129" s="10"/>
      <c r="AH129" s="10"/>
      <c r="AI129" s="7" t="s">
        <v>160</v>
      </c>
      <c r="AJ129" s="10"/>
      <c r="AK129" s="10"/>
      <c r="AL129" s="10"/>
      <c r="AM129" s="11" t="s">
        <v>131</v>
      </c>
      <c r="AN129" s="11" t="s">
        <v>131</v>
      </c>
      <c r="AO129" s="11" t="s">
        <v>131</v>
      </c>
      <c r="AP129" s="11" t="s">
        <v>131</v>
      </c>
      <c r="AQ129" s="11"/>
      <c r="AR129" s="7"/>
    </row>
    <row r="130" spans="1:44" ht="14.4" x14ac:dyDescent="0.3">
      <c r="A130" s="6" t="s">
        <v>270</v>
      </c>
      <c r="B130" s="6" t="s">
        <v>871</v>
      </c>
      <c r="C130" s="6" t="s">
        <v>882</v>
      </c>
      <c r="D130" s="6" t="s">
        <v>873</v>
      </c>
      <c r="E130" s="6" t="s">
        <v>883</v>
      </c>
      <c r="F130" s="7" t="s">
        <v>125</v>
      </c>
      <c r="G130" s="10"/>
      <c r="H130" s="7" t="s">
        <v>93</v>
      </c>
      <c r="I130" s="7"/>
      <c r="J130" s="10"/>
      <c r="K130" s="6" t="s">
        <v>90</v>
      </c>
      <c r="L130" s="7"/>
      <c r="M130" s="14"/>
      <c r="N130" s="7" t="s">
        <v>93</v>
      </c>
      <c r="O130" s="10"/>
      <c r="P130" s="7" t="s">
        <v>90</v>
      </c>
      <c r="Q130" s="15">
        <f>IF(P130="oui",MIN(Parametres!$B$4,MAX(Parametres!$B$3,IF(M130="",Parametres!$B$3,ROUND(M130*10%,0)))),"")</f>
        <v>0</v>
      </c>
      <c r="R130" s="7" t="s">
        <v>134</v>
      </c>
      <c r="S130" s="7" t="s">
        <v>90</v>
      </c>
      <c r="T130" s="15">
        <f>IF(S130="oui",Parametres!$B$5,"")</f>
        <v>500</v>
      </c>
      <c r="U130" s="7" t="s">
        <v>134</v>
      </c>
      <c r="V130" s="15">
        <f t="shared" ref="V130:V193" si="8">SUM(Q130,T130)</f>
        <v>500</v>
      </c>
      <c r="W130" s="15" t="str">
        <f t="shared" ref="W130:W193" si="9">IF(M130="","",M130-V130)</f>
        <v/>
      </c>
      <c r="X130" s="6" t="s">
        <v>90</v>
      </c>
      <c r="Y130" s="7" t="s">
        <v>133</v>
      </c>
      <c r="Z130" s="10"/>
      <c r="AA130" s="6" t="s">
        <v>93</v>
      </c>
      <c r="AB130" s="7" t="s">
        <v>160</v>
      </c>
      <c r="AC130" s="10"/>
      <c r="AD130" s="9" t="str">
        <f t="shared" ref="AD130:AD193" si="10">IF(K130&lt;&gt;"oui","oui",IF(OR(AND(X130="oui",Y130&lt;&gt;"fait"),AND(AA130="oui",AB130&lt;&gt;"fait"),AND(P130="oui",R130&lt;&gt;"valide"),AND(S130="oui",U130&lt;&gt;"valide"),N130&lt;&gt;"oui"),"oui","non"))</f>
        <v>oui</v>
      </c>
      <c r="AE130" s="9" t="str">
        <f t="shared" ref="AE130:AE193" si="11">IF(K130&lt;&gt;"oui","Résidence ou logement non vendable",IF(AND(X130="oui",Y130&lt;&gt;"fait"),"TAE manquant",IF(AND(AA130="oui",AB130&lt;&gt;"fait"),"SPANC manquant",IF(AND(P130="oui",R130&lt;&gt;"valide"),"Chèque primo non validé",IF(AND(S130="oui",U130&lt;&gt;"valide"),"Chèque CINOR non validé",IF(N130&lt;&gt;"oui","Prix non confirmé",""))))))</f>
        <v>TAE manquant</v>
      </c>
      <c r="AF130" s="7"/>
      <c r="AG130" s="10"/>
      <c r="AH130" s="10"/>
      <c r="AI130" s="7" t="s">
        <v>160</v>
      </c>
      <c r="AJ130" s="10"/>
      <c r="AK130" s="10"/>
      <c r="AL130" s="10"/>
      <c r="AM130" s="11" t="s">
        <v>131</v>
      </c>
      <c r="AN130" s="11" t="s">
        <v>131</v>
      </c>
      <c r="AO130" s="11" t="s">
        <v>131</v>
      </c>
      <c r="AP130" s="11" t="s">
        <v>131</v>
      </c>
      <c r="AQ130" s="11"/>
      <c r="AR130" s="7"/>
    </row>
    <row r="131" spans="1:44" ht="14.4" x14ac:dyDescent="0.3">
      <c r="A131" s="6" t="s">
        <v>262</v>
      </c>
      <c r="B131" s="6" t="s">
        <v>887</v>
      </c>
      <c r="C131" s="6" t="s">
        <v>888</v>
      </c>
      <c r="D131" s="6" t="s">
        <v>889</v>
      </c>
      <c r="E131" s="6" t="s">
        <v>890</v>
      </c>
      <c r="F131" s="7" t="s">
        <v>125</v>
      </c>
      <c r="G131" s="10"/>
      <c r="H131" s="7" t="s">
        <v>93</v>
      </c>
      <c r="I131" s="7"/>
      <c r="J131" s="10"/>
      <c r="K131" s="6" t="s">
        <v>90</v>
      </c>
      <c r="L131" s="7"/>
      <c r="M131" s="14"/>
      <c r="N131" s="7" t="s">
        <v>93</v>
      </c>
      <c r="O131" s="10"/>
      <c r="P131" s="7" t="s">
        <v>90</v>
      </c>
      <c r="Q131" s="15">
        <f>IF(P131="oui",MIN(Parametres!$B$4,MAX(Parametres!$B$3,IF(M131="",Parametres!$B$3,ROUND(M131*10%,0)))),"")</f>
        <v>0</v>
      </c>
      <c r="R131" s="7" t="s">
        <v>134</v>
      </c>
      <c r="S131" s="7" t="s">
        <v>90</v>
      </c>
      <c r="T131" s="15">
        <f>IF(S131="oui",Parametres!$B$5,"")</f>
        <v>500</v>
      </c>
      <c r="U131" s="7" t="s">
        <v>134</v>
      </c>
      <c r="V131" s="15">
        <f t="shared" si="8"/>
        <v>500</v>
      </c>
      <c r="W131" s="15" t="str">
        <f t="shared" si="9"/>
        <v/>
      </c>
      <c r="X131" s="6" t="s">
        <v>90</v>
      </c>
      <c r="Y131" s="7" t="s">
        <v>133</v>
      </c>
      <c r="Z131" s="10"/>
      <c r="AA131" s="6" t="s">
        <v>93</v>
      </c>
      <c r="AB131" s="7" t="s">
        <v>160</v>
      </c>
      <c r="AC131" s="10"/>
      <c r="AD131" s="9" t="str">
        <f t="shared" si="10"/>
        <v>oui</v>
      </c>
      <c r="AE131" s="9" t="str">
        <f t="shared" si="11"/>
        <v>TAE manquant</v>
      </c>
      <c r="AF131" s="7"/>
      <c r="AG131" s="10"/>
      <c r="AH131" s="10"/>
      <c r="AI131" s="7" t="s">
        <v>160</v>
      </c>
      <c r="AJ131" s="10"/>
      <c r="AK131" s="10"/>
      <c r="AL131" s="10"/>
      <c r="AM131" s="11" t="s">
        <v>131</v>
      </c>
      <c r="AN131" s="11" t="s">
        <v>131</v>
      </c>
      <c r="AO131" s="11" t="s">
        <v>131</v>
      </c>
      <c r="AP131" s="11" t="s">
        <v>131</v>
      </c>
      <c r="AQ131" s="11"/>
      <c r="AR131" s="7"/>
    </row>
    <row r="132" spans="1:44" ht="14.4" x14ac:dyDescent="0.3">
      <c r="A132" s="6" t="s">
        <v>262</v>
      </c>
      <c r="B132" s="6" t="s">
        <v>887</v>
      </c>
      <c r="C132" s="6" t="s">
        <v>894</v>
      </c>
      <c r="D132" s="6" t="s">
        <v>889</v>
      </c>
      <c r="E132" s="6" t="s">
        <v>895</v>
      </c>
      <c r="F132" s="7" t="s">
        <v>125</v>
      </c>
      <c r="G132" s="10"/>
      <c r="H132" s="7" t="s">
        <v>93</v>
      </c>
      <c r="I132" s="7"/>
      <c r="J132" s="10"/>
      <c r="K132" s="6" t="s">
        <v>90</v>
      </c>
      <c r="L132" s="7"/>
      <c r="M132" s="14"/>
      <c r="N132" s="7" t="s">
        <v>93</v>
      </c>
      <c r="O132" s="10"/>
      <c r="P132" s="7" t="s">
        <v>90</v>
      </c>
      <c r="Q132" s="15">
        <f>IF(P132="oui",MIN(Parametres!$B$4,MAX(Parametres!$B$3,IF(M132="",Parametres!$B$3,ROUND(M132*10%,0)))),"")</f>
        <v>0</v>
      </c>
      <c r="R132" s="7" t="s">
        <v>134</v>
      </c>
      <c r="S132" s="7" t="s">
        <v>90</v>
      </c>
      <c r="T132" s="15">
        <f>IF(S132="oui",Parametres!$B$5,"")</f>
        <v>500</v>
      </c>
      <c r="U132" s="7" t="s">
        <v>134</v>
      </c>
      <c r="V132" s="15">
        <f t="shared" si="8"/>
        <v>500</v>
      </c>
      <c r="W132" s="15" t="str">
        <f t="shared" si="9"/>
        <v/>
      </c>
      <c r="X132" s="6" t="s">
        <v>90</v>
      </c>
      <c r="Y132" s="7" t="s">
        <v>133</v>
      </c>
      <c r="Z132" s="10"/>
      <c r="AA132" s="6" t="s">
        <v>93</v>
      </c>
      <c r="AB132" s="7" t="s">
        <v>160</v>
      </c>
      <c r="AC132" s="10"/>
      <c r="AD132" s="9" t="str">
        <f t="shared" si="10"/>
        <v>oui</v>
      </c>
      <c r="AE132" s="9" t="str">
        <f t="shared" si="11"/>
        <v>TAE manquant</v>
      </c>
      <c r="AF132" s="7"/>
      <c r="AG132" s="10"/>
      <c r="AH132" s="10"/>
      <c r="AI132" s="7" t="s">
        <v>160</v>
      </c>
      <c r="AJ132" s="10"/>
      <c r="AK132" s="10"/>
      <c r="AL132" s="10"/>
      <c r="AM132" s="11" t="s">
        <v>131</v>
      </c>
      <c r="AN132" s="11" t="s">
        <v>131</v>
      </c>
      <c r="AO132" s="11" t="s">
        <v>131</v>
      </c>
      <c r="AP132" s="11" t="s">
        <v>131</v>
      </c>
      <c r="AQ132" s="11"/>
      <c r="AR132" s="7"/>
    </row>
    <row r="133" spans="1:44" ht="14.4" x14ac:dyDescent="0.3">
      <c r="A133" s="6" t="s">
        <v>270</v>
      </c>
      <c r="B133" s="6" t="s">
        <v>897</v>
      </c>
      <c r="C133" s="6" t="s">
        <v>898</v>
      </c>
      <c r="D133" s="6" t="s">
        <v>899</v>
      </c>
      <c r="E133" s="6" t="s">
        <v>900</v>
      </c>
      <c r="F133" s="7" t="s">
        <v>125</v>
      </c>
      <c r="G133" s="10"/>
      <c r="H133" s="7" t="s">
        <v>93</v>
      </c>
      <c r="I133" s="7"/>
      <c r="J133" s="10"/>
      <c r="K133" s="6" t="s">
        <v>90</v>
      </c>
      <c r="L133" s="7"/>
      <c r="M133" s="14"/>
      <c r="N133" s="7" t="s">
        <v>93</v>
      </c>
      <c r="O133" s="10"/>
      <c r="P133" s="7" t="s">
        <v>90</v>
      </c>
      <c r="Q133" s="15">
        <f>IF(P133="oui",MIN(Parametres!$B$4,MAX(Parametres!$B$3,IF(M133="",Parametres!$B$3,ROUND(M133*10%,0)))),"")</f>
        <v>0</v>
      </c>
      <c r="R133" s="7" t="s">
        <v>134</v>
      </c>
      <c r="S133" s="7" t="s">
        <v>90</v>
      </c>
      <c r="T133" s="15">
        <f>IF(S133="oui",Parametres!$B$5,"")</f>
        <v>500</v>
      </c>
      <c r="U133" s="7" t="s">
        <v>134</v>
      </c>
      <c r="V133" s="15">
        <f t="shared" si="8"/>
        <v>500</v>
      </c>
      <c r="W133" s="15" t="str">
        <f t="shared" si="9"/>
        <v/>
      </c>
      <c r="X133" s="6" t="s">
        <v>90</v>
      </c>
      <c r="Y133" s="7" t="s">
        <v>133</v>
      </c>
      <c r="Z133" s="10"/>
      <c r="AA133" s="6" t="s">
        <v>93</v>
      </c>
      <c r="AB133" s="7" t="s">
        <v>160</v>
      </c>
      <c r="AC133" s="10"/>
      <c r="AD133" s="9" t="str">
        <f t="shared" si="10"/>
        <v>oui</v>
      </c>
      <c r="AE133" s="9" t="str">
        <f t="shared" si="11"/>
        <v>TAE manquant</v>
      </c>
      <c r="AF133" s="7"/>
      <c r="AG133" s="10"/>
      <c r="AH133" s="10"/>
      <c r="AI133" s="7" t="s">
        <v>160</v>
      </c>
      <c r="AJ133" s="10"/>
      <c r="AK133" s="10"/>
      <c r="AL133" s="10"/>
      <c r="AM133" s="11" t="s">
        <v>131</v>
      </c>
      <c r="AN133" s="11" t="s">
        <v>131</v>
      </c>
      <c r="AO133" s="11" t="s">
        <v>131</v>
      </c>
      <c r="AP133" s="11" t="s">
        <v>131</v>
      </c>
      <c r="AQ133" s="11"/>
      <c r="AR133" s="7"/>
    </row>
    <row r="134" spans="1:44" ht="14.4" x14ac:dyDescent="0.3">
      <c r="A134" s="6" t="s">
        <v>270</v>
      </c>
      <c r="B134" s="6" t="s">
        <v>897</v>
      </c>
      <c r="C134" s="6" t="s">
        <v>904</v>
      </c>
      <c r="D134" s="6" t="s">
        <v>899</v>
      </c>
      <c r="E134" s="6" t="s">
        <v>905</v>
      </c>
      <c r="F134" s="7" t="s">
        <v>125</v>
      </c>
      <c r="G134" s="10"/>
      <c r="H134" s="7" t="s">
        <v>93</v>
      </c>
      <c r="I134" s="7"/>
      <c r="J134" s="10"/>
      <c r="K134" s="6" t="s">
        <v>90</v>
      </c>
      <c r="L134" s="7"/>
      <c r="M134" s="14"/>
      <c r="N134" s="7" t="s">
        <v>93</v>
      </c>
      <c r="O134" s="10"/>
      <c r="P134" s="7" t="s">
        <v>90</v>
      </c>
      <c r="Q134" s="15">
        <f>IF(P134="oui",MIN(Parametres!$B$4,MAX(Parametres!$B$3,IF(M134="",Parametres!$B$3,ROUND(M134*10%,0)))),"")</f>
        <v>0</v>
      </c>
      <c r="R134" s="7" t="s">
        <v>134</v>
      </c>
      <c r="S134" s="7" t="s">
        <v>90</v>
      </c>
      <c r="T134" s="15">
        <f>IF(S134="oui",Parametres!$B$5,"")</f>
        <v>500</v>
      </c>
      <c r="U134" s="7" t="s">
        <v>134</v>
      </c>
      <c r="V134" s="15">
        <f t="shared" si="8"/>
        <v>500</v>
      </c>
      <c r="W134" s="15" t="str">
        <f t="shared" si="9"/>
        <v/>
      </c>
      <c r="X134" s="6" t="s">
        <v>90</v>
      </c>
      <c r="Y134" s="7" t="s">
        <v>133</v>
      </c>
      <c r="Z134" s="10"/>
      <c r="AA134" s="6" t="s">
        <v>93</v>
      </c>
      <c r="AB134" s="7" t="s">
        <v>160</v>
      </c>
      <c r="AC134" s="10"/>
      <c r="AD134" s="9" t="str">
        <f t="shared" si="10"/>
        <v>oui</v>
      </c>
      <c r="AE134" s="9" t="str">
        <f t="shared" si="11"/>
        <v>TAE manquant</v>
      </c>
      <c r="AF134" s="7"/>
      <c r="AG134" s="10"/>
      <c r="AH134" s="10"/>
      <c r="AI134" s="7" t="s">
        <v>160</v>
      </c>
      <c r="AJ134" s="10"/>
      <c r="AK134" s="10"/>
      <c r="AL134" s="10"/>
      <c r="AM134" s="11" t="s">
        <v>131</v>
      </c>
      <c r="AN134" s="11" t="s">
        <v>131</v>
      </c>
      <c r="AO134" s="11" t="s">
        <v>131</v>
      </c>
      <c r="AP134" s="11" t="s">
        <v>131</v>
      </c>
      <c r="AQ134" s="11"/>
      <c r="AR134" s="7"/>
    </row>
    <row r="135" spans="1:44" ht="14.4" x14ac:dyDescent="0.3">
      <c r="A135" s="6" t="s">
        <v>270</v>
      </c>
      <c r="B135" s="6" t="s">
        <v>897</v>
      </c>
      <c r="C135" s="6" t="s">
        <v>909</v>
      </c>
      <c r="D135" s="6" t="s">
        <v>899</v>
      </c>
      <c r="E135" s="6" t="s">
        <v>910</v>
      </c>
      <c r="F135" s="7" t="s">
        <v>125</v>
      </c>
      <c r="G135" s="10"/>
      <c r="H135" s="7" t="s">
        <v>93</v>
      </c>
      <c r="I135" s="7"/>
      <c r="J135" s="10"/>
      <c r="K135" s="6" t="s">
        <v>90</v>
      </c>
      <c r="L135" s="7"/>
      <c r="M135" s="14"/>
      <c r="N135" s="7" t="s">
        <v>93</v>
      </c>
      <c r="O135" s="10"/>
      <c r="P135" s="7" t="s">
        <v>90</v>
      </c>
      <c r="Q135" s="15">
        <f>IF(P135="oui",MIN(Parametres!$B$4,MAX(Parametres!$B$3,IF(M135="",Parametres!$B$3,ROUND(M135*10%,0)))),"")</f>
        <v>0</v>
      </c>
      <c r="R135" s="7" t="s">
        <v>134</v>
      </c>
      <c r="S135" s="7" t="s">
        <v>90</v>
      </c>
      <c r="T135" s="15">
        <f>IF(S135="oui",Parametres!$B$5,"")</f>
        <v>500</v>
      </c>
      <c r="U135" s="7" t="s">
        <v>134</v>
      </c>
      <c r="V135" s="15">
        <f t="shared" si="8"/>
        <v>500</v>
      </c>
      <c r="W135" s="15" t="str">
        <f t="shared" si="9"/>
        <v/>
      </c>
      <c r="X135" s="6" t="s">
        <v>90</v>
      </c>
      <c r="Y135" s="7" t="s">
        <v>133</v>
      </c>
      <c r="Z135" s="10"/>
      <c r="AA135" s="6" t="s">
        <v>93</v>
      </c>
      <c r="AB135" s="7" t="s">
        <v>160</v>
      </c>
      <c r="AC135" s="10"/>
      <c r="AD135" s="9" t="str">
        <f t="shared" si="10"/>
        <v>oui</v>
      </c>
      <c r="AE135" s="9" t="str">
        <f t="shared" si="11"/>
        <v>TAE manquant</v>
      </c>
      <c r="AF135" s="7"/>
      <c r="AG135" s="10"/>
      <c r="AH135" s="10"/>
      <c r="AI135" s="7" t="s">
        <v>160</v>
      </c>
      <c r="AJ135" s="10"/>
      <c r="AK135" s="10"/>
      <c r="AL135" s="10"/>
      <c r="AM135" s="11" t="s">
        <v>131</v>
      </c>
      <c r="AN135" s="11" t="s">
        <v>131</v>
      </c>
      <c r="AO135" s="11" t="s">
        <v>131</v>
      </c>
      <c r="AP135" s="11" t="s">
        <v>131</v>
      </c>
      <c r="AQ135" s="11"/>
      <c r="AR135" s="7"/>
    </row>
    <row r="136" spans="1:44" ht="14.4" x14ac:dyDescent="0.3">
      <c r="A136" s="6" t="s">
        <v>270</v>
      </c>
      <c r="B136" s="6" t="s">
        <v>897</v>
      </c>
      <c r="C136" s="6" t="s">
        <v>914</v>
      </c>
      <c r="D136" s="6" t="s">
        <v>899</v>
      </c>
      <c r="E136" s="6" t="s">
        <v>915</v>
      </c>
      <c r="F136" s="7" t="s">
        <v>125</v>
      </c>
      <c r="G136" s="10"/>
      <c r="H136" s="7" t="s">
        <v>93</v>
      </c>
      <c r="I136" s="7"/>
      <c r="J136" s="10"/>
      <c r="K136" s="6" t="s">
        <v>90</v>
      </c>
      <c r="L136" s="7"/>
      <c r="M136" s="14"/>
      <c r="N136" s="7" t="s">
        <v>93</v>
      </c>
      <c r="O136" s="10"/>
      <c r="P136" s="7" t="s">
        <v>90</v>
      </c>
      <c r="Q136" s="15">
        <f>IF(P136="oui",MIN(Parametres!$B$4,MAX(Parametres!$B$3,IF(M136="",Parametres!$B$3,ROUND(M136*10%,0)))),"")</f>
        <v>0</v>
      </c>
      <c r="R136" s="7" t="s">
        <v>134</v>
      </c>
      <c r="S136" s="7" t="s">
        <v>90</v>
      </c>
      <c r="T136" s="15">
        <f>IF(S136="oui",Parametres!$B$5,"")</f>
        <v>500</v>
      </c>
      <c r="U136" s="7" t="s">
        <v>134</v>
      </c>
      <c r="V136" s="15">
        <f t="shared" si="8"/>
        <v>500</v>
      </c>
      <c r="W136" s="15" t="str">
        <f t="shared" si="9"/>
        <v/>
      </c>
      <c r="X136" s="6" t="s">
        <v>90</v>
      </c>
      <c r="Y136" s="7" t="s">
        <v>133</v>
      </c>
      <c r="Z136" s="10"/>
      <c r="AA136" s="6" t="s">
        <v>93</v>
      </c>
      <c r="AB136" s="7" t="s">
        <v>160</v>
      </c>
      <c r="AC136" s="10"/>
      <c r="AD136" s="9" t="str">
        <f t="shared" si="10"/>
        <v>oui</v>
      </c>
      <c r="AE136" s="9" t="str">
        <f t="shared" si="11"/>
        <v>TAE manquant</v>
      </c>
      <c r="AF136" s="7"/>
      <c r="AG136" s="10"/>
      <c r="AH136" s="10"/>
      <c r="AI136" s="7" t="s">
        <v>160</v>
      </c>
      <c r="AJ136" s="10"/>
      <c r="AK136" s="10"/>
      <c r="AL136" s="10"/>
      <c r="AM136" s="11" t="s">
        <v>131</v>
      </c>
      <c r="AN136" s="11" t="s">
        <v>131</v>
      </c>
      <c r="AO136" s="11" t="s">
        <v>131</v>
      </c>
      <c r="AP136" s="11" t="s">
        <v>131</v>
      </c>
      <c r="AQ136" s="11"/>
      <c r="AR136" s="7"/>
    </row>
    <row r="137" spans="1:44" ht="14.4" x14ac:dyDescent="0.3">
      <c r="A137" s="6" t="s">
        <v>292</v>
      </c>
      <c r="B137" s="6" t="s">
        <v>919</v>
      </c>
      <c r="C137" s="6" t="s">
        <v>920</v>
      </c>
      <c r="D137" s="6" t="s">
        <v>921</v>
      </c>
      <c r="E137" s="6" t="s">
        <v>922</v>
      </c>
      <c r="F137" s="7" t="s">
        <v>125</v>
      </c>
      <c r="G137" s="10"/>
      <c r="H137" s="7" t="s">
        <v>93</v>
      </c>
      <c r="I137" s="7"/>
      <c r="J137" s="10"/>
      <c r="K137" s="6" t="s">
        <v>90</v>
      </c>
      <c r="L137" s="7"/>
      <c r="M137" s="14"/>
      <c r="N137" s="7" t="s">
        <v>93</v>
      </c>
      <c r="O137" s="10"/>
      <c r="P137" s="7" t="s">
        <v>90</v>
      </c>
      <c r="Q137" s="15">
        <f>IF(P137="oui",MIN(Parametres!$B$4,MAX(Parametres!$B$3,IF(M137="",Parametres!$B$3,ROUND(M137*10%,0)))),"")</f>
        <v>0</v>
      </c>
      <c r="R137" s="7" t="s">
        <v>134</v>
      </c>
      <c r="S137" s="7" t="s">
        <v>90</v>
      </c>
      <c r="T137" s="15">
        <f>IF(S137="oui",Parametres!$B$5,"")</f>
        <v>500</v>
      </c>
      <c r="U137" s="7" t="s">
        <v>134</v>
      </c>
      <c r="V137" s="15">
        <f t="shared" si="8"/>
        <v>500</v>
      </c>
      <c r="W137" s="15" t="str">
        <f t="shared" si="9"/>
        <v/>
      </c>
      <c r="X137" s="6" t="s">
        <v>90</v>
      </c>
      <c r="Y137" s="7" t="s">
        <v>133</v>
      </c>
      <c r="Z137" s="10"/>
      <c r="AA137" s="6" t="s">
        <v>93</v>
      </c>
      <c r="AB137" s="7" t="s">
        <v>160</v>
      </c>
      <c r="AC137" s="10"/>
      <c r="AD137" s="9" t="str">
        <f t="shared" si="10"/>
        <v>oui</v>
      </c>
      <c r="AE137" s="9" t="str">
        <f t="shared" si="11"/>
        <v>TAE manquant</v>
      </c>
      <c r="AF137" s="7"/>
      <c r="AG137" s="10"/>
      <c r="AH137" s="10"/>
      <c r="AI137" s="7" t="s">
        <v>160</v>
      </c>
      <c r="AJ137" s="10"/>
      <c r="AK137" s="10"/>
      <c r="AL137" s="10"/>
      <c r="AM137" s="11" t="s">
        <v>131</v>
      </c>
      <c r="AN137" s="11" t="s">
        <v>131</v>
      </c>
      <c r="AO137" s="11" t="s">
        <v>131</v>
      </c>
      <c r="AP137" s="11" t="s">
        <v>131</v>
      </c>
      <c r="AQ137" s="11"/>
      <c r="AR137" s="7"/>
    </row>
    <row r="138" spans="1:44" ht="14.4" x14ac:dyDescent="0.3">
      <c r="A138" s="6" t="s">
        <v>292</v>
      </c>
      <c r="B138" s="6" t="s">
        <v>919</v>
      </c>
      <c r="C138" s="6" t="s">
        <v>926</v>
      </c>
      <c r="D138" s="6" t="s">
        <v>921</v>
      </c>
      <c r="E138" s="6" t="s">
        <v>927</v>
      </c>
      <c r="F138" s="7" t="s">
        <v>125</v>
      </c>
      <c r="G138" s="10"/>
      <c r="H138" s="7" t="s">
        <v>93</v>
      </c>
      <c r="I138" s="7"/>
      <c r="J138" s="10"/>
      <c r="K138" s="6" t="s">
        <v>90</v>
      </c>
      <c r="L138" s="7"/>
      <c r="M138" s="14"/>
      <c r="N138" s="7" t="s">
        <v>93</v>
      </c>
      <c r="O138" s="10"/>
      <c r="P138" s="7" t="s">
        <v>90</v>
      </c>
      <c r="Q138" s="15">
        <f>IF(P138="oui",MIN(Parametres!$B$4,MAX(Parametres!$B$3,IF(M138="",Parametres!$B$3,ROUND(M138*10%,0)))),"")</f>
        <v>0</v>
      </c>
      <c r="R138" s="7" t="s">
        <v>134</v>
      </c>
      <c r="S138" s="7" t="s">
        <v>90</v>
      </c>
      <c r="T138" s="15">
        <f>IF(S138="oui",Parametres!$B$5,"")</f>
        <v>500</v>
      </c>
      <c r="U138" s="7" t="s">
        <v>134</v>
      </c>
      <c r="V138" s="15">
        <f t="shared" si="8"/>
        <v>500</v>
      </c>
      <c r="W138" s="15" t="str">
        <f t="shared" si="9"/>
        <v/>
      </c>
      <c r="X138" s="6" t="s">
        <v>90</v>
      </c>
      <c r="Y138" s="7" t="s">
        <v>133</v>
      </c>
      <c r="Z138" s="10"/>
      <c r="AA138" s="6" t="s">
        <v>93</v>
      </c>
      <c r="AB138" s="7" t="s">
        <v>160</v>
      </c>
      <c r="AC138" s="10"/>
      <c r="AD138" s="9" t="str">
        <f t="shared" si="10"/>
        <v>oui</v>
      </c>
      <c r="AE138" s="9" t="str">
        <f t="shared" si="11"/>
        <v>TAE manquant</v>
      </c>
      <c r="AF138" s="7"/>
      <c r="AG138" s="10"/>
      <c r="AH138" s="10"/>
      <c r="AI138" s="7" t="s">
        <v>160</v>
      </c>
      <c r="AJ138" s="10"/>
      <c r="AK138" s="10"/>
      <c r="AL138" s="10"/>
      <c r="AM138" s="11" t="s">
        <v>131</v>
      </c>
      <c r="AN138" s="11" t="s">
        <v>131</v>
      </c>
      <c r="AO138" s="11" t="s">
        <v>131</v>
      </c>
      <c r="AP138" s="11" t="s">
        <v>131</v>
      </c>
      <c r="AQ138" s="11"/>
      <c r="AR138" s="7"/>
    </row>
    <row r="139" spans="1:44" ht="14.4" x14ac:dyDescent="0.3">
      <c r="A139" s="6" t="s">
        <v>292</v>
      </c>
      <c r="B139" s="6" t="s">
        <v>919</v>
      </c>
      <c r="C139" s="6" t="s">
        <v>930</v>
      </c>
      <c r="D139" s="6" t="s">
        <v>921</v>
      </c>
      <c r="E139" s="6" t="s">
        <v>931</v>
      </c>
      <c r="F139" s="7" t="s">
        <v>125</v>
      </c>
      <c r="G139" s="10"/>
      <c r="H139" s="7" t="s">
        <v>93</v>
      </c>
      <c r="I139" s="7"/>
      <c r="J139" s="10"/>
      <c r="K139" s="6" t="s">
        <v>90</v>
      </c>
      <c r="L139" s="7"/>
      <c r="M139" s="14"/>
      <c r="N139" s="7" t="s">
        <v>93</v>
      </c>
      <c r="O139" s="10"/>
      <c r="P139" s="7" t="s">
        <v>90</v>
      </c>
      <c r="Q139" s="15">
        <f>IF(P139="oui",MIN(Parametres!$B$4,MAX(Parametres!$B$3,IF(M139="",Parametres!$B$3,ROUND(M139*10%,0)))),"")</f>
        <v>0</v>
      </c>
      <c r="R139" s="7" t="s">
        <v>134</v>
      </c>
      <c r="S139" s="7" t="s">
        <v>90</v>
      </c>
      <c r="T139" s="15">
        <f>IF(S139="oui",Parametres!$B$5,"")</f>
        <v>500</v>
      </c>
      <c r="U139" s="7" t="s">
        <v>134</v>
      </c>
      <c r="V139" s="15">
        <f t="shared" si="8"/>
        <v>500</v>
      </c>
      <c r="W139" s="15" t="str">
        <f t="shared" si="9"/>
        <v/>
      </c>
      <c r="X139" s="6" t="s">
        <v>90</v>
      </c>
      <c r="Y139" s="7" t="s">
        <v>133</v>
      </c>
      <c r="Z139" s="10"/>
      <c r="AA139" s="6" t="s">
        <v>93</v>
      </c>
      <c r="AB139" s="7" t="s">
        <v>160</v>
      </c>
      <c r="AC139" s="10"/>
      <c r="AD139" s="9" t="str">
        <f t="shared" si="10"/>
        <v>oui</v>
      </c>
      <c r="AE139" s="9" t="str">
        <f t="shared" si="11"/>
        <v>TAE manquant</v>
      </c>
      <c r="AF139" s="7"/>
      <c r="AG139" s="10"/>
      <c r="AH139" s="10"/>
      <c r="AI139" s="7" t="s">
        <v>160</v>
      </c>
      <c r="AJ139" s="10"/>
      <c r="AK139" s="10"/>
      <c r="AL139" s="10"/>
      <c r="AM139" s="11" t="s">
        <v>131</v>
      </c>
      <c r="AN139" s="11" t="s">
        <v>131</v>
      </c>
      <c r="AO139" s="11" t="s">
        <v>131</v>
      </c>
      <c r="AP139" s="11" t="s">
        <v>131</v>
      </c>
      <c r="AQ139" s="11"/>
      <c r="AR139" s="7"/>
    </row>
    <row r="140" spans="1:44" ht="14.4" x14ac:dyDescent="0.3">
      <c r="A140" s="6" t="s">
        <v>292</v>
      </c>
      <c r="B140" s="6" t="s">
        <v>919</v>
      </c>
      <c r="C140" s="6" t="s">
        <v>937</v>
      </c>
      <c r="D140" s="6" t="s">
        <v>921</v>
      </c>
      <c r="E140" s="6" t="s">
        <v>938</v>
      </c>
      <c r="F140" s="7" t="s">
        <v>125</v>
      </c>
      <c r="G140" s="10"/>
      <c r="H140" s="7" t="s">
        <v>93</v>
      </c>
      <c r="I140" s="7"/>
      <c r="J140" s="10"/>
      <c r="K140" s="6" t="s">
        <v>90</v>
      </c>
      <c r="L140" s="7"/>
      <c r="M140" s="14"/>
      <c r="N140" s="7" t="s">
        <v>93</v>
      </c>
      <c r="O140" s="10"/>
      <c r="P140" s="7" t="s">
        <v>90</v>
      </c>
      <c r="Q140" s="15">
        <f>IF(P140="oui",MIN(Parametres!$B$4,MAX(Parametres!$B$3,IF(M140="",Parametres!$B$3,ROUND(M140*10%,0)))),"")</f>
        <v>0</v>
      </c>
      <c r="R140" s="7" t="s">
        <v>134</v>
      </c>
      <c r="S140" s="7" t="s">
        <v>90</v>
      </c>
      <c r="T140" s="15">
        <f>IF(S140="oui",Parametres!$B$5,"")</f>
        <v>500</v>
      </c>
      <c r="U140" s="7" t="s">
        <v>134</v>
      </c>
      <c r="V140" s="15">
        <f t="shared" si="8"/>
        <v>500</v>
      </c>
      <c r="W140" s="15" t="str">
        <f t="shared" si="9"/>
        <v/>
      </c>
      <c r="X140" s="6" t="s">
        <v>90</v>
      </c>
      <c r="Y140" s="7" t="s">
        <v>133</v>
      </c>
      <c r="Z140" s="10"/>
      <c r="AA140" s="6" t="s">
        <v>93</v>
      </c>
      <c r="AB140" s="7" t="s">
        <v>160</v>
      </c>
      <c r="AC140" s="10"/>
      <c r="AD140" s="9" t="str">
        <f t="shared" si="10"/>
        <v>oui</v>
      </c>
      <c r="AE140" s="9" t="str">
        <f t="shared" si="11"/>
        <v>TAE manquant</v>
      </c>
      <c r="AF140" s="7"/>
      <c r="AG140" s="10"/>
      <c r="AH140" s="10"/>
      <c r="AI140" s="7" t="s">
        <v>160</v>
      </c>
      <c r="AJ140" s="10"/>
      <c r="AK140" s="10"/>
      <c r="AL140" s="10"/>
      <c r="AM140" s="11" t="s">
        <v>131</v>
      </c>
      <c r="AN140" s="11" t="s">
        <v>131</v>
      </c>
      <c r="AO140" s="11" t="s">
        <v>131</v>
      </c>
      <c r="AP140" s="11" t="s">
        <v>131</v>
      </c>
      <c r="AQ140" s="11"/>
      <c r="AR140" s="7"/>
    </row>
    <row r="141" spans="1:44" ht="14.4" x14ac:dyDescent="0.3">
      <c r="A141" s="6" t="s">
        <v>292</v>
      </c>
      <c r="B141" s="6" t="s">
        <v>919</v>
      </c>
      <c r="C141" s="6" t="s">
        <v>942</v>
      </c>
      <c r="D141" s="6" t="s">
        <v>921</v>
      </c>
      <c r="E141" s="6" t="s">
        <v>943</v>
      </c>
      <c r="F141" s="7" t="s">
        <v>125</v>
      </c>
      <c r="G141" s="10"/>
      <c r="H141" s="7" t="s">
        <v>93</v>
      </c>
      <c r="I141" s="7"/>
      <c r="J141" s="10"/>
      <c r="K141" s="6" t="s">
        <v>90</v>
      </c>
      <c r="L141" s="7"/>
      <c r="M141" s="14"/>
      <c r="N141" s="7" t="s">
        <v>93</v>
      </c>
      <c r="O141" s="10"/>
      <c r="P141" s="7" t="s">
        <v>90</v>
      </c>
      <c r="Q141" s="15">
        <f>IF(P141="oui",MIN(Parametres!$B$4,MAX(Parametres!$B$3,IF(M141="",Parametres!$B$3,ROUND(M141*10%,0)))),"")</f>
        <v>0</v>
      </c>
      <c r="R141" s="7" t="s">
        <v>134</v>
      </c>
      <c r="S141" s="7" t="s">
        <v>90</v>
      </c>
      <c r="T141" s="15">
        <f>IF(S141="oui",Parametres!$B$5,"")</f>
        <v>500</v>
      </c>
      <c r="U141" s="7" t="s">
        <v>134</v>
      </c>
      <c r="V141" s="15">
        <f t="shared" si="8"/>
        <v>500</v>
      </c>
      <c r="W141" s="15" t="str">
        <f t="shared" si="9"/>
        <v/>
      </c>
      <c r="X141" s="6" t="s">
        <v>90</v>
      </c>
      <c r="Y141" s="7" t="s">
        <v>133</v>
      </c>
      <c r="Z141" s="10"/>
      <c r="AA141" s="6" t="s">
        <v>93</v>
      </c>
      <c r="AB141" s="7" t="s">
        <v>160</v>
      </c>
      <c r="AC141" s="10"/>
      <c r="AD141" s="9" t="str">
        <f t="shared" si="10"/>
        <v>oui</v>
      </c>
      <c r="AE141" s="9" t="str">
        <f t="shared" si="11"/>
        <v>TAE manquant</v>
      </c>
      <c r="AF141" s="7"/>
      <c r="AG141" s="10"/>
      <c r="AH141" s="10"/>
      <c r="AI141" s="7" t="s">
        <v>160</v>
      </c>
      <c r="AJ141" s="10"/>
      <c r="AK141" s="10"/>
      <c r="AL141" s="10"/>
      <c r="AM141" s="11" t="s">
        <v>131</v>
      </c>
      <c r="AN141" s="11" t="s">
        <v>131</v>
      </c>
      <c r="AO141" s="11" t="s">
        <v>131</v>
      </c>
      <c r="AP141" s="11" t="s">
        <v>131</v>
      </c>
      <c r="AQ141" s="11"/>
      <c r="AR141" s="7"/>
    </row>
    <row r="142" spans="1:44" ht="14.4" x14ac:dyDescent="0.3">
      <c r="A142" s="6" t="s">
        <v>292</v>
      </c>
      <c r="B142" s="6" t="s">
        <v>919</v>
      </c>
      <c r="C142" s="6" t="s">
        <v>946</v>
      </c>
      <c r="D142" s="6" t="s">
        <v>921</v>
      </c>
      <c r="E142" s="6" t="s">
        <v>947</v>
      </c>
      <c r="F142" s="7" t="s">
        <v>125</v>
      </c>
      <c r="G142" s="10"/>
      <c r="H142" s="7" t="s">
        <v>93</v>
      </c>
      <c r="I142" s="7"/>
      <c r="J142" s="10"/>
      <c r="K142" s="6" t="s">
        <v>90</v>
      </c>
      <c r="L142" s="7"/>
      <c r="M142" s="14"/>
      <c r="N142" s="7" t="s">
        <v>93</v>
      </c>
      <c r="O142" s="10"/>
      <c r="P142" s="7" t="s">
        <v>90</v>
      </c>
      <c r="Q142" s="15">
        <f>IF(P142="oui",MIN(Parametres!$B$4,MAX(Parametres!$B$3,IF(M142="",Parametres!$B$3,ROUND(M142*10%,0)))),"")</f>
        <v>0</v>
      </c>
      <c r="R142" s="7" t="s">
        <v>134</v>
      </c>
      <c r="S142" s="7" t="s">
        <v>90</v>
      </c>
      <c r="T142" s="15">
        <f>IF(S142="oui",Parametres!$B$5,"")</f>
        <v>500</v>
      </c>
      <c r="U142" s="7" t="s">
        <v>134</v>
      </c>
      <c r="V142" s="15">
        <f t="shared" si="8"/>
        <v>500</v>
      </c>
      <c r="W142" s="15" t="str">
        <f t="shared" si="9"/>
        <v/>
      </c>
      <c r="X142" s="6" t="s">
        <v>90</v>
      </c>
      <c r="Y142" s="7" t="s">
        <v>133</v>
      </c>
      <c r="Z142" s="10"/>
      <c r="AA142" s="6" t="s">
        <v>93</v>
      </c>
      <c r="AB142" s="7" t="s">
        <v>160</v>
      </c>
      <c r="AC142" s="10"/>
      <c r="AD142" s="9" t="str">
        <f t="shared" si="10"/>
        <v>oui</v>
      </c>
      <c r="AE142" s="9" t="str">
        <f t="shared" si="11"/>
        <v>TAE manquant</v>
      </c>
      <c r="AF142" s="7"/>
      <c r="AG142" s="10"/>
      <c r="AH142" s="10"/>
      <c r="AI142" s="7" t="s">
        <v>160</v>
      </c>
      <c r="AJ142" s="10"/>
      <c r="AK142" s="10"/>
      <c r="AL142" s="10"/>
      <c r="AM142" s="11" t="s">
        <v>131</v>
      </c>
      <c r="AN142" s="11" t="s">
        <v>131</v>
      </c>
      <c r="AO142" s="11" t="s">
        <v>131</v>
      </c>
      <c r="AP142" s="11" t="s">
        <v>131</v>
      </c>
      <c r="AQ142" s="11"/>
      <c r="AR142" s="7"/>
    </row>
    <row r="143" spans="1:44" ht="14.4" x14ac:dyDescent="0.3">
      <c r="A143" s="6" t="s">
        <v>292</v>
      </c>
      <c r="B143" s="6" t="s">
        <v>919</v>
      </c>
      <c r="C143" s="6" t="s">
        <v>952</v>
      </c>
      <c r="D143" s="6" t="s">
        <v>921</v>
      </c>
      <c r="E143" s="6" t="s">
        <v>953</v>
      </c>
      <c r="F143" s="7" t="s">
        <v>125</v>
      </c>
      <c r="G143" s="10"/>
      <c r="H143" s="7" t="s">
        <v>93</v>
      </c>
      <c r="I143" s="7"/>
      <c r="J143" s="10"/>
      <c r="K143" s="6" t="s">
        <v>90</v>
      </c>
      <c r="L143" s="7"/>
      <c r="M143" s="14"/>
      <c r="N143" s="7" t="s">
        <v>93</v>
      </c>
      <c r="O143" s="10"/>
      <c r="P143" s="7" t="s">
        <v>90</v>
      </c>
      <c r="Q143" s="15">
        <f>IF(P143="oui",MIN(Parametres!$B$4,MAX(Parametres!$B$3,IF(M143="",Parametres!$B$3,ROUND(M143*10%,0)))),"")</f>
        <v>0</v>
      </c>
      <c r="R143" s="7" t="s">
        <v>134</v>
      </c>
      <c r="S143" s="7" t="s">
        <v>90</v>
      </c>
      <c r="T143" s="15">
        <f>IF(S143="oui",Parametres!$B$5,"")</f>
        <v>500</v>
      </c>
      <c r="U143" s="7" t="s">
        <v>134</v>
      </c>
      <c r="V143" s="15">
        <f t="shared" si="8"/>
        <v>500</v>
      </c>
      <c r="W143" s="15" t="str">
        <f t="shared" si="9"/>
        <v/>
      </c>
      <c r="X143" s="6" t="s">
        <v>90</v>
      </c>
      <c r="Y143" s="7" t="s">
        <v>133</v>
      </c>
      <c r="Z143" s="10"/>
      <c r="AA143" s="6" t="s">
        <v>93</v>
      </c>
      <c r="AB143" s="7" t="s">
        <v>160</v>
      </c>
      <c r="AC143" s="10"/>
      <c r="AD143" s="9" t="str">
        <f t="shared" si="10"/>
        <v>oui</v>
      </c>
      <c r="AE143" s="9" t="str">
        <f t="shared" si="11"/>
        <v>TAE manquant</v>
      </c>
      <c r="AF143" s="7"/>
      <c r="AG143" s="10"/>
      <c r="AH143" s="10"/>
      <c r="AI143" s="7" t="s">
        <v>160</v>
      </c>
      <c r="AJ143" s="10"/>
      <c r="AK143" s="10"/>
      <c r="AL143" s="10"/>
      <c r="AM143" s="11" t="s">
        <v>131</v>
      </c>
      <c r="AN143" s="11" t="s">
        <v>131</v>
      </c>
      <c r="AO143" s="11" t="s">
        <v>131</v>
      </c>
      <c r="AP143" s="11" t="s">
        <v>131</v>
      </c>
      <c r="AQ143" s="11"/>
      <c r="AR143" s="7"/>
    </row>
    <row r="144" spans="1:44" ht="14.4" x14ac:dyDescent="0.3">
      <c r="A144" s="6" t="s">
        <v>292</v>
      </c>
      <c r="B144" s="6" t="s">
        <v>919</v>
      </c>
      <c r="C144" s="6" t="s">
        <v>956</v>
      </c>
      <c r="D144" s="6" t="s">
        <v>921</v>
      </c>
      <c r="E144" s="6" t="s">
        <v>957</v>
      </c>
      <c r="F144" s="7" t="s">
        <v>125</v>
      </c>
      <c r="G144" s="10"/>
      <c r="H144" s="7" t="s">
        <v>93</v>
      </c>
      <c r="I144" s="7"/>
      <c r="J144" s="10"/>
      <c r="K144" s="6" t="s">
        <v>90</v>
      </c>
      <c r="L144" s="7"/>
      <c r="M144" s="14"/>
      <c r="N144" s="7" t="s">
        <v>93</v>
      </c>
      <c r="O144" s="10"/>
      <c r="P144" s="7" t="s">
        <v>90</v>
      </c>
      <c r="Q144" s="15">
        <f>IF(P144="oui",MIN(Parametres!$B$4,MAX(Parametres!$B$3,IF(M144="",Parametres!$B$3,ROUND(M144*10%,0)))),"")</f>
        <v>0</v>
      </c>
      <c r="R144" s="7" t="s">
        <v>134</v>
      </c>
      <c r="S144" s="7" t="s">
        <v>90</v>
      </c>
      <c r="T144" s="15">
        <f>IF(S144="oui",Parametres!$B$5,"")</f>
        <v>500</v>
      </c>
      <c r="U144" s="7" t="s">
        <v>134</v>
      </c>
      <c r="V144" s="15">
        <f t="shared" si="8"/>
        <v>500</v>
      </c>
      <c r="W144" s="15" t="str">
        <f t="shared" si="9"/>
        <v/>
      </c>
      <c r="X144" s="6" t="s">
        <v>90</v>
      </c>
      <c r="Y144" s="7" t="s">
        <v>133</v>
      </c>
      <c r="Z144" s="10"/>
      <c r="AA144" s="6" t="s">
        <v>93</v>
      </c>
      <c r="AB144" s="7" t="s">
        <v>160</v>
      </c>
      <c r="AC144" s="10"/>
      <c r="AD144" s="9" t="str">
        <f t="shared" si="10"/>
        <v>oui</v>
      </c>
      <c r="AE144" s="9" t="str">
        <f t="shared" si="11"/>
        <v>TAE manquant</v>
      </c>
      <c r="AF144" s="7"/>
      <c r="AG144" s="10"/>
      <c r="AH144" s="10"/>
      <c r="AI144" s="7" t="s">
        <v>160</v>
      </c>
      <c r="AJ144" s="10"/>
      <c r="AK144" s="10"/>
      <c r="AL144" s="10"/>
      <c r="AM144" s="11" t="s">
        <v>131</v>
      </c>
      <c r="AN144" s="11" t="s">
        <v>131</v>
      </c>
      <c r="AO144" s="11" t="s">
        <v>131</v>
      </c>
      <c r="AP144" s="11" t="s">
        <v>131</v>
      </c>
      <c r="AQ144" s="11"/>
      <c r="AR144" s="7"/>
    </row>
    <row r="145" spans="1:44" ht="14.4" x14ac:dyDescent="0.3">
      <c r="A145" s="6" t="s">
        <v>292</v>
      </c>
      <c r="B145" s="6" t="s">
        <v>961</v>
      </c>
      <c r="C145" s="6" t="s">
        <v>962</v>
      </c>
      <c r="D145" s="6" t="s">
        <v>963</v>
      </c>
      <c r="E145" s="6" t="s">
        <v>964</v>
      </c>
      <c r="F145" s="7" t="s">
        <v>125</v>
      </c>
      <c r="G145" s="10"/>
      <c r="H145" s="7" t="s">
        <v>93</v>
      </c>
      <c r="I145" s="7"/>
      <c r="J145" s="10"/>
      <c r="K145" s="6" t="s">
        <v>90</v>
      </c>
      <c r="L145" s="7"/>
      <c r="M145" s="14"/>
      <c r="N145" s="7" t="s">
        <v>93</v>
      </c>
      <c r="O145" s="10"/>
      <c r="P145" s="7" t="s">
        <v>90</v>
      </c>
      <c r="Q145" s="15">
        <f>IF(P145="oui",MIN(Parametres!$B$4,MAX(Parametres!$B$3,IF(M145="",Parametres!$B$3,ROUND(M145*10%,0)))),"")</f>
        <v>0</v>
      </c>
      <c r="R145" s="7" t="s">
        <v>134</v>
      </c>
      <c r="S145" s="7" t="s">
        <v>90</v>
      </c>
      <c r="T145" s="15">
        <f>IF(S145="oui",Parametres!$B$5,"")</f>
        <v>500</v>
      </c>
      <c r="U145" s="7" t="s">
        <v>134</v>
      </c>
      <c r="V145" s="15">
        <f t="shared" si="8"/>
        <v>500</v>
      </c>
      <c r="W145" s="15" t="str">
        <f t="shared" si="9"/>
        <v/>
      </c>
      <c r="X145" s="6" t="s">
        <v>90</v>
      </c>
      <c r="Y145" s="7" t="s">
        <v>133</v>
      </c>
      <c r="Z145" s="10"/>
      <c r="AA145" s="6" t="s">
        <v>93</v>
      </c>
      <c r="AB145" s="7" t="s">
        <v>160</v>
      </c>
      <c r="AC145" s="10"/>
      <c r="AD145" s="9" t="str">
        <f t="shared" si="10"/>
        <v>oui</v>
      </c>
      <c r="AE145" s="9" t="str">
        <f t="shared" si="11"/>
        <v>TAE manquant</v>
      </c>
      <c r="AF145" s="7"/>
      <c r="AG145" s="10"/>
      <c r="AH145" s="10"/>
      <c r="AI145" s="7" t="s">
        <v>160</v>
      </c>
      <c r="AJ145" s="10"/>
      <c r="AK145" s="10"/>
      <c r="AL145" s="10"/>
      <c r="AM145" s="11" t="s">
        <v>131</v>
      </c>
      <c r="AN145" s="11" t="s">
        <v>131</v>
      </c>
      <c r="AO145" s="11" t="s">
        <v>131</v>
      </c>
      <c r="AP145" s="11" t="s">
        <v>131</v>
      </c>
      <c r="AQ145" s="11"/>
      <c r="AR145" s="7"/>
    </row>
    <row r="146" spans="1:44" ht="14.4" x14ac:dyDescent="0.3">
      <c r="A146" s="6" t="s">
        <v>292</v>
      </c>
      <c r="B146" s="6" t="s">
        <v>961</v>
      </c>
      <c r="C146" s="6" t="s">
        <v>969</v>
      </c>
      <c r="D146" s="6" t="s">
        <v>963</v>
      </c>
      <c r="E146" s="6" t="s">
        <v>970</v>
      </c>
      <c r="F146" s="7" t="s">
        <v>125</v>
      </c>
      <c r="G146" s="10"/>
      <c r="H146" s="7" t="s">
        <v>93</v>
      </c>
      <c r="I146" s="7"/>
      <c r="J146" s="10"/>
      <c r="K146" s="6" t="s">
        <v>90</v>
      </c>
      <c r="L146" s="7"/>
      <c r="M146" s="14"/>
      <c r="N146" s="7" t="s">
        <v>93</v>
      </c>
      <c r="O146" s="10"/>
      <c r="P146" s="7" t="s">
        <v>90</v>
      </c>
      <c r="Q146" s="15">
        <f>IF(P146="oui",MIN(Parametres!$B$4,MAX(Parametres!$B$3,IF(M146="",Parametres!$B$3,ROUND(M146*10%,0)))),"")</f>
        <v>0</v>
      </c>
      <c r="R146" s="7" t="s">
        <v>134</v>
      </c>
      <c r="S146" s="7" t="s">
        <v>90</v>
      </c>
      <c r="T146" s="15">
        <f>IF(S146="oui",Parametres!$B$5,"")</f>
        <v>500</v>
      </c>
      <c r="U146" s="7" t="s">
        <v>134</v>
      </c>
      <c r="V146" s="15">
        <f t="shared" si="8"/>
        <v>500</v>
      </c>
      <c r="W146" s="15" t="str">
        <f t="shared" si="9"/>
        <v/>
      </c>
      <c r="X146" s="6" t="s">
        <v>90</v>
      </c>
      <c r="Y146" s="7" t="s">
        <v>133</v>
      </c>
      <c r="Z146" s="10"/>
      <c r="AA146" s="6" t="s">
        <v>93</v>
      </c>
      <c r="AB146" s="7" t="s">
        <v>160</v>
      </c>
      <c r="AC146" s="10"/>
      <c r="AD146" s="9" t="str">
        <f t="shared" si="10"/>
        <v>oui</v>
      </c>
      <c r="AE146" s="9" t="str">
        <f t="shared" si="11"/>
        <v>TAE manquant</v>
      </c>
      <c r="AF146" s="7"/>
      <c r="AG146" s="10"/>
      <c r="AH146" s="10"/>
      <c r="AI146" s="7" t="s">
        <v>160</v>
      </c>
      <c r="AJ146" s="10"/>
      <c r="AK146" s="10"/>
      <c r="AL146" s="10"/>
      <c r="AM146" s="11" t="s">
        <v>131</v>
      </c>
      <c r="AN146" s="11" t="s">
        <v>131</v>
      </c>
      <c r="AO146" s="11" t="s">
        <v>131</v>
      </c>
      <c r="AP146" s="11" t="s">
        <v>131</v>
      </c>
      <c r="AQ146" s="11"/>
      <c r="AR146" s="7"/>
    </row>
    <row r="147" spans="1:44" ht="14.4" x14ac:dyDescent="0.3">
      <c r="A147" s="6" t="s">
        <v>292</v>
      </c>
      <c r="B147" s="6" t="s">
        <v>961</v>
      </c>
      <c r="C147" s="6" t="s">
        <v>973</v>
      </c>
      <c r="D147" s="6" t="s">
        <v>963</v>
      </c>
      <c r="E147" s="6" t="s">
        <v>974</v>
      </c>
      <c r="F147" s="7" t="s">
        <v>125</v>
      </c>
      <c r="G147" s="10"/>
      <c r="H147" s="7" t="s">
        <v>93</v>
      </c>
      <c r="I147" s="7"/>
      <c r="J147" s="10"/>
      <c r="K147" s="6" t="s">
        <v>90</v>
      </c>
      <c r="L147" s="7"/>
      <c r="M147" s="14"/>
      <c r="N147" s="7" t="s">
        <v>93</v>
      </c>
      <c r="O147" s="10"/>
      <c r="P147" s="7" t="s">
        <v>90</v>
      </c>
      <c r="Q147" s="15">
        <f>IF(P147="oui",MIN(Parametres!$B$4,MAX(Parametres!$B$3,IF(M147="",Parametres!$B$3,ROUND(M147*10%,0)))),"")</f>
        <v>0</v>
      </c>
      <c r="R147" s="7" t="s">
        <v>134</v>
      </c>
      <c r="S147" s="7" t="s">
        <v>90</v>
      </c>
      <c r="T147" s="15">
        <f>IF(S147="oui",Parametres!$B$5,"")</f>
        <v>500</v>
      </c>
      <c r="U147" s="7" t="s">
        <v>134</v>
      </c>
      <c r="V147" s="15">
        <f t="shared" si="8"/>
        <v>500</v>
      </c>
      <c r="W147" s="15" t="str">
        <f t="shared" si="9"/>
        <v/>
      </c>
      <c r="X147" s="6" t="s">
        <v>90</v>
      </c>
      <c r="Y147" s="7" t="s">
        <v>133</v>
      </c>
      <c r="Z147" s="10"/>
      <c r="AA147" s="6" t="s">
        <v>93</v>
      </c>
      <c r="AB147" s="7" t="s">
        <v>160</v>
      </c>
      <c r="AC147" s="10"/>
      <c r="AD147" s="9" t="str">
        <f t="shared" si="10"/>
        <v>oui</v>
      </c>
      <c r="AE147" s="9" t="str">
        <f t="shared" si="11"/>
        <v>TAE manquant</v>
      </c>
      <c r="AF147" s="7"/>
      <c r="AG147" s="10"/>
      <c r="AH147" s="10"/>
      <c r="AI147" s="7" t="s">
        <v>160</v>
      </c>
      <c r="AJ147" s="10"/>
      <c r="AK147" s="10"/>
      <c r="AL147" s="10"/>
      <c r="AM147" s="11" t="s">
        <v>131</v>
      </c>
      <c r="AN147" s="11" t="s">
        <v>131</v>
      </c>
      <c r="AO147" s="11" t="s">
        <v>131</v>
      </c>
      <c r="AP147" s="11" t="s">
        <v>131</v>
      </c>
      <c r="AQ147" s="11"/>
      <c r="AR147" s="7"/>
    </row>
    <row r="148" spans="1:44" ht="14.4" x14ac:dyDescent="0.3">
      <c r="A148" s="6" t="s">
        <v>292</v>
      </c>
      <c r="B148" s="6" t="s">
        <v>961</v>
      </c>
      <c r="C148" s="6" t="s">
        <v>976</v>
      </c>
      <c r="D148" s="6" t="s">
        <v>963</v>
      </c>
      <c r="E148" s="6" t="s">
        <v>977</v>
      </c>
      <c r="F148" s="7" t="s">
        <v>125</v>
      </c>
      <c r="G148" s="10"/>
      <c r="H148" s="7" t="s">
        <v>93</v>
      </c>
      <c r="I148" s="7"/>
      <c r="J148" s="10"/>
      <c r="K148" s="6" t="s">
        <v>90</v>
      </c>
      <c r="L148" s="7"/>
      <c r="M148" s="14"/>
      <c r="N148" s="7" t="s">
        <v>93</v>
      </c>
      <c r="O148" s="10"/>
      <c r="P148" s="7" t="s">
        <v>90</v>
      </c>
      <c r="Q148" s="15">
        <f>IF(P148="oui",MIN(Parametres!$B$4,MAX(Parametres!$B$3,IF(M148="",Parametres!$B$3,ROUND(M148*10%,0)))),"")</f>
        <v>0</v>
      </c>
      <c r="R148" s="7" t="s">
        <v>134</v>
      </c>
      <c r="S148" s="7" t="s">
        <v>90</v>
      </c>
      <c r="T148" s="15">
        <f>IF(S148="oui",Parametres!$B$5,"")</f>
        <v>500</v>
      </c>
      <c r="U148" s="7" t="s">
        <v>134</v>
      </c>
      <c r="V148" s="15">
        <f t="shared" si="8"/>
        <v>500</v>
      </c>
      <c r="W148" s="15" t="str">
        <f t="shared" si="9"/>
        <v/>
      </c>
      <c r="X148" s="6" t="s">
        <v>90</v>
      </c>
      <c r="Y148" s="7" t="s">
        <v>133</v>
      </c>
      <c r="Z148" s="10"/>
      <c r="AA148" s="6" t="s">
        <v>93</v>
      </c>
      <c r="AB148" s="7" t="s">
        <v>160</v>
      </c>
      <c r="AC148" s="10"/>
      <c r="AD148" s="9" t="str">
        <f t="shared" si="10"/>
        <v>oui</v>
      </c>
      <c r="AE148" s="9" t="str">
        <f t="shared" si="11"/>
        <v>TAE manquant</v>
      </c>
      <c r="AF148" s="7"/>
      <c r="AG148" s="10"/>
      <c r="AH148" s="10"/>
      <c r="AI148" s="7" t="s">
        <v>160</v>
      </c>
      <c r="AJ148" s="10"/>
      <c r="AK148" s="10"/>
      <c r="AL148" s="10"/>
      <c r="AM148" s="11" t="s">
        <v>131</v>
      </c>
      <c r="AN148" s="11" t="s">
        <v>131</v>
      </c>
      <c r="AO148" s="11" t="s">
        <v>131</v>
      </c>
      <c r="AP148" s="11" t="s">
        <v>131</v>
      </c>
      <c r="AQ148" s="11"/>
      <c r="AR148" s="7"/>
    </row>
    <row r="149" spans="1:44" ht="14.4" x14ac:dyDescent="0.3">
      <c r="A149" s="6" t="s">
        <v>292</v>
      </c>
      <c r="B149" s="6" t="s">
        <v>961</v>
      </c>
      <c r="C149" s="6" t="s">
        <v>981</v>
      </c>
      <c r="D149" s="6" t="s">
        <v>963</v>
      </c>
      <c r="E149" s="6" t="s">
        <v>982</v>
      </c>
      <c r="F149" s="7" t="s">
        <v>125</v>
      </c>
      <c r="G149" s="10"/>
      <c r="H149" s="7" t="s">
        <v>93</v>
      </c>
      <c r="I149" s="7"/>
      <c r="J149" s="10"/>
      <c r="K149" s="6" t="s">
        <v>90</v>
      </c>
      <c r="L149" s="7"/>
      <c r="M149" s="14"/>
      <c r="N149" s="7" t="s">
        <v>93</v>
      </c>
      <c r="O149" s="10"/>
      <c r="P149" s="7" t="s">
        <v>90</v>
      </c>
      <c r="Q149" s="15">
        <f>IF(P149="oui",MIN(Parametres!$B$4,MAX(Parametres!$B$3,IF(M149="",Parametres!$B$3,ROUND(M149*10%,0)))),"")</f>
        <v>0</v>
      </c>
      <c r="R149" s="7" t="s">
        <v>134</v>
      </c>
      <c r="S149" s="7" t="s">
        <v>90</v>
      </c>
      <c r="T149" s="15">
        <f>IF(S149="oui",Parametres!$B$5,"")</f>
        <v>500</v>
      </c>
      <c r="U149" s="7" t="s">
        <v>134</v>
      </c>
      <c r="V149" s="15">
        <f t="shared" si="8"/>
        <v>500</v>
      </c>
      <c r="W149" s="15" t="str">
        <f t="shared" si="9"/>
        <v/>
      </c>
      <c r="X149" s="6" t="s">
        <v>90</v>
      </c>
      <c r="Y149" s="7" t="s">
        <v>133</v>
      </c>
      <c r="Z149" s="10"/>
      <c r="AA149" s="6" t="s">
        <v>93</v>
      </c>
      <c r="AB149" s="7" t="s">
        <v>160</v>
      </c>
      <c r="AC149" s="10"/>
      <c r="AD149" s="9" t="str">
        <f t="shared" si="10"/>
        <v>oui</v>
      </c>
      <c r="AE149" s="9" t="str">
        <f t="shared" si="11"/>
        <v>TAE manquant</v>
      </c>
      <c r="AF149" s="7"/>
      <c r="AG149" s="10"/>
      <c r="AH149" s="10"/>
      <c r="AI149" s="7" t="s">
        <v>160</v>
      </c>
      <c r="AJ149" s="10"/>
      <c r="AK149" s="10"/>
      <c r="AL149" s="10"/>
      <c r="AM149" s="11" t="s">
        <v>131</v>
      </c>
      <c r="AN149" s="11" t="s">
        <v>131</v>
      </c>
      <c r="AO149" s="11" t="s">
        <v>131</v>
      </c>
      <c r="AP149" s="11" t="s">
        <v>131</v>
      </c>
      <c r="AQ149" s="11"/>
      <c r="AR149" s="7"/>
    </row>
    <row r="150" spans="1:44" ht="14.4" x14ac:dyDescent="0.3">
      <c r="A150" s="6" t="s">
        <v>292</v>
      </c>
      <c r="B150" s="6" t="s">
        <v>961</v>
      </c>
      <c r="C150" s="6" t="s">
        <v>985</v>
      </c>
      <c r="D150" s="6" t="s">
        <v>963</v>
      </c>
      <c r="E150" s="6" t="s">
        <v>986</v>
      </c>
      <c r="F150" s="7" t="s">
        <v>125</v>
      </c>
      <c r="G150" s="10"/>
      <c r="H150" s="7" t="s">
        <v>93</v>
      </c>
      <c r="I150" s="7"/>
      <c r="J150" s="10"/>
      <c r="K150" s="6" t="s">
        <v>90</v>
      </c>
      <c r="L150" s="7"/>
      <c r="M150" s="14"/>
      <c r="N150" s="7" t="s">
        <v>93</v>
      </c>
      <c r="O150" s="10"/>
      <c r="P150" s="7" t="s">
        <v>90</v>
      </c>
      <c r="Q150" s="15">
        <f>IF(P150="oui",MIN(Parametres!$B$4,MAX(Parametres!$B$3,IF(M150="",Parametres!$B$3,ROUND(M150*10%,0)))),"")</f>
        <v>0</v>
      </c>
      <c r="R150" s="7" t="s">
        <v>134</v>
      </c>
      <c r="S150" s="7" t="s">
        <v>90</v>
      </c>
      <c r="T150" s="15">
        <f>IF(S150="oui",Parametres!$B$5,"")</f>
        <v>500</v>
      </c>
      <c r="U150" s="7" t="s">
        <v>134</v>
      </c>
      <c r="V150" s="15">
        <f t="shared" si="8"/>
        <v>500</v>
      </c>
      <c r="W150" s="15" t="str">
        <f t="shared" si="9"/>
        <v/>
      </c>
      <c r="X150" s="6" t="s">
        <v>90</v>
      </c>
      <c r="Y150" s="7" t="s">
        <v>133</v>
      </c>
      <c r="Z150" s="10"/>
      <c r="AA150" s="6" t="s">
        <v>93</v>
      </c>
      <c r="AB150" s="7" t="s">
        <v>160</v>
      </c>
      <c r="AC150" s="10"/>
      <c r="AD150" s="9" t="str">
        <f t="shared" si="10"/>
        <v>oui</v>
      </c>
      <c r="AE150" s="9" t="str">
        <f t="shared" si="11"/>
        <v>TAE manquant</v>
      </c>
      <c r="AF150" s="7"/>
      <c r="AG150" s="10"/>
      <c r="AH150" s="10"/>
      <c r="AI150" s="7" t="s">
        <v>160</v>
      </c>
      <c r="AJ150" s="10"/>
      <c r="AK150" s="10"/>
      <c r="AL150" s="10"/>
      <c r="AM150" s="11" t="s">
        <v>131</v>
      </c>
      <c r="AN150" s="11" t="s">
        <v>131</v>
      </c>
      <c r="AO150" s="11" t="s">
        <v>131</v>
      </c>
      <c r="AP150" s="11" t="s">
        <v>131</v>
      </c>
      <c r="AQ150" s="11"/>
      <c r="AR150" s="7"/>
    </row>
    <row r="151" spans="1:44" ht="14.4" x14ac:dyDescent="0.3">
      <c r="A151" s="6" t="s">
        <v>292</v>
      </c>
      <c r="B151" s="6" t="s">
        <v>961</v>
      </c>
      <c r="C151" s="6" t="s">
        <v>991</v>
      </c>
      <c r="D151" s="6" t="s">
        <v>963</v>
      </c>
      <c r="E151" s="6" t="s">
        <v>992</v>
      </c>
      <c r="F151" s="7" t="s">
        <v>125</v>
      </c>
      <c r="G151" s="10"/>
      <c r="H151" s="7" t="s">
        <v>93</v>
      </c>
      <c r="I151" s="7"/>
      <c r="J151" s="10"/>
      <c r="K151" s="6" t="s">
        <v>90</v>
      </c>
      <c r="L151" s="7"/>
      <c r="M151" s="14"/>
      <c r="N151" s="7" t="s">
        <v>93</v>
      </c>
      <c r="O151" s="10"/>
      <c r="P151" s="7" t="s">
        <v>90</v>
      </c>
      <c r="Q151" s="15">
        <f>IF(P151="oui",MIN(Parametres!$B$4,MAX(Parametres!$B$3,IF(M151="",Parametres!$B$3,ROUND(M151*10%,0)))),"")</f>
        <v>0</v>
      </c>
      <c r="R151" s="7" t="s">
        <v>134</v>
      </c>
      <c r="S151" s="7" t="s">
        <v>90</v>
      </c>
      <c r="T151" s="15">
        <f>IF(S151="oui",Parametres!$B$5,"")</f>
        <v>500</v>
      </c>
      <c r="U151" s="7" t="s">
        <v>134</v>
      </c>
      <c r="V151" s="15">
        <f t="shared" si="8"/>
        <v>500</v>
      </c>
      <c r="W151" s="15" t="str">
        <f t="shared" si="9"/>
        <v/>
      </c>
      <c r="X151" s="6" t="s">
        <v>90</v>
      </c>
      <c r="Y151" s="7" t="s">
        <v>133</v>
      </c>
      <c r="Z151" s="10"/>
      <c r="AA151" s="6" t="s">
        <v>93</v>
      </c>
      <c r="AB151" s="7" t="s">
        <v>160</v>
      </c>
      <c r="AC151" s="10"/>
      <c r="AD151" s="9" t="str">
        <f t="shared" si="10"/>
        <v>oui</v>
      </c>
      <c r="AE151" s="9" t="str">
        <f t="shared" si="11"/>
        <v>TAE manquant</v>
      </c>
      <c r="AF151" s="7"/>
      <c r="AG151" s="10"/>
      <c r="AH151" s="10"/>
      <c r="AI151" s="7" t="s">
        <v>160</v>
      </c>
      <c r="AJ151" s="10"/>
      <c r="AK151" s="10"/>
      <c r="AL151" s="10"/>
      <c r="AM151" s="11" t="s">
        <v>131</v>
      </c>
      <c r="AN151" s="11" t="s">
        <v>131</v>
      </c>
      <c r="AO151" s="11" t="s">
        <v>131</v>
      </c>
      <c r="AP151" s="11" t="s">
        <v>131</v>
      </c>
      <c r="AQ151" s="11"/>
      <c r="AR151" s="7"/>
    </row>
    <row r="152" spans="1:44" ht="14.4" x14ac:dyDescent="0.3">
      <c r="A152" s="6" t="s">
        <v>292</v>
      </c>
      <c r="B152" s="6" t="s">
        <v>961</v>
      </c>
      <c r="C152" s="6" t="s">
        <v>995</v>
      </c>
      <c r="D152" s="6" t="s">
        <v>963</v>
      </c>
      <c r="E152" s="6" t="s">
        <v>996</v>
      </c>
      <c r="F152" s="7" t="s">
        <v>125</v>
      </c>
      <c r="G152" s="10"/>
      <c r="H152" s="7" t="s">
        <v>93</v>
      </c>
      <c r="I152" s="7"/>
      <c r="J152" s="10"/>
      <c r="K152" s="6" t="s">
        <v>90</v>
      </c>
      <c r="L152" s="7"/>
      <c r="M152" s="14"/>
      <c r="N152" s="7" t="s">
        <v>93</v>
      </c>
      <c r="O152" s="10"/>
      <c r="P152" s="7" t="s">
        <v>90</v>
      </c>
      <c r="Q152" s="15">
        <f>IF(P152="oui",MIN(Parametres!$B$4,MAX(Parametres!$B$3,IF(M152="",Parametres!$B$3,ROUND(M152*10%,0)))),"")</f>
        <v>0</v>
      </c>
      <c r="R152" s="7" t="s">
        <v>134</v>
      </c>
      <c r="S152" s="7" t="s">
        <v>90</v>
      </c>
      <c r="T152" s="15">
        <f>IF(S152="oui",Parametres!$B$5,"")</f>
        <v>500</v>
      </c>
      <c r="U152" s="7" t="s">
        <v>134</v>
      </c>
      <c r="V152" s="15">
        <f t="shared" si="8"/>
        <v>500</v>
      </c>
      <c r="W152" s="15" t="str">
        <f t="shared" si="9"/>
        <v/>
      </c>
      <c r="X152" s="6" t="s">
        <v>90</v>
      </c>
      <c r="Y152" s="7" t="s">
        <v>133</v>
      </c>
      <c r="Z152" s="10"/>
      <c r="AA152" s="6" t="s">
        <v>93</v>
      </c>
      <c r="AB152" s="7" t="s">
        <v>160</v>
      </c>
      <c r="AC152" s="10"/>
      <c r="AD152" s="9" t="str">
        <f t="shared" si="10"/>
        <v>oui</v>
      </c>
      <c r="AE152" s="9" t="str">
        <f t="shared" si="11"/>
        <v>TAE manquant</v>
      </c>
      <c r="AF152" s="7"/>
      <c r="AG152" s="10"/>
      <c r="AH152" s="10"/>
      <c r="AI152" s="7" t="s">
        <v>160</v>
      </c>
      <c r="AJ152" s="10"/>
      <c r="AK152" s="10"/>
      <c r="AL152" s="10"/>
      <c r="AM152" s="11" t="s">
        <v>131</v>
      </c>
      <c r="AN152" s="11" t="s">
        <v>131</v>
      </c>
      <c r="AO152" s="11" t="s">
        <v>131</v>
      </c>
      <c r="AP152" s="11" t="s">
        <v>131</v>
      </c>
      <c r="AQ152" s="11"/>
      <c r="AR152" s="7"/>
    </row>
    <row r="153" spans="1:44" ht="14.4" x14ac:dyDescent="0.3">
      <c r="A153" s="6" t="s">
        <v>292</v>
      </c>
      <c r="B153" s="6" t="s">
        <v>961</v>
      </c>
      <c r="C153" s="6" t="s">
        <v>1000</v>
      </c>
      <c r="D153" s="6" t="s">
        <v>963</v>
      </c>
      <c r="E153" s="6" t="s">
        <v>1001</v>
      </c>
      <c r="F153" s="7" t="s">
        <v>125</v>
      </c>
      <c r="G153" s="10"/>
      <c r="H153" s="7" t="s">
        <v>93</v>
      </c>
      <c r="I153" s="7"/>
      <c r="J153" s="10"/>
      <c r="K153" s="6" t="s">
        <v>90</v>
      </c>
      <c r="L153" s="7"/>
      <c r="M153" s="14"/>
      <c r="N153" s="7" t="s">
        <v>93</v>
      </c>
      <c r="O153" s="10"/>
      <c r="P153" s="7" t="s">
        <v>90</v>
      </c>
      <c r="Q153" s="15">
        <f>IF(P153="oui",MIN(Parametres!$B$4,MAX(Parametres!$B$3,IF(M153="",Parametres!$B$3,ROUND(M153*10%,0)))),"")</f>
        <v>0</v>
      </c>
      <c r="R153" s="7" t="s">
        <v>134</v>
      </c>
      <c r="S153" s="7" t="s">
        <v>90</v>
      </c>
      <c r="T153" s="15">
        <f>IF(S153="oui",Parametres!$B$5,"")</f>
        <v>500</v>
      </c>
      <c r="U153" s="7" t="s">
        <v>134</v>
      </c>
      <c r="V153" s="15">
        <f t="shared" si="8"/>
        <v>500</v>
      </c>
      <c r="W153" s="15" t="str">
        <f t="shared" si="9"/>
        <v/>
      </c>
      <c r="X153" s="6" t="s">
        <v>90</v>
      </c>
      <c r="Y153" s="7" t="s">
        <v>133</v>
      </c>
      <c r="Z153" s="10"/>
      <c r="AA153" s="6" t="s">
        <v>93</v>
      </c>
      <c r="AB153" s="7" t="s">
        <v>160</v>
      </c>
      <c r="AC153" s="10"/>
      <c r="AD153" s="9" t="str">
        <f t="shared" si="10"/>
        <v>oui</v>
      </c>
      <c r="AE153" s="9" t="str">
        <f t="shared" si="11"/>
        <v>TAE manquant</v>
      </c>
      <c r="AF153" s="7"/>
      <c r="AG153" s="10"/>
      <c r="AH153" s="10"/>
      <c r="AI153" s="7" t="s">
        <v>160</v>
      </c>
      <c r="AJ153" s="10"/>
      <c r="AK153" s="10"/>
      <c r="AL153" s="10"/>
      <c r="AM153" s="11" t="s">
        <v>131</v>
      </c>
      <c r="AN153" s="11" t="s">
        <v>131</v>
      </c>
      <c r="AO153" s="11" t="s">
        <v>131</v>
      </c>
      <c r="AP153" s="11" t="s">
        <v>131</v>
      </c>
      <c r="AQ153" s="11"/>
      <c r="AR153" s="7"/>
    </row>
    <row r="154" spans="1:44" ht="14.4" x14ac:dyDescent="0.3">
      <c r="A154" s="6" t="s">
        <v>292</v>
      </c>
      <c r="B154" s="6" t="s">
        <v>961</v>
      </c>
      <c r="C154" s="6" t="s">
        <v>1004</v>
      </c>
      <c r="D154" s="6" t="s">
        <v>963</v>
      </c>
      <c r="E154" s="6" t="s">
        <v>1005</v>
      </c>
      <c r="F154" s="7" t="s">
        <v>125</v>
      </c>
      <c r="G154" s="10"/>
      <c r="H154" s="7" t="s">
        <v>93</v>
      </c>
      <c r="I154" s="7"/>
      <c r="J154" s="10"/>
      <c r="K154" s="6" t="s">
        <v>90</v>
      </c>
      <c r="L154" s="7"/>
      <c r="M154" s="14"/>
      <c r="N154" s="7" t="s">
        <v>93</v>
      </c>
      <c r="O154" s="10"/>
      <c r="P154" s="7" t="s">
        <v>90</v>
      </c>
      <c r="Q154" s="15">
        <f>IF(P154="oui",MIN(Parametres!$B$4,MAX(Parametres!$B$3,IF(M154="",Parametres!$B$3,ROUND(M154*10%,0)))),"")</f>
        <v>0</v>
      </c>
      <c r="R154" s="7" t="s">
        <v>134</v>
      </c>
      <c r="S154" s="7" t="s">
        <v>90</v>
      </c>
      <c r="T154" s="15">
        <f>IF(S154="oui",Parametres!$B$5,"")</f>
        <v>500</v>
      </c>
      <c r="U154" s="7" t="s">
        <v>134</v>
      </c>
      <c r="V154" s="15">
        <f t="shared" si="8"/>
        <v>500</v>
      </c>
      <c r="W154" s="15" t="str">
        <f t="shared" si="9"/>
        <v/>
      </c>
      <c r="X154" s="6" t="s">
        <v>90</v>
      </c>
      <c r="Y154" s="7" t="s">
        <v>133</v>
      </c>
      <c r="Z154" s="10"/>
      <c r="AA154" s="6" t="s">
        <v>93</v>
      </c>
      <c r="AB154" s="7" t="s">
        <v>160</v>
      </c>
      <c r="AC154" s="10"/>
      <c r="AD154" s="9" t="str">
        <f t="shared" si="10"/>
        <v>oui</v>
      </c>
      <c r="AE154" s="9" t="str">
        <f t="shared" si="11"/>
        <v>TAE manquant</v>
      </c>
      <c r="AF154" s="7"/>
      <c r="AG154" s="10"/>
      <c r="AH154" s="10"/>
      <c r="AI154" s="7" t="s">
        <v>160</v>
      </c>
      <c r="AJ154" s="10"/>
      <c r="AK154" s="10"/>
      <c r="AL154" s="10"/>
      <c r="AM154" s="11" t="s">
        <v>131</v>
      </c>
      <c r="AN154" s="11" t="s">
        <v>131</v>
      </c>
      <c r="AO154" s="11" t="s">
        <v>131</v>
      </c>
      <c r="AP154" s="11" t="s">
        <v>131</v>
      </c>
      <c r="AQ154" s="11"/>
      <c r="AR154" s="7"/>
    </row>
    <row r="155" spans="1:44" ht="14.4" x14ac:dyDescent="0.3">
      <c r="A155" s="6" t="s">
        <v>292</v>
      </c>
      <c r="B155" s="6" t="s">
        <v>1008</v>
      </c>
      <c r="C155" s="6" t="s">
        <v>1009</v>
      </c>
      <c r="D155" s="6" t="s">
        <v>1010</v>
      </c>
      <c r="E155" s="6" t="s">
        <v>1011</v>
      </c>
      <c r="F155" s="7" t="s">
        <v>125</v>
      </c>
      <c r="G155" s="10"/>
      <c r="H155" s="7" t="s">
        <v>93</v>
      </c>
      <c r="I155" s="7"/>
      <c r="J155" s="10"/>
      <c r="K155" s="6" t="s">
        <v>90</v>
      </c>
      <c r="L155" s="7"/>
      <c r="M155" s="14"/>
      <c r="N155" s="7" t="s">
        <v>93</v>
      </c>
      <c r="O155" s="10"/>
      <c r="P155" s="7" t="s">
        <v>90</v>
      </c>
      <c r="Q155" s="15">
        <f>IF(P155="oui",MIN(Parametres!$B$4,MAX(Parametres!$B$3,IF(M155="",Parametres!$B$3,ROUND(M155*10%,0)))),"")</f>
        <v>0</v>
      </c>
      <c r="R155" s="7" t="s">
        <v>134</v>
      </c>
      <c r="S155" s="7" t="s">
        <v>90</v>
      </c>
      <c r="T155" s="15">
        <f>IF(S155="oui",Parametres!$B$5,"")</f>
        <v>500</v>
      </c>
      <c r="U155" s="7" t="s">
        <v>134</v>
      </c>
      <c r="V155" s="15">
        <f t="shared" si="8"/>
        <v>500</v>
      </c>
      <c r="W155" s="15" t="str">
        <f t="shared" si="9"/>
        <v/>
      </c>
      <c r="X155" s="6" t="s">
        <v>90</v>
      </c>
      <c r="Y155" s="7" t="s">
        <v>133</v>
      </c>
      <c r="Z155" s="10"/>
      <c r="AA155" s="6" t="s">
        <v>93</v>
      </c>
      <c r="AB155" s="7" t="s">
        <v>160</v>
      </c>
      <c r="AC155" s="10"/>
      <c r="AD155" s="9" t="str">
        <f t="shared" si="10"/>
        <v>oui</v>
      </c>
      <c r="AE155" s="9" t="str">
        <f t="shared" si="11"/>
        <v>TAE manquant</v>
      </c>
      <c r="AF155" s="7"/>
      <c r="AG155" s="10"/>
      <c r="AH155" s="10"/>
      <c r="AI155" s="7" t="s">
        <v>160</v>
      </c>
      <c r="AJ155" s="10"/>
      <c r="AK155" s="10"/>
      <c r="AL155" s="10"/>
      <c r="AM155" s="11" t="s">
        <v>131</v>
      </c>
      <c r="AN155" s="11" t="s">
        <v>131</v>
      </c>
      <c r="AO155" s="11" t="s">
        <v>131</v>
      </c>
      <c r="AP155" s="11" t="s">
        <v>131</v>
      </c>
      <c r="AQ155" s="11"/>
      <c r="AR155" s="7"/>
    </row>
    <row r="156" spans="1:44" ht="14.4" x14ac:dyDescent="0.3">
      <c r="A156" s="6" t="s">
        <v>292</v>
      </c>
      <c r="B156" s="6" t="s">
        <v>1008</v>
      </c>
      <c r="C156" s="6" t="s">
        <v>1014</v>
      </c>
      <c r="D156" s="6" t="s">
        <v>1010</v>
      </c>
      <c r="E156" s="6" t="s">
        <v>1015</v>
      </c>
      <c r="F156" s="7" t="s">
        <v>125</v>
      </c>
      <c r="G156" s="10"/>
      <c r="H156" s="7" t="s">
        <v>93</v>
      </c>
      <c r="I156" s="7"/>
      <c r="J156" s="10"/>
      <c r="K156" s="6" t="s">
        <v>90</v>
      </c>
      <c r="L156" s="7"/>
      <c r="M156" s="14"/>
      <c r="N156" s="7" t="s">
        <v>93</v>
      </c>
      <c r="O156" s="10"/>
      <c r="P156" s="7" t="s">
        <v>90</v>
      </c>
      <c r="Q156" s="15">
        <f>IF(P156="oui",MIN(Parametres!$B$4,MAX(Parametres!$B$3,IF(M156="",Parametres!$B$3,ROUND(M156*10%,0)))),"")</f>
        <v>0</v>
      </c>
      <c r="R156" s="7" t="s">
        <v>134</v>
      </c>
      <c r="S156" s="7" t="s">
        <v>90</v>
      </c>
      <c r="T156" s="15">
        <f>IF(S156="oui",Parametres!$B$5,"")</f>
        <v>500</v>
      </c>
      <c r="U156" s="7" t="s">
        <v>134</v>
      </c>
      <c r="V156" s="15">
        <f t="shared" si="8"/>
        <v>500</v>
      </c>
      <c r="W156" s="15" t="str">
        <f t="shared" si="9"/>
        <v/>
      </c>
      <c r="X156" s="6" t="s">
        <v>90</v>
      </c>
      <c r="Y156" s="7" t="s">
        <v>133</v>
      </c>
      <c r="Z156" s="10"/>
      <c r="AA156" s="6" t="s">
        <v>93</v>
      </c>
      <c r="AB156" s="7" t="s">
        <v>160</v>
      </c>
      <c r="AC156" s="10"/>
      <c r="AD156" s="9" t="str">
        <f t="shared" si="10"/>
        <v>oui</v>
      </c>
      <c r="AE156" s="9" t="str">
        <f t="shared" si="11"/>
        <v>TAE manquant</v>
      </c>
      <c r="AF156" s="7"/>
      <c r="AG156" s="10"/>
      <c r="AH156" s="10"/>
      <c r="AI156" s="7" t="s">
        <v>160</v>
      </c>
      <c r="AJ156" s="10"/>
      <c r="AK156" s="10"/>
      <c r="AL156" s="10"/>
      <c r="AM156" s="11" t="s">
        <v>131</v>
      </c>
      <c r="AN156" s="11" t="s">
        <v>131</v>
      </c>
      <c r="AO156" s="11" t="s">
        <v>131</v>
      </c>
      <c r="AP156" s="11" t="s">
        <v>131</v>
      </c>
      <c r="AQ156" s="11"/>
      <c r="AR156" s="7"/>
    </row>
    <row r="157" spans="1:44" ht="14.4" x14ac:dyDescent="0.3">
      <c r="A157" s="6" t="s">
        <v>292</v>
      </c>
      <c r="B157" s="6" t="s">
        <v>1008</v>
      </c>
      <c r="C157" s="6" t="s">
        <v>1019</v>
      </c>
      <c r="D157" s="6" t="s">
        <v>1010</v>
      </c>
      <c r="E157" s="6" t="s">
        <v>1020</v>
      </c>
      <c r="F157" s="7" t="s">
        <v>125</v>
      </c>
      <c r="G157" s="10"/>
      <c r="H157" s="7" t="s">
        <v>93</v>
      </c>
      <c r="I157" s="7"/>
      <c r="J157" s="10"/>
      <c r="K157" s="6" t="s">
        <v>90</v>
      </c>
      <c r="L157" s="7"/>
      <c r="M157" s="14"/>
      <c r="N157" s="7" t="s">
        <v>93</v>
      </c>
      <c r="O157" s="10"/>
      <c r="P157" s="7" t="s">
        <v>90</v>
      </c>
      <c r="Q157" s="15">
        <f>IF(P157="oui",MIN(Parametres!$B$4,MAX(Parametres!$B$3,IF(M157="",Parametres!$B$3,ROUND(M157*10%,0)))),"")</f>
        <v>0</v>
      </c>
      <c r="R157" s="7" t="s">
        <v>134</v>
      </c>
      <c r="S157" s="7" t="s">
        <v>90</v>
      </c>
      <c r="T157" s="15">
        <f>IF(S157="oui",Parametres!$B$5,"")</f>
        <v>500</v>
      </c>
      <c r="U157" s="7" t="s">
        <v>134</v>
      </c>
      <c r="V157" s="15">
        <f t="shared" si="8"/>
        <v>500</v>
      </c>
      <c r="W157" s="15" t="str">
        <f t="shared" si="9"/>
        <v/>
      </c>
      <c r="X157" s="6" t="s">
        <v>90</v>
      </c>
      <c r="Y157" s="7" t="s">
        <v>133</v>
      </c>
      <c r="Z157" s="10"/>
      <c r="AA157" s="6" t="s">
        <v>93</v>
      </c>
      <c r="AB157" s="7" t="s">
        <v>160</v>
      </c>
      <c r="AC157" s="10"/>
      <c r="AD157" s="9" t="str">
        <f t="shared" si="10"/>
        <v>oui</v>
      </c>
      <c r="AE157" s="9" t="str">
        <f t="shared" si="11"/>
        <v>TAE manquant</v>
      </c>
      <c r="AF157" s="7"/>
      <c r="AG157" s="10"/>
      <c r="AH157" s="10"/>
      <c r="AI157" s="7" t="s">
        <v>160</v>
      </c>
      <c r="AJ157" s="10"/>
      <c r="AK157" s="10"/>
      <c r="AL157" s="10"/>
      <c r="AM157" s="11" t="s">
        <v>131</v>
      </c>
      <c r="AN157" s="11" t="s">
        <v>131</v>
      </c>
      <c r="AO157" s="11" t="s">
        <v>131</v>
      </c>
      <c r="AP157" s="11" t="s">
        <v>131</v>
      </c>
      <c r="AQ157" s="11"/>
      <c r="AR157" s="7"/>
    </row>
    <row r="158" spans="1:44" ht="14.4" x14ac:dyDescent="0.3">
      <c r="A158" s="6" t="s">
        <v>292</v>
      </c>
      <c r="B158" s="6" t="s">
        <v>1008</v>
      </c>
      <c r="C158" s="6" t="s">
        <v>1024</v>
      </c>
      <c r="D158" s="6" t="s">
        <v>1010</v>
      </c>
      <c r="E158" s="6" t="s">
        <v>1025</v>
      </c>
      <c r="F158" s="7" t="s">
        <v>125</v>
      </c>
      <c r="G158" s="10"/>
      <c r="H158" s="7" t="s">
        <v>93</v>
      </c>
      <c r="I158" s="7"/>
      <c r="J158" s="10"/>
      <c r="K158" s="6" t="s">
        <v>90</v>
      </c>
      <c r="L158" s="7"/>
      <c r="M158" s="14"/>
      <c r="N158" s="7" t="s">
        <v>93</v>
      </c>
      <c r="O158" s="10"/>
      <c r="P158" s="7" t="s">
        <v>90</v>
      </c>
      <c r="Q158" s="15">
        <f>IF(P158="oui",MIN(Parametres!$B$4,MAX(Parametres!$B$3,IF(M158="",Parametres!$B$3,ROUND(M158*10%,0)))),"")</f>
        <v>0</v>
      </c>
      <c r="R158" s="7" t="s">
        <v>134</v>
      </c>
      <c r="S158" s="7" t="s">
        <v>90</v>
      </c>
      <c r="T158" s="15">
        <f>IF(S158="oui",Parametres!$B$5,"")</f>
        <v>500</v>
      </c>
      <c r="U158" s="7" t="s">
        <v>134</v>
      </c>
      <c r="V158" s="15">
        <f t="shared" si="8"/>
        <v>500</v>
      </c>
      <c r="W158" s="15" t="str">
        <f t="shared" si="9"/>
        <v/>
      </c>
      <c r="X158" s="6" t="s">
        <v>90</v>
      </c>
      <c r="Y158" s="7" t="s">
        <v>133</v>
      </c>
      <c r="Z158" s="10"/>
      <c r="AA158" s="6" t="s">
        <v>93</v>
      </c>
      <c r="AB158" s="7" t="s">
        <v>160</v>
      </c>
      <c r="AC158" s="10"/>
      <c r="AD158" s="9" t="str">
        <f t="shared" si="10"/>
        <v>oui</v>
      </c>
      <c r="AE158" s="9" t="str">
        <f t="shared" si="11"/>
        <v>TAE manquant</v>
      </c>
      <c r="AF158" s="7"/>
      <c r="AG158" s="10"/>
      <c r="AH158" s="10"/>
      <c r="AI158" s="7" t="s">
        <v>160</v>
      </c>
      <c r="AJ158" s="10"/>
      <c r="AK158" s="10"/>
      <c r="AL158" s="10"/>
      <c r="AM158" s="11" t="s">
        <v>131</v>
      </c>
      <c r="AN158" s="11" t="s">
        <v>131</v>
      </c>
      <c r="AO158" s="11" t="s">
        <v>131</v>
      </c>
      <c r="AP158" s="11" t="s">
        <v>131</v>
      </c>
      <c r="AQ158" s="11"/>
      <c r="AR158" s="7"/>
    </row>
    <row r="159" spans="1:44" ht="14.4" x14ac:dyDescent="0.3">
      <c r="A159" s="6" t="s">
        <v>292</v>
      </c>
      <c r="B159" s="6" t="s">
        <v>1008</v>
      </c>
      <c r="C159" s="6" t="s">
        <v>1029</v>
      </c>
      <c r="D159" s="6" t="s">
        <v>1010</v>
      </c>
      <c r="E159" s="6" t="s">
        <v>1030</v>
      </c>
      <c r="F159" s="7" t="s">
        <v>125</v>
      </c>
      <c r="G159" s="10"/>
      <c r="H159" s="7" t="s">
        <v>93</v>
      </c>
      <c r="I159" s="7"/>
      <c r="J159" s="10"/>
      <c r="K159" s="6" t="s">
        <v>90</v>
      </c>
      <c r="L159" s="7"/>
      <c r="M159" s="14"/>
      <c r="N159" s="7" t="s">
        <v>93</v>
      </c>
      <c r="O159" s="10"/>
      <c r="P159" s="7" t="s">
        <v>90</v>
      </c>
      <c r="Q159" s="15">
        <f>IF(P159="oui",MIN(Parametres!$B$4,MAX(Parametres!$B$3,IF(M159="",Parametres!$B$3,ROUND(M159*10%,0)))),"")</f>
        <v>0</v>
      </c>
      <c r="R159" s="7" t="s">
        <v>134</v>
      </c>
      <c r="S159" s="7" t="s">
        <v>90</v>
      </c>
      <c r="T159" s="15">
        <f>IF(S159="oui",Parametres!$B$5,"")</f>
        <v>500</v>
      </c>
      <c r="U159" s="7" t="s">
        <v>134</v>
      </c>
      <c r="V159" s="15">
        <f t="shared" si="8"/>
        <v>500</v>
      </c>
      <c r="W159" s="15" t="str">
        <f t="shared" si="9"/>
        <v/>
      </c>
      <c r="X159" s="6" t="s">
        <v>90</v>
      </c>
      <c r="Y159" s="7" t="s">
        <v>133</v>
      </c>
      <c r="Z159" s="10"/>
      <c r="AA159" s="6" t="s">
        <v>93</v>
      </c>
      <c r="AB159" s="7" t="s">
        <v>160</v>
      </c>
      <c r="AC159" s="10"/>
      <c r="AD159" s="9" t="str">
        <f t="shared" si="10"/>
        <v>oui</v>
      </c>
      <c r="AE159" s="9" t="str">
        <f t="shared" si="11"/>
        <v>TAE manquant</v>
      </c>
      <c r="AF159" s="7"/>
      <c r="AG159" s="10"/>
      <c r="AH159" s="10"/>
      <c r="AI159" s="7" t="s">
        <v>160</v>
      </c>
      <c r="AJ159" s="10"/>
      <c r="AK159" s="10"/>
      <c r="AL159" s="10"/>
      <c r="AM159" s="11" t="s">
        <v>131</v>
      </c>
      <c r="AN159" s="11" t="s">
        <v>131</v>
      </c>
      <c r="AO159" s="11" t="s">
        <v>131</v>
      </c>
      <c r="AP159" s="11" t="s">
        <v>131</v>
      </c>
      <c r="AQ159" s="11"/>
      <c r="AR159" s="7"/>
    </row>
    <row r="160" spans="1:44" ht="14.4" x14ac:dyDescent="0.3">
      <c r="A160" s="6" t="s">
        <v>292</v>
      </c>
      <c r="B160" s="6" t="s">
        <v>1008</v>
      </c>
      <c r="C160" s="6" t="s">
        <v>1034</v>
      </c>
      <c r="D160" s="6" t="s">
        <v>1010</v>
      </c>
      <c r="E160" s="6" t="s">
        <v>1035</v>
      </c>
      <c r="F160" s="7" t="s">
        <v>125</v>
      </c>
      <c r="G160" s="10"/>
      <c r="H160" s="7" t="s">
        <v>93</v>
      </c>
      <c r="I160" s="7"/>
      <c r="J160" s="10"/>
      <c r="K160" s="6" t="s">
        <v>90</v>
      </c>
      <c r="L160" s="7"/>
      <c r="M160" s="14"/>
      <c r="N160" s="7" t="s">
        <v>93</v>
      </c>
      <c r="O160" s="10"/>
      <c r="P160" s="7" t="s">
        <v>90</v>
      </c>
      <c r="Q160" s="15">
        <f>IF(P160="oui",MIN(Parametres!$B$4,MAX(Parametres!$B$3,IF(M160="",Parametres!$B$3,ROUND(M160*10%,0)))),"")</f>
        <v>0</v>
      </c>
      <c r="R160" s="7" t="s">
        <v>134</v>
      </c>
      <c r="S160" s="7" t="s">
        <v>90</v>
      </c>
      <c r="T160" s="15">
        <f>IF(S160="oui",Parametres!$B$5,"")</f>
        <v>500</v>
      </c>
      <c r="U160" s="7" t="s">
        <v>134</v>
      </c>
      <c r="V160" s="15">
        <f t="shared" si="8"/>
        <v>500</v>
      </c>
      <c r="W160" s="15" t="str">
        <f t="shared" si="9"/>
        <v/>
      </c>
      <c r="X160" s="6" t="s">
        <v>90</v>
      </c>
      <c r="Y160" s="7" t="s">
        <v>133</v>
      </c>
      <c r="Z160" s="10"/>
      <c r="AA160" s="6" t="s">
        <v>93</v>
      </c>
      <c r="AB160" s="7" t="s">
        <v>160</v>
      </c>
      <c r="AC160" s="10"/>
      <c r="AD160" s="9" t="str">
        <f t="shared" si="10"/>
        <v>oui</v>
      </c>
      <c r="AE160" s="9" t="str">
        <f t="shared" si="11"/>
        <v>TAE manquant</v>
      </c>
      <c r="AF160" s="7"/>
      <c r="AG160" s="10"/>
      <c r="AH160" s="10"/>
      <c r="AI160" s="7" t="s">
        <v>160</v>
      </c>
      <c r="AJ160" s="10"/>
      <c r="AK160" s="10"/>
      <c r="AL160" s="10"/>
      <c r="AM160" s="11" t="s">
        <v>131</v>
      </c>
      <c r="AN160" s="11" t="s">
        <v>131</v>
      </c>
      <c r="AO160" s="11" t="s">
        <v>131</v>
      </c>
      <c r="AP160" s="11" t="s">
        <v>131</v>
      </c>
      <c r="AQ160" s="11"/>
      <c r="AR160" s="7"/>
    </row>
    <row r="161" spans="1:44" ht="14.4" x14ac:dyDescent="0.3">
      <c r="A161" s="6" t="s">
        <v>292</v>
      </c>
      <c r="B161" s="6" t="s">
        <v>1008</v>
      </c>
      <c r="C161" s="6" t="s">
        <v>1039</v>
      </c>
      <c r="D161" s="6" t="s">
        <v>1010</v>
      </c>
      <c r="E161" s="6" t="s">
        <v>1040</v>
      </c>
      <c r="F161" s="7" t="s">
        <v>125</v>
      </c>
      <c r="G161" s="10"/>
      <c r="H161" s="7" t="s">
        <v>93</v>
      </c>
      <c r="I161" s="7"/>
      <c r="J161" s="10"/>
      <c r="K161" s="6" t="s">
        <v>90</v>
      </c>
      <c r="L161" s="7"/>
      <c r="M161" s="14"/>
      <c r="N161" s="7" t="s">
        <v>93</v>
      </c>
      <c r="O161" s="10"/>
      <c r="P161" s="7" t="s">
        <v>90</v>
      </c>
      <c r="Q161" s="15">
        <f>IF(P161="oui",MIN(Parametres!$B$4,MAX(Parametres!$B$3,IF(M161="",Parametres!$B$3,ROUND(M161*10%,0)))),"")</f>
        <v>0</v>
      </c>
      <c r="R161" s="7" t="s">
        <v>134</v>
      </c>
      <c r="S161" s="7" t="s">
        <v>90</v>
      </c>
      <c r="T161" s="15">
        <f>IF(S161="oui",Parametres!$B$5,"")</f>
        <v>500</v>
      </c>
      <c r="U161" s="7" t="s">
        <v>134</v>
      </c>
      <c r="V161" s="15">
        <f t="shared" si="8"/>
        <v>500</v>
      </c>
      <c r="W161" s="15" t="str">
        <f t="shared" si="9"/>
        <v/>
      </c>
      <c r="X161" s="6" t="s">
        <v>90</v>
      </c>
      <c r="Y161" s="7" t="s">
        <v>133</v>
      </c>
      <c r="Z161" s="10"/>
      <c r="AA161" s="6" t="s">
        <v>93</v>
      </c>
      <c r="AB161" s="7" t="s">
        <v>160</v>
      </c>
      <c r="AC161" s="10"/>
      <c r="AD161" s="9" t="str">
        <f t="shared" si="10"/>
        <v>oui</v>
      </c>
      <c r="AE161" s="9" t="str">
        <f t="shared" si="11"/>
        <v>TAE manquant</v>
      </c>
      <c r="AF161" s="7"/>
      <c r="AG161" s="10"/>
      <c r="AH161" s="10"/>
      <c r="AI161" s="7" t="s">
        <v>160</v>
      </c>
      <c r="AJ161" s="10"/>
      <c r="AK161" s="10"/>
      <c r="AL161" s="10"/>
      <c r="AM161" s="11" t="s">
        <v>131</v>
      </c>
      <c r="AN161" s="11" t="s">
        <v>131</v>
      </c>
      <c r="AO161" s="11" t="s">
        <v>131</v>
      </c>
      <c r="AP161" s="11" t="s">
        <v>131</v>
      </c>
      <c r="AQ161" s="11"/>
      <c r="AR161" s="7"/>
    </row>
    <row r="162" spans="1:44" ht="14.4" x14ac:dyDescent="0.3">
      <c r="A162" s="6" t="s">
        <v>292</v>
      </c>
      <c r="B162" s="6" t="s">
        <v>1008</v>
      </c>
      <c r="C162" s="6" t="s">
        <v>1043</v>
      </c>
      <c r="D162" s="6" t="s">
        <v>1010</v>
      </c>
      <c r="E162" s="6" t="s">
        <v>1044</v>
      </c>
      <c r="F162" s="7" t="s">
        <v>125</v>
      </c>
      <c r="G162" s="10"/>
      <c r="H162" s="7" t="s">
        <v>93</v>
      </c>
      <c r="I162" s="7"/>
      <c r="J162" s="10"/>
      <c r="K162" s="6" t="s">
        <v>90</v>
      </c>
      <c r="L162" s="7"/>
      <c r="M162" s="14"/>
      <c r="N162" s="7" t="s">
        <v>93</v>
      </c>
      <c r="O162" s="10"/>
      <c r="P162" s="7" t="s">
        <v>90</v>
      </c>
      <c r="Q162" s="15">
        <f>IF(P162="oui",MIN(Parametres!$B$4,MAX(Parametres!$B$3,IF(M162="",Parametres!$B$3,ROUND(M162*10%,0)))),"")</f>
        <v>0</v>
      </c>
      <c r="R162" s="7" t="s">
        <v>134</v>
      </c>
      <c r="S162" s="7" t="s">
        <v>90</v>
      </c>
      <c r="T162" s="15">
        <f>IF(S162="oui",Parametres!$B$5,"")</f>
        <v>500</v>
      </c>
      <c r="U162" s="7" t="s">
        <v>134</v>
      </c>
      <c r="V162" s="15">
        <f t="shared" si="8"/>
        <v>500</v>
      </c>
      <c r="W162" s="15" t="str">
        <f t="shared" si="9"/>
        <v/>
      </c>
      <c r="X162" s="6" t="s">
        <v>90</v>
      </c>
      <c r="Y162" s="7" t="s">
        <v>133</v>
      </c>
      <c r="Z162" s="10"/>
      <c r="AA162" s="6" t="s">
        <v>93</v>
      </c>
      <c r="AB162" s="7" t="s">
        <v>160</v>
      </c>
      <c r="AC162" s="10"/>
      <c r="AD162" s="9" t="str">
        <f t="shared" si="10"/>
        <v>oui</v>
      </c>
      <c r="AE162" s="9" t="str">
        <f t="shared" si="11"/>
        <v>TAE manquant</v>
      </c>
      <c r="AF162" s="7"/>
      <c r="AG162" s="10"/>
      <c r="AH162" s="10"/>
      <c r="AI162" s="7" t="s">
        <v>160</v>
      </c>
      <c r="AJ162" s="10"/>
      <c r="AK162" s="10"/>
      <c r="AL162" s="10"/>
      <c r="AM162" s="11" t="s">
        <v>131</v>
      </c>
      <c r="AN162" s="11" t="s">
        <v>131</v>
      </c>
      <c r="AO162" s="11" t="s">
        <v>131</v>
      </c>
      <c r="AP162" s="11" t="s">
        <v>131</v>
      </c>
      <c r="AQ162" s="11"/>
      <c r="AR162" s="7"/>
    </row>
    <row r="163" spans="1:44" ht="14.4" x14ac:dyDescent="0.3">
      <c r="A163" s="6" t="s">
        <v>292</v>
      </c>
      <c r="B163" s="6" t="s">
        <v>1008</v>
      </c>
      <c r="C163" s="6" t="s">
        <v>1049</v>
      </c>
      <c r="D163" s="6" t="s">
        <v>1010</v>
      </c>
      <c r="E163" s="6" t="s">
        <v>1050</v>
      </c>
      <c r="F163" s="7" t="s">
        <v>125</v>
      </c>
      <c r="G163" s="10"/>
      <c r="H163" s="7" t="s">
        <v>93</v>
      </c>
      <c r="I163" s="7"/>
      <c r="J163" s="10"/>
      <c r="K163" s="6" t="s">
        <v>90</v>
      </c>
      <c r="L163" s="7"/>
      <c r="M163" s="14"/>
      <c r="N163" s="7" t="s">
        <v>93</v>
      </c>
      <c r="O163" s="10"/>
      <c r="P163" s="7" t="s">
        <v>90</v>
      </c>
      <c r="Q163" s="15">
        <f>IF(P163="oui",MIN(Parametres!$B$4,MAX(Parametres!$B$3,IF(M163="",Parametres!$B$3,ROUND(M163*10%,0)))),"")</f>
        <v>0</v>
      </c>
      <c r="R163" s="7" t="s">
        <v>134</v>
      </c>
      <c r="S163" s="7" t="s">
        <v>90</v>
      </c>
      <c r="T163" s="15">
        <f>IF(S163="oui",Parametres!$B$5,"")</f>
        <v>500</v>
      </c>
      <c r="U163" s="7" t="s">
        <v>134</v>
      </c>
      <c r="V163" s="15">
        <f t="shared" si="8"/>
        <v>500</v>
      </c>
      <c r="W163" s="15" t="str">
        <f t="shared" si="9"/>
        <v/>
      </c>
      <c r="X163" s="6" t="s">
        <v>90</v>
      </c>
      <c r="Y163" s="7" t="s">
        <v>133</v>
      </c>
      <c r="Z163" s="10"/>
      <c r="AA163" s="6" t="s">
        <v>93</v>
      </c>
      <c r="AB163" s="7" t="s">
        <v>160</v>
      </c>
      <c r="AC163" s="10"/>
      <c r="AD163" s="9" t="str">
        <f t="shared" si="10"/>
        <v>oui</v>
      </c>
      <c r="AE163" s="9" t="str">
        <f t="shared" si="11"/>
        <v>TAE manquant</v>
      </c>
      <c r="AF163" s="7"/>
      <c r="AG163" s="10"/>
      <c r="AH163" s="10"/>
      <c r="AI163" s="7" t="s">
        <v>160</v>
      </c>
      <c r="AJ163" s="10"/>
      <c r="AK163" s="10"/>
      <c r="AL163" s="10"/>
      <c r="AM163" s="11" t="s">
        <v>131</v>
      </c>
      <c r="AN163" s="11" t="s">
        <v>131</v>
      </c>
      <c r="AO163" s="11" t="s">
        <v>131</v>
      </c>
      <c r="AP163" s="11" t="s">
        <v>131</v>
      </c>
      <c r="AQ163" s="11"/>
      <c r="AR163" s="7"/>
    </row>
    <row r="164" spans="1:44" ht="14.4" x14ac:dyDescent="0.3">
      <c r="A164" s="6" t="s">
        <v>292</v>
      </c>
      <c r="B164" s="6" t="s">
        <v>1008</v>
      </c>
      <c r="C164" s="6" t="s">
        <v>1052</v>
      </c>
      <c r="D164" s="6" t="s">
        <v>1010</v>
      </c>
      <c r="E164" s="6" t="s">
        <v>1053</v>
      </c>
      <c r="F164" s="7" t="s">
        <v>125</v>
      </c>
      <c r="G164" s="10"/>
      <c r="H164" s="7" t="s">
        <v>93</v>
      </c>
      <c r="I164" s="7"/>
      <c r="J164" s="10"/>
      <c r="K164" s="6" t="s">
        <v>90</v>
      </c>
      <c r="L164" s="7"/>
      <c r="M164" s="14"/>
      <c r="N164" s="7" t="s">
        <v>93</v>
      </c>
      <c r="O164" s="10"/>
      <c r="P164" s="7" t="s">
        <v>90</v>
      </c>
      <c r="Q164" s="15">
        <f>IF(P164="oui",MIN(Parametres!$B$4,MAX(Parametres!$B$3,IF(M164="",Parametres!$B$3,ROUND(M164*10%,0)))),"")</f>
        <v>0</v>
      </c>
      <c r="R164" s="7" t="s">
        <v>134</v>
      </c>
      <c r="S164" s="7" t="s">
        <v>90</v>
      </c>
      <c r="T164" s="15">
        <f>IF(S164="oui",Parametres!$B$5,"")</f>
        <v>500</v>
      </c>
      <c r="U164" s="7" t="s">
        <v>134</v>
      </c>
      <c r="V164" s="15">
        <f t="shared" si="8"/>
        <v>500</v>
      </c>
      <c r="W164" s="15" t="str">
        <f t="shared" si="9"/>
        <v/>
      </c>
      <c r="X164" s="6" t="s">
        <v>90</v>
      </c>
      <c r="Y164" s="7" t="s">
        <v>133</v>
      </c>
      <c r="Z164" s="10"/>
      <c r="AA164" s="6" t="s">
        <v>93</v>
      </c>
      <c r="AB164" s="7" t="s">
        <v>160</v>
      </c>
      <c r="AC164" s="10"/>
      <c r="AD164" s="9" t="str">
        <f t="shared" si="10"/>
        <v>oui</v>
      </c>
      <c r="AE164" s="9" t="str">
        <f t="shared" si="11"/>
        <v>TAE manquant</v>
      </c>
      <c r="AF164" s="7"/>
      <c r="AG164" s="10"/>
      <c r="AH164" s="10"/>
      <c r="AI164" s="7" t="s">
        <v>160</v>
      </c>
      <c r="AJ164" s="10"/>
      <c r="AK164" s="10"/>
      <c r="AL164" s="10"/>
      <c r="AM164" s="11" t="s">
        <v>131</v>
      </c>
      <c r="AN164" s="11" t="s">
        <v>131</v>
      </c>
      <c r="AO164" s="11" t="s">
        <v>131</v>
      </c>
      <c r="AP164" s="11" t="s">
        <v>131</v>
      </c>
      <c r="AQ164" s="11"/>
      <c r="AR164" s="7"/>
    </row>
    <row r="165" spans="1:44" ht="14.4" x14ac:dyDescent="0.3">
      <c r="A165" s="6" t="s">
        <v>292</v>
      </c>
      <c r="B165" s="6" t="s">
        <v>1059</v>
      </c>
      <c r="C165" s="6" t="s">
        <v>1060</v>
      </c>
      <c r="D165" s="6" t="s">
        <v>1061</v>
      </c>
      <c r="E165" s="6" t="s">
        <v>1062</v>
      </c>
      <c r="F165" s="7" t="s">
        <v>125</v>
      </c>
      <c r="G165" s="10"/>
      <c r="H165" s="7" t="s">
        <v>93</v>
      </c>
      <c r="I165" s="7"/>
      <c r="J165" s="10"/>
      <c r="K165" s="6" t="s">
        <v>90</v>
      </c>
      <c r="L165" s="7"/>
      <c r="M165" s="14"/>
      <c r="N165" s="7" t="s">
        <v>93</v>
      </c>
      <c r="O165" s="10"/>
      <c r="P165" s="7" t="s">
        <v>90</v>
      </c>
      <c r="Q165" s="15">
        <f>IF(P165="oui",MIN(Parametres!$B$4,MAX(Parametres!$B$3,IF(M165="",Parametres!$B$3,ROUND(M165*10%,0)))),"")</f>
        <v>0</v>
      </c>
      <c r="R165" s="7" t="s">
        <v>134</v>
      </c>
      <c r="S165" s="7" t="s">
        <v>90</v>
      </c>
      <c r="T165" s="15">
        <f>IF(S165="oui",Parametres!$B$5,"")</f>
        <v>500</v>
      </c>
      <c r="U165" s="7" t="s">
        <v>134</v>
      </c>
      <c r="V165" s="15">
        <f t="shared" si="8"/>
        <v>500</v>
      </c>
      <c r="W165" s="15" t="str">
        <f t="shared" si="9"/>
        <v/>
      </c>
      <c r="X165" s="6" t="s">
        <v>90</v>
      </c>
      <c r="Y165" s="7" t="s">
        <v>133</v>
      </c>
      <c r="Z165" s="10"/>
      <c r="AA165" s="6" t="s">
        <v>93</v>
      </c>
      <c r="AB165" s="7" t="s">
        <v>160</v>
      </c>
      <c r="AC165" s="10"/>
      <c r="AD165" s="9" t="str">
        <f t="shared" si="10"/>
        <v>oui</v>
      </c>
      <c r="AE165" s="9" t="str">
        <f t="shared" si="11"/>
        <v>TAE manquant</v>
      </c>
      <c r="AF165" s="7"/>
      <c r="AG165" s="10"/>
      <c r="AH165" s="10"/>
      <c r="AI165" s="7" t="s">
        <v>160</v>
      </c>
      <c r="AJ165" s="10"/>
      <c r="AK165" s="10"/>
      <c r="AL165" s="10"/>
      <c r="AM165" s="11" t="s">
        <v>131</v>
      </c>
      <c r="AN165" s="11" t="s">
        <v>131</v>
      </c>
      <c r="AO165" s="11" t="s">
        <v>131</v>
      </c>
      <c r="AP165" s="11" t="s">
        <v>131</v>
      </c>
      <c r="AQ165" s="11"/>
      <c r="AR165" s="7"/>
    </row>
    <row r="166" spans="1:44" ht="14.4" x14ac:dyDescent="0.3">
      <c r="A166" s="6" t="s">
        <v>292</v>
      </c>
      <c r="B166" s="6" t="s">
        <v>1059</v>
      </c>
      <c r="C166" s="6" t="s">
        <v>1068</v>
      </c>
      <c r="D166" s="6" t="s">
        <v>1061</v>
      </c>
      <c r="E166" s="6" t="s">
        <v>1069</v>
      </c>
      <c r="F166" s="7" t="s">
        <v>125</v>
      </c>
      <c r="G166" s="10"/>
      <c r="H166" s="7" t="s">
        <v>93</v>
      </c>
      <c r="I166" s="7"/>
      <c r="J166" s="10"/>
      <c r="K166" s="6" t="s">
        <v>90</v>
      </c>
      <c r="L166" s="7"/>
      <c r="M166" s="14"/>
      <c r="N166" s="7" t="s">
        <v>93</v>
      </c>
      <c r="O166" s="10"/>
      <c r="P166" s="7" t="s">
        <v>90</v>
      </c>
      <c r="Q166" s="15">
        <f>IF(P166="oui",MIN(Parametres!$B$4,MAX(Parametres!$B$3,IF(M166="",Parametres!$B$3,ROUND(M166*10%,0)))),"")</f>
        <v>0</v>
      </c>
      <c r="R166" s="7" t="s">
        <v>134</v>
      </c>
      <c r="S166" s="7" t="s">
        <v>90</v>
      </c>
      <c r="T166" s="15">
        <f>IF(S166="oui",Parametres!$B$5,"")</f>
        <v>500</v>
      </c>
      <c r="U166" s="7" t="s">
        <v>134</v>
      </c>
      <c r="V166" s="15">
        <f t="shared" si="8"/>
        <v>500</v>
      </c>
      <c r="W166" s="15" t="str">
        <f t="shared" si="9"/>
        <v/>
      </c>
      <c r="X166" s="6" t="s">
        <v>90</v>
      </c>
      <c r="Y166" s="7" t="s">
        <v>133</v>
      </c>
      <c r="Z166" s="10"/>
      <c r="AA166" s="6" t="s">
        <v>93</v>
      </c>
      <c r="AB166" s="7" t="s">
        <v>160</v>
      </c>
      <c r="AC166" s="10"/>
      <c r="AD166" s="9" t="str">
        <f t="shared" si="10"/>
        <v>oui</v>
      </c>
      <c r="AE166" s="9" t="str">
        <f t="shared" si="11"/>
        <v>TAE manquant</v>
      </c>
      <c r="AF166" s="7"/>
      <c r="AG166" s="10"/>
      <c r="AH166" s="10"/>
      <c r="AI166" s="7" t="s">
        <v>160</v>
      </c>
      <c r="AJ166" s="10"/>
      <c r="AK166" s="10"/>
      <c r="AL166" s="10"/>
      <c r="AM166" s="11" t="s">
        <v>131</v>
      </c>
      <c r="AN166" s="11" t="s">
        <v>131</v>
      </c>
      <c r="AO166" s="11" t="s">
        <v>131</v>
      </c>
      <c r="AP166" s="11" t="s">
        <v>131</v>
      </c>
      <c r="AQ166" s="11"/>
      <c r="AR166" s="7"/>
    </row>
    <row r="167" spans="1:44" ht="27.6" x14ac:dyDescent="0.3">
      <c r="A167" s="6" t="s">
        <v>292</v>
      </c>
      <c r="B167" s="6" t="s">
        <v>1073</v>
      </c>
      <c r="C167" s="6" t="s">
        <v>1074</v>
      </c>
      <c r="D167" s="6" t="s">
        <v>85</v>
      </c>
      <c r="E167" s="6" t="s">
        <v>1075</v>
      </c>
      <c r="F167" s="7" t="s">
        <v>125</v>
      </c>
      <c r="G167" s="10"/>
      <c r="H167" s="7" t="s">
        <v>93</v>
      </c>
      <c r="I167" s="7"/>
      <c r="J167" s="10"/>
      <c r="K167" s="6" t="s">
        <v>93</v>
      </c>
      <c r="L167" s="7"/>
      <c r="M167" s="14"/>
      <c r="N167" s="7" t="s">
        <v>93</v>
      </c>
      <c r="O167" s="10"/>
      <c r="P167" s="7" t="s">
        <v>93</v>
      </c>
      <c r="Q167" s="15" t="str">
        <f>IF(P167="oui",MIN(Parametres!$B$4,MAX(Parametres!$B$3,IF(M167="",Parametres!$B$3,ROUND(M167*10%,0)))),"")</f>
        <v/>
      </c>
      <c r="R167" s="7" t="s">
        <v>160</v>
      </c>
      <c r="S167" s="7" t="s">
        <v>93</v>
      </c>
      <c r="T167" s="15" t="str">
        <f>IF(S167="oui",Parametres!$B$5,"")</f>
        <v/>
      </c>
      <c r="U167" s="7" t="s">
        <v>160</v>
      </c>
      <c r="V167" s="15">
        <f t="shared" si="8"/>
        <v>0</v>
      </c>
      <c r="W167" s="15" t="str">
        <f t="shared" si="9"/>
        <v/>
      </c>
      <c r="X167" s="6" t="s">
        <v>93</v>
      </c>
      <c r="Y167" s="7" t="s">
        <v>160</v>
      </c>
      <c r="Z167" s="10"/>
      <c r="AA167" s="6" t="s">
        <v>93</v>
      </c>
      <c r="AB167" s="7" t="s">
        <v>160</v>
      </c>
      <c r="AC167" s="10"/>
      <c r="AD167" s="9" t="str">
        <f t="shared" si="10"/>
        <v>oui</v>
      </c>
      <c r="AE167" s="9" t="str">
        <f t="shared" si="11"/>
        <v>Résidence ou logement non vendable</v>
      </c>
      <c r="AF167" s="7"/>
      <c r="AG167" s="10"/>
      <c r="AH167" s="10"/>
      <c r="AI167" s="7" t="s">
        <v>160</v>
      </c>
      <c r="AJ167" s="10"/>
      <c r="AK167" s="10"/>
      <c r="AL167" s="10"/>
      <c r="AM167" s="11" t="s">
        <v>160</v>
      </c>
      <c r="AN167" s="11" t="s">
        <v>160</v>
      </c>
      <c r="AO167" s="11" t="s">
        <v>160</v>
      </c>
      <c r="AP167" s="11" t="s">
        <v>160</v>
      </c>
      <c r="AQ167" s="11"/>
      <c r="AR167" s="7"/>
    </row>
    <row r="168" spans="1:44" ht="27.6" x14ac:dyDescent="0.3">
      <c r="A168" s="6" t="s">
        <v>292</v>
      </c>
      <c r="B168" s="6" t="s">
        <v>1073</v>
      </c>
      <c r="C168" s="6" t="s">
        <v>1078</v>
      </c>
      <c r="D168" s="6" t="s">
        <v>85</v>
      </c>
      <c r="E168" s="6" t="s">
        <v>1079</v>
      </c>
      <c r="F168" s="7" t="s">
        <v>125</v>
      </c>
      <c r="G168" s="10"/>
      <c r="H168" s="7" t="s">
        <v>93</v>
      </c>
      <c r="I168" s="7"/>
      <c r="J168" s="10"/>
      <c r="K168" s="6" t="s">
        <v>93</v>
      </c>
      <c r="L168" s="7"/>
      <c r="M168" s="14"/>
      <c r="N168" s="7" t="s">
        <v>93</v>
      </c>
      <c r="O168" s="10"/>
      <c r="P168" s="7" t="s">
        <v>93</v>
      </c>
      <c r="Q168" s="15" t="str">
        <f>IF(P168="oui",MIN(Parametres!$B$4,MAX(Parametres!$B$3,IF(M168="",Parametres!$B$3,ROUND(M168*10%,0)))),"")</f>
        <v/>
      </c>
      <c r="R168" s="7" t="s">
        <v>160</v>
      </c>
      <c r="S168" s="7" t="s">
        <v>93</v>
      </c>
      <c r="T168" s="15" t="str">
        <f>IF(S168="oui",Parametres!$B$5,"")</f>
        <v/>
      </c>
      <c r="U168" s="7" t="s">
        <v>160</v>
      </c>
      <c r="V168" s="15">
        <f t="shared" si="8"/>
        <v>0</v>
      </c>
      <c r="W168" s="15" t="str">
        <f t="shared" si="9"/>
        <v/>
      </c>
      <c r="X168" s="6" t="s">
        <v>93</v>
      </c>
      <c r="Y168" s="7" t="s">
        <v>160</v>
      </c>
      <c r="Z168" s="10"/>
      <c r="AA168" s="6" t="s">
        <v>93</v>
      </c>
      <c r="AB168" s="7" t="s">
        <v>160</v>
      </c>
      <c r="AC168" s="10"/>
      <c r="AD168" s="9" t="str">
        <f t="shared" si="10"/>
        <v>oui</v>
      </c>
      <c r="AE168" s="9" t="str">
        <f t="shared" si="11"/>
        <v>Résidence ou logement non vendable</v>
      </c>
      <c r="AF168" s="7"/>
      <c r="AG168" s="10"/>
      <c r="AH168" s="10"/>
      <c r="AI168" s="7" t="s">
        <v>160</v>
      </c>
      <c r="AJ168" s="10"/>
      <c r="AK168" s="10"/>
      <c r="AL168" s="10"/>
      <c r="AM168" s="11" t="s">
        <v>160</v>
      </c>
      <c r="AN168" s="11" t="s">
        <v>160</v>
      </c>
      <c r="AO168" s="11" t="s">
        <v>160</v>
      </c>
      <c r="AP168" s="11" t="s">
        <v>160</v>
      </c>
      <c r="AQ168" s="11"/>
      <c r="AR168" s="7"/>
    </row>
    <row r="169" spans="1:44" ht="27.6" x14ac:dyDescent="0.3">
      <c r="A169" s="6" t="s">
        <v>292</v>
      </c>
      <c r="B169" s="6" t="s">
        <v>1073</v>
      </c>
      <c r="C169" s="6" t="s">
        <v>1084</v>
      </c>
      <c r="D169" s="6" t="s">
        <v>85</v>
      </c>
      <c r="E169" s="6" t="s">
        <v>1085</v>
      </c>
      <c r="F169" s="7" t="s">
        <v>125</v>
      </c>
      <c r="G169" s="10"/>
      <c r="H169" s="7" t="s">
        <v>93</v>
      </c>
      <c r="I169" s="7"/>
      <c r="J169" s="10"/>
      <c r="K169" s="6" t="s">
        <v>93</v>
      </c>
      <c r="L169" s="7"/>
      <c r="M169" s="14"/>
      <c r="N169" s="7" t="s">
        <v>93</v>
      </c>
      <c r="O169" s="10"/>
      <c r="P169" s="7" t="s">
        <v>93</v>
      </c>
      <c r="Q169" s="15" t="str">
        <f>IF(P169="oui",MIN(Parametres!$B$4,MAX(Parametres!$B$3,IF(M169="",Parametres!$B$3,ROUND(M169*10%,0)))),"")</f>
        <v/>
      </c>
      <c r="R169" s="7" t="s">
        <v>160</v>
      </c>
      <c r="S169" s="7" t="s">
        <v>93</v>
      </c>
      <c r="T169" s="15" t="str">
        <f>IF(S169="oui",Parametres!$B$5,"")</f>
        <v/>
      </c>
      <c r="U169" s="7" t="s">
        <v>160</v>
      </c>
      <c r="V169" s="15">
        <f t="shared" si="8"/>
        <v>0</v>
      </c>
      <c r="W169" s="15" t="str">
        <f t="shared" si="9"/>
        <v/>
      </c>
      <c r="X169" s="6" t="s">
        <v>93</v>
      </c>
      <c r="Y169" s="7" t="s">
        <v>160</v>
      </c>
      <c r="Z169" s="10"/>
      <c r="AA169" s="6" t="s">
        <v>93</v>
      </c>
      <c r="AB169" s="7" t="s">
        <v>160</v>
      </c>
      <c r="AC169" s="10"/>
      <c r="AD169" s="9" t="str">
        <f t="shared" si="10"/>
        <v>oui</v>
      </c>
      <c r="AE169" s="9" t="str">
        <f t="shared" si="11"/>
        <v>Résidence ou logement non vendable</v>
      </c>
      <c r="AF169" s="7"/>
      <c r="AG169" s="10"/>
      <c r="AH169" s="10"/>
      <c r="AI169" s="7" t="s">
        <v>160</v>
      </c>
      <c r="AJ169" s="10"/>
      <c r="AK169" s="10"/>
      <c r="AL169" s="10"/>
      <c r="AM169" s="11" t="s">
        <v>160</v>
      </c>
      <c r="AN169" s="11" t="s">
        <v>160</v>
      </c>
      <c r="AO169" s="11" t="s">
        <v>160</v>
      </c>
      <c r="AP169" s="11" t="s">
        <v>160</v>
      </c>
      <c r="AQ169" s="11"/>
      <c r="AR169" s="7"/>
    </row>
    <row r="170" spans="1:44" ht="27.6" x14ac:dyDescent="0.3">
      <c r="A170" s="6" t="s">
        <v>292</v>
      </c>
      <c r="B170" s="6" t="s">
        <v>1073</v>
      </c>
      <c r="C170" s="6" t="s">
        <v>1088</v>
      </c>
      <c r="D170" s="6" t="s">
        <v>85</v>
      </c>
      <c r="E170" s="6" t="s">
        <v>1089</v>
      </c>
      <c r="F170" s="7" t="s">
        <v>125</v>
      </c>
      <c r="G170" s="10"/>
      <c r="H170" s="7" t="s">
        <v>93</v>
      </c>
      <c r="I170" s="7"/>
      <c r="J170" s="10"/>
      <c r="K170" s="6" t="s">
        <v>93</v>
      </c>
      <c r="L170" s="7"/>
      <c r="M170" s="14"/>
      <c r="N170" s="7" t="s">
        <v>93</v>
      </c>
      <c r="O170" s="10"/>
      <c r="P170" s="7" t="s">
        <v>93</v>
      </c>
      <c r="Q170" s="15" t="str">
        <f>IF(P170="oui",MIN(Parametres!$B$4,MAX(Parametres!$B$3,IF(M170="",Parametres!$B$3,ROUND(M170*10%,0)))),"")</f>
        <v/>
      </c>
      <c r="R170" s="7" t="s">
        <v>160</v>
      </c>
      <c r="S170" s="7" t="s">
        <v>93</v>
      </c>
      <c r="T170" s="15" t="str">
        <f>IF(S170="oui",Parametres!$B$5,"")</f>
        <v/>
      </c>
      <c r="U170" s="7" t="s">
        <v>160</v>
      </c>
      <c r="V170" s="15">
        <f t="shared" si="8"/>
        <v>0</v>
      </c>
      <c r="W170" s="15" t="str">
        <f t="shared" si="9"/>
        <v/>
      </c>
      <c r="X170" s="6" t="s">
        <v>93</v>
      </c>
      <c r="Y170" s="7" t="s">
        <v>160</v>
      </c>
      <c r="Z170" s="10"/>
      <c r="AA170" s="6" t="s">
        <v>93</v>
      </c>
      <c r="AB170" s="7" t="s">
        <v>160</v>
      </c>
      <c r="AC170" s="10"/>
      <c r="AD170" s="9" t="str">
        <f t="shared" si="10"/>
        <v>oui</v>
      </c>
      <c r="AE170" s="9" t="str">
        <f t="shared" si="11"/>
        <v>Résidence ou logement non vendable</v>
      </c>
      <c r="AF170" s="7"/>
      <c r="AG170" s="10"/>
      <c r="AH170" s="10"/>
      <c r="AI170" s="7" t="s">
        <v>160</v>
      </c>
      <c r="AJ170" s="10"/>
      <c r="AK170" s="10"/>
      <c r="AL170" s="10"/>
      <c r="AM170" s="11" t="s">
        <v>160</v>
      </c>
      <c r="AN170" s="11" t="s">
        <v>160</v>
      </c>
      <c r="AO170" s="11" t="s">
        <v>160</v>
      </c>
      <c r="AP170" s="11" t="s">
        <v>160</v>
      </c>
      <c r="AQ170" s="11"/>
      <c r="AR170" s="7"/>
    </row>
    <row r="171" spans="1:44" ht="27.6" x14ac:dyDescent="0.3">
      <c r="A171" s="6" t="s">
        <v>292</v>
      </c>
      <c r="B171" s="6" t="s">
        <v>1073</v>
      </c>
      <c r="C171" s="6" t="s">
        <v>1093</v>
      </c>
      <c r="D171" s="6" t="s">
        <v>85</v>
      </c>
      <c r="E171" s="6" t="s">
        <v>1094</v>
      </c>
      <c r="F171" s="7" t="s">
        <v>125</v>
      </c>
      <c r="G171" s="10"/>
      <c r="H171" s="7" t="s">
        <v>93</v>
      </c>
      <c r="I171" s="7"/>
      <c r="J171" s="10"/>
      <c r="K171" s="6" t="s">
        <v>93</v>
      </c>
      <c r="L171" s="7"/>
      <c r="M171" s="14"/>
      <c r="N171" s="7" t="s">
        <v>93</v>
      </c>
      <c r="O171" s="10"/>
      <c r="P171" s="7" t="s">
        <v>93</v>
      </c>
      <c r="Q171" s="15" t="str">
        <f>IF(P171="oui",MIN(Parametres!$B$4,MAX(Parametres!$B$3,IF(M171="",Parametres!$B$3,ROUND(M171*10%,0)))),"")</f>
        <v/>
      </c>
      <c r="R171" s="7" t="s">
        <v>160</v>
      </c>
      <c r="S171" s="7" t="s">
        <v>93</v>
      </c>
      <c r="T171" s="15" t="str">
        <f>IF(S171="oui",Parametres!$B$5,"")</f>
        <v/>
      </c>
      <c r="U171" s="7" t="s">
        <v>160</v>
      </c>
      <c r="V171" s="15">
        <f t="shared" si="8"/>
        <v>0</v>
      </c>
      <c r="W171" s="15" t="str">
        <f t="shared" si="9"/>
        <v/>
      </c>
      <c r="X171" s="6" t="s">
        <v>93</v>
      </c>
      <c r="Y171" s="7" t="s">
        <v>160</v>
      </c>
      <c r="Z171" s="10"/>
      <c r="AA171" s="6" t="s">
        <v>93</v>
      </c>
      <c r="AB171" s="7" t="s">
        <v>160</v>
      </c>
      <c r="AC171" s="10"/>
      <c r="AD171" s="9" t="str">
        <f t="shared" si="10"/>
        <v>oui</v>
      </c>
      <c r="AE171" s="9" t="str">
        <f t="shared" si="11"/>
        <v>Résidence ou logement non vendable</v>
      </c>
      <c r="AF171" s="7"/>
      <c r="AG171" s="10"/>
      <c r="AH171" s="10"/>
      <c r="AI171" s="7" t="s">
        <v>160</v>
      </c>
      <c r="AJ171" s="10"/>
      <c r="AK171" s="10"/>
      <c r="AL171" s="10"/>
      <c r="AM171" s="11" t="s">
        <v>160</v>
      </c>
      <c r="AN171" s="11" t="s">
        <v>160</v>
      </c>
      <c r="AO171" s="11" t="s">
        <v>160</v>
      </c>
      <c r="AP171" s="11" t="s">
        <v>160</v>
      </c>
      <c r="AQ171" s="11"/>
      <c r="AR171" s="7"/>
    </row>
    <row r="172" spans="1:44" ht="27.6" x14ac:dyDescent="0.3">
      <c r="A172" s="6" t="s">
        <v>292</v>
      </c>
      <c r="B172" s="6" t="s">
        <v>1073</v>
      </c>
      <c r="C172" s="6" t="s">
        <v>1098</v>
      </c>
      <c r="D172" s="6" t="s">
        <v>85</v>
      </c>
      <c r="E172" s="6" t="s">
        <v>1099</v>
      </c>
      <c r="F172" s="7" t="s">
        <v>125</v>
      </c>
      <c r="G172" s="10"/>
      <c r="H172" s="7" t="s">
        <v>93</v>
      </c>
      <c r="I172" s="7"/>
      <c r="J172" s="10"/>
      <c r="K172" s="6" t="s">
        <v>93</v>
      </c>
      <c r="L172" s="7"/>
      <c r="M172" s="14"/>
      <c r="N172" s="7" t="s">
        <v>93</v>
      </c>
      <c r="O172" s="10"/>
      <c r="P172" s="7" t="s">
        <v>93</v>
      </c>
      <c r="Q172" s="15" t="str">
        <f>IF(P172="oui",MIN(Parametres!$B$4,MAX(Parametres!$B$3,IF(M172="",Parametres!$B$3,ROUND(M172*10%,0)))),"")</f>
        <v/>
      </c>
      <c r="R172" s="7" t="s">
        <v>160</v>
      </c>
      <c r="S172" s="7" t="s">
        <v>93</v>
      </c>
      <c r="T172" s="15" t="str">
        <f>IF(S172="oui",Parametres!$B$5,"")</f>
        <v/>
      </c>
      <c r="U172" s="7" t="s">
        <v>160</v>
      </c>
      <c r="V172" s="15">
        <f t="shared" si="8"/>
        <v>0</v>
      </c>
      <c r="W172" s="15" t="str">
        <f t="shared" si="9"/>
        <v/>
      </c>
      <c r="X172" s="6" t="s">
        <v>93</v>
      </c>
      <c r="Y172" s="7" t="s">
        <v>160</v>
      </c>
      <c r="Z172" s="10"/>
      <c r="AA172" s="6" t="s">
        <v>93</v>
      </c>
      <c r="AB172" s="7" t="s">
        <v>160</v>
      </c>
      <c r="AC172" s="10"/>
      <c r="AD172" s="9" t="str">
        <f t="shared" si="10"/>
        <v>oui</v>
      </c>
      <c r="AE172" s="9" t="str">
        <f t="shared" si="11"/>
        <v>Résidence ou logement non vendable</v>
      </c>
      <c r="AF172" s="7"/>
      <c r="AG172" s="10"/>
      <c r="AH172" s="10"/>
      <c r="AI172" s="7" t="s">
        <v>160</v>
      </c>
      <c r="AJ172" s="10"/>
      <c r="AK172" s="10"/>
      <c r="AL172" s="10"/>
      <c r="AM172" s="11" t="s">
        <v>160</v>
      </c>
      <c r="AN172" s="11" t="s">
        <v>160</v>
      </c>
      <c r="AO172" s="11" t="s">
        <v>160</v>
      </c>
      <c r="AP172" s="11" t="s">
        <v>160</v>
      </c>
      <c r="AQ172" s="11"/>
      <c r="AR172" s="7"/>
    </row>
    <row r="173" spans="1:44" ht="27.6" x14ac:dyDescent="0.3">
      <c r="A173" s="6" t="s">
        <v>292</v>
      </c>
      <c r="B173" s="6" t="s">
        <v>1073</v>
      </c>
      <c r="C173" s="6" t="s">
        <v>1102</v>
      </c>
      <c r="D173" s="6" t="s">
        <v>85</v>
      </c>
      <c r="E173" s="6" t="s">
        <v>1103</v>
      </c>
      <c r="F173" s="7" t="s">
        <v>125</v>
      </c>
      <c r="G173" s="10"/>
      <c r="H173" s="7" t="s">
        <v>93</v>
      </c>
      <c r="I173" s="7"/>
      <c r="J173" s="10"/>
      <c r="K173" s="6" t="s">
        <v>93</v>
      </c>
      <c r="L173" s="7"/>
      <c r="M173" s="14"/>
      <c r="N173" s="7" t="s">
        <v>93</v>
      </c>
      <c r="O173" s="10"/>
      <c r="P173" s="7" t="s">
        <v>93</v>
      </c>
      <c r="Q173" s="15" t="str">
        <f>IF(P173="oui",MIN(Parametres!$B$4,MAX(Parametres!$B$3,IF(M173="",Parametres!$B$3,ROUND(M173*10%,0)))),"")</f>
        <v/>
      </c>
      <c r="R173" s="7" t="s">
        <v>160</v>
      </c>
      <c r="S173" s="7" t="s">
        <v>93</v>
      </c>
      <c r="T173" s="15" t="str">
        <f>IF(S173="oui",Parametres!$B$5,"")</f>
        <v/>
      </c>
      <c r="U173" s="7" t="s">
        <v>160</v>
      </c>
      <c r="V173" s="15">
        <f t="shared" si="8"/>
        <v>0</v>
      </c>
      <c r="W173" s="15" t="str">
        <f t="shared" si="9"/>
        <v/>
      </c>
      <c r="X173" s="6" t="s">
        <v>93</v>
      </c>
      <c r="Y173" s="7" t="s">
        <v>160</v>
      </c>
      <c r="Z173" s="10"/>
      <c r="AA173" s="6" t="s">
        <v>93</v>
      </c>
      <c r="AB173" s="7" t="s">
        <v>160</v>
      </c>
      <c r="AC173" s="10"/>
      <c r="AD173" s="9" t="str">
        <f t="shared" si="10"/>
        <v>oui</v>
      </c>
      <c r="AE173" s="9" t="str">
        <f t="shared" si="11"/>
        <v>Résidence ou logement non vendable</v>
      </c>
      <c r="AF173" s="7"/>
      <c r="AG173" s="10"/>
      <c r="AH173" s="10"/>
      <c r="AI173" s="7" t="s">
        <v>160</v>
      </c>
      <c r="AJ173" s="10"/>
      <c r="AK173" s="10"/>
      <c r="AL173" s="10"/>
      <c r="AM173" s="11" t="s">
        <v>160</v>
      </c>
      <c r="AN173" s="11" t="s">
        <v>160</v>
      </c>
      <c r="AO173" s="11" t="s">
        <v>160</v>
      </c>
      <c r="AP173" s="11" t="s">
        <v>160</v>
      </c>
      <c r="AQ173" s="11"/>
      <c r="AR173" s="7"/>
    </row>
    <row r="174" spans="1:44" ht="27.6" x14ac:dyDescent="0.3">
      <c r="A174" s="6" t="s">
        <v>292</v>
      </c>
      <c r="B174" s="6" t="s">
        <v>1073</v>
      </c>
      <c r="C174" s="6" t="s">
        <v>1105</v>
      </c>
      <c r="D174" s="6" t="s">
        <v>85</v>
      </c>
      <c r="E174" s="6" t="s">
        <v>1106</v>
      </c>
      <c r="F174" s="7" t="s">
        <v>125</v>
      </c>
      <c r="G174" s="10"/>
      <c r="H174" s="7" t="s">
        <v>93</v>
      </c>
      <c r="I174" s="7"/>
      <c r="J174" s="10"/>
      <c r="K174" s="6" t="s">
        <v>93</v>
      </c>
      <c r="L174" s="7"/>
      <c r="M174" s="14"/>
      <c r="N174" s="7" t="s">
        <v>93</v>
      </c>
      <c r="O174" s="10"/>
      <c r="P174" s="7" t="s">
        <v>93</v>
      </c>
      <c r="Q174" s="15" t="str">
        <f>IF(P174="oui",MIN(Parametres!$B$4,MAX(Parametres!$B$3,IF(M174="",Parametres!$B$3,ROUND(M174*10%,0)))),"")</f>
        <v/>
      </c>
      <c r="R174" s="7" t="s">
        <v>160</v>
      </c>
      <c r="S174" s="7" t="s">
        <v>93</v>
      </c>
      <c r="T174" s="15" t="str">
        <f>IF(S174="oui",Parametres!$B$5,"")</f>
        <v/>
      </c>
      <c r="U174" s="7" t="s">
        <v>160</v>
      </c>
      <c r="V174" s="15">
        <f t="shared" si="8"/>
        <v>0</v>
      </c>
      <c r="W174" s="15" t="str">
        <f t="shared" si="9"/>
        <v/>
      </c>
      <c r="X174" s="6" t="s">
        <v>93</v>
      </c>
      <c r="Y174" s="7" t="s">
        <v>160</v>
      </c>
      <c r="Z174" s="10"/>
      <c r="AA174" s="6" t="s">
        <v>93</v>
      </c>
      <c r="AB174" s="7" t="s">
        <v>160</v>
      </c>
      <c r="AC174" s="10"/>
      <c r="AD174" s="9" t="str">
        <f t="shared" si="10"/>
        <v>oui</v>
      </c>
      <c r="AE174" s="9" t="str">
        <f t="shared" si="11"/>
        <v>Résidence ou logement non vendable</v>
      </c>
      <c r="AF174" s="7"/>
      <c r="AG174" s="10"/>
      <c r="AH174" s="10"/>
      <c r="AI174" s="7" t="s">
        <v>160</v>
      </c>
      <c r="AJ174" s="10"/>
      <c r="AK174" s="10"/>
      <c r="AL174" s="10"/>
      <c r="AM174" s="11" t="s">
        <v>160</v>
      </c>
      <c r="AN174" s="11" t="s">
        <v>160</v>
      </c>
      <c r="AO174" s="11" t="s">
        <v>160</v>
      </c>
      <c r="AP174" s="11" t="s">
        <v>160</v>
      </c>
      <c r="AQ174" s="11"/>
      <c r="AR174" s="7"/>
    </row>
    <row r="175" spans="1:44" ht="27.6" x14ac:dyDescent="0.3">
      <c r="A175" s="6" t="s">
        <v>292</v>
      </c>
      <c r="B175" s="6" t="s">
        <v>1073</v>
      </c>
      <c r="C175" s="6" t="s">
        <v>1111</v>
      </c>
      <c r="D175" s="6" t="s">
        <v>85</v>
      </c>
      <c r="E175" s="6" t="s">
        <v>1112</v>
      </c>
      <c r="F175" s="7" t="s">
        <v>125</v>
      </c>
      <c r="G175" s="10"/>
      <c r="H175" s="7" t="s">
        <v>93</v>
      </c>
      <c r="I175" s="7"/>
      <c r="J175" s="10"/>
      <c r="K175" s="6" t="s">
        <v>93</v>
      </c>
      <c r="L175" s="7"/>
      <c r="M175" s="14"/>
      <c r="N175" s="7" t="s">
        <v>93</v>
      </c>
      <c r="O175" s="10"/>
      <c r="P175" s="7" t="s">
        <v>93</v>
      </c>
      <c r="Q175" s="15" t="str">
        <f>IF(P175="oui",MIN(Parametres!$B$4,MAX(Parametres!$B$3,IF(M175="",Parametres!$B$3,ROUND(M175*10%,0)))),"")</f>
        <v/>
      </c>
      <c r="R175" s="7" t="s">
        <v>160</v>
      </c>
      <c r="S175" s="7" t="s">
        <v>93</v>
      </c>
      <c r="T175" s="15" t="str">
        <f>IF(S175="oui",Parametres!$B$5,"")</f>
        <v/>
      </c>
      <c r="U175" s="7" t="s">
        <v>160</v>
      </c>
      <c r="V175" s="15">
        <f t="shared" si="8"/>
        <v>0</v>
      </c>
      <c r="W175" s="15" t="str">
        <f t="shared" si="9"/>
        <v/>
      </c>
      <c r="X175" s="6" t="s">
        <v>93</v>
      </c>
      <c r="Y175" s="7" t="s">
        <v>160</v>
      </c>
      <c r="Z175" s="10"/>
      <c r="AA175" s="6" t="s">
        <v>93</v>
      </c>
      <c r="AB175" s="7" t="s">
        <v>160</v>
      </c>
      <c r="AC175" s="10"/>
      <c r="AD175" s="9" t="str">
        <f t="shared" si="10"/>
        <v>oui</v>
      </c>
      <c r="AE175" s="9" t="str">
        <f t="shared" si="11"/>
        <v>Résidence ou logement non vendable</v>
      </c>
      <c r="AF175" s="7"/>
      <c r="AG175" s="10"/>
      <c r="AH175" s="10"/>
      <c r="AI175" s="7" t="s">
        <v>160</v>
      </c>
      <c r="AJ175" s="10"/>
      <c r="AK175" s="10"/>
      <c r="AL175" s="10"/>
      <c r="AM175" s="11" t="s">
        <v>160</v>
      </c>
      <c r="AN175" s="11" t="s">
        <v>160</v>
      </c>
      <c r="AO175" s="11" t="s">
        <v>160</v>
      </c>
      <c r="AP175" s="11" t="s">
        <v>160</v>
      </c>
      <c r="AQ175" s="11"/>
      <c r="AR175" s="7"/>
    </row>
    <row r="176" spans="1:44" ht="27.6" x14ac:dyDescent="0.3">
      <c r="A176" s="6" t="s">
        <v>292</v>
      </c>
      <c r="B176" s="6" t="s">
        <v>1073</v>
      </c>
      <c r="C176" s="6" t="s">
        <v>1115</v>
      </c>
      <c r="D176" s="6" t="s">
        <v>85</v>
      </c>
      <c r="E176" s="6" t="s">
        <v>1116</v>
      </c>
      <c r="F176" s="7" t="s">
        <v>125</v>
      </c>
      <c r="G176" s="10"/>
      <c r="H176" s="7" t="s">
        <v>93</v>
      </c>
      <c r="I176" s="7"/>
      <c r="J176" s="10"/>
      <c r="K176" s="6" t="s">
        <v>93</v>
      </c>
      <c r="L176" s="7"/>
      <c r="M176" s="14"/>
      <c r="N176" s="7" t="s">
        <v>93</v>
      </c>
      <c r="O176" s="10"/>
      <c r="P176" s="7" t="s">
        <v>93</v>
      </c>
      <c r="Q176" s="15" t="str">
        <f>IF(P176="oui",MIN(Parametres!$B$4,MAX(Parametres!$B$3,IF(M176="",Parametres!$B$3,ROUND(M176*10%,0)))),"")</f>
        <v/>
      </c>
      <c r="R176" s="7" t="s">
        <v>160</v>
      </c>
      <c r="S176" s="7" t="s">
        <v>93</v>
      </c>
      <c r="T176" s="15" t="str">
        <f>IF(S176="oui",Parametres!$B$5,"")</f>
        <v/>
      </c>
      <c r="U176" s="7" t="s">
        <v>160</v>
      </c>
      <c r="V176" s="15">
        <f t="shared" si="8"/>
        <v>0</v>
      </c>
      <c r="W176" s="15" t="str">
        <f t="shared" si="9"/>
        <v/>
      </c>
      <c r="X176" s="6" t="s">
        <v>93</v>
      </c>
      <c r="Y176" s="7" t="s">
        <v>160</v>
      </c>
      <c r="Z176" s="10"/>
      <c r="AA176" s="6" t="s">
        <v>93</v>
      </c>
      <c r="AB176" s="7" t="s">
        <v>160</v>
      </c>
      <c r="AC176" s="10"/>
      <c r="AD176" s="9" t="str">
        <f t="shared" si="10"/>
        <v>oui</v>
      </c>
      <c r="AE176" s="9" t="str">
        <f t="shared" si="11"/>
        <v>Résidence ou logement non vendable</v>
      </c>
      <c r="AF176" s="7"/>
      <c r="AG176" s="10"/>
      <c r="AH176" s="10"/>
      <c r="AI176" s="7" t="s">
        <v>160</v>
      </c>
      <c r="AJ176" s="10"/>
      <c r="AK176" s="10"/>
      <c r="AL176" s="10"/>
      <c r="AM176" s="11" t="s">
        <v>160</v>
      </c>
      <c r="AN176" s="11" t="s">
        <v>160</v>
      </c>
      <c r="AO176" s="11" t="s">
        <v>160</v>
      </c>
      <c r="AP176" s="11" t="s">
        <v>160</v>
      </c>
      <c r="AQ176" s="11"/>
      <c r="AR176" s="7"/>
    </row>
    <row r="177" spans="1:44" ht="27.6" x14ac:dyDescent="0.3">
      <c r="A177" s="6" t="s">
        <v>292</v>
      </c>
      <c r="B177" s="6" t="s">
        <v>1073</v>
      </c>
      <c r="C177" s="6" t="s">
        <v>1119</v>
      </c>
      <c r="D177" s="6" t="s">
        <v>85</v>
      </c>
      <c r="E177" s="6" t="s">
        <v>1120</v>
      </c>
      <c r="F177" s="7" t="s">
        <v>125</v>
      </c>
      <c r="G177" s="10"/>
      <c r="H177" s="7" t="s">
        <v>93</v>
      </c>
      <c r="I177" s="7"/>
      <c r="J177" s="10"/>
      <c r="K177" s="6" t="s">
        <v>93</v>
      </c>
      <c r="L177" s="7"/>
      <c r="M177" s="14"/>
      <c r="N177" s="7" t="s">
        <v>93</v>
      </c>
      <c r="O177" s="10"/>
      <c r="P177" s="7" t="s">
        <v>93</v>
      </c>
      <c r="Q177" s="15" t="str">
        <f>IF(P177="oui",MIN(Parametres!$B$4,MAX(Parametres!$B$3,IF(M177="",Parametres!$B$3,ROUND(M177*10%,0)))),"")</f>
        <v/>
      </c>
      <c r="R177" s="7" t="s">
        <v>160</v>
      </c>
      <c r="S177" s="7" t="s">
        <v>93</v>
      </c>
      <c r="T177" s="15" t="str">
        <f>IF(S177="oui",Parametres!$B$5,"")</f>
        <v/>
      </c>
      <c r="U177" s="7" t="s">
        <v>160</v>
      </c>
      <c r="V177" s="15">
        <f t="shared" si="8"/>
        <v>0</v>
      </c>
      <c r="W177" s="15" t="str">
        <f t="shared" si="9"/>
        <v/>
      </c>
      <c r="X177" s="6" t="s">
        <v>93</v>
      </c>
      <c r="Y177" s="7" t="s">
        <v>160</v>
      </c>
      <c r="Z177" s="10"/>
      <c r="AA177" s="6" t="s">
        <v>93</v>
      </c>
      <c r="AB177" s="7" t="s">
        <v>160</v>
      </c>
      <c r="AC177" s="10"/>
      <c r="AD177" s="9" t="str">
        <f t="shared" si="10"/>
        <v>oui</v>
      </c>
      <c r="AE177" s="9" t="str">
        <f t="shared" si="11"/>
        <v>Résidence ou logement non vendable</v>
      </c>
      <c r="AF177" s="7"/>
      <c r="AG177" s="10"/>
      <c r="AH177" s="10"/>
      <c r="AI177" s="7" t="s">
        <v>160</v>
      </c>
      <c r="AJ177" s="10"/>
      <c r="AK177" s="10"/>
      <c r="AL177" s="10"/>
      <c r="AM177" s="11" t="s">
        <v>160</v>
      </c>
      <c r="AN177" s="11" t="s">
        <v>160</v>
      </c>
      <c r="AO177" s="11" t="s">
        <v>160</v>
      </c>
      <c r="AP177" s="11" t="s">
        <v>160</v>
      </c>
      <c r="AQ177" s="11"/>
      <c r="AR177" s="7"/>
    </row>
    <row r="178" spans="1:44" ht="27.6" x14ac:dyDescent="0.3">
      <c r="A178" s="6" t="s">
        <v>292</v>
      </c>
      <c r="B178" s="6" t="s">
        <v>1073</v>
      </c>
      <c r="C178" s="6" t="s">
        <v>1125</v>
      </c>
      <c r="D178" s="6" t="s">
        <v>85</v>
      </c>
      <c r="E178" s="6" t="s">
        <v>1126</v>
      </c>
      <c r="F178" s="7" t="s">
        <v>125</v>
      </c>
      <c r="G178" s="10"/>
      <c r="H178" s="7" t="s">
        <v>93</v>
      </c>
      <c r="I178" s="7"/>
      <c r="J178" s="10"/>
      <c r="K178" s="6" t="s">
        <v>93</v>
      </c>
      <c r="L178" s="7"/>
      <c r="M178" s="14"/>
      <c r="N178" s="7" t="s">
        <v>93</v>
      </c>
      <c r="O178" s="10"/>
      <c r="P178" s="7" t="s">
        <v>93</v>
      </c>
      <c r="Q178" s="15" t="str">
        <f>IF(P178="oui",MIN(Parametres!$B$4,MAX(Parametres!$B$3,IF(M178="",Parametres!$B$3,ROUND(M178*10%,0)))),"")</f>
        <v/>
      </c>
      <c r="R178" s="7" t="s">
        <v>160</v>
      </c>
      <c r="S178" s="7" t="s">
        <v>93</v>
      </c>
      <c r="T178" s="15" t="str">
        <f>IF(S178="oui",Parametres!$B$5,"")</f>
        <v/>
      </c>
      <c r="U178" s="7" t="s">
        <v>160</v>
      </c>
      <c r="V178" s="15">
        <f t="shared" si="8"/>
        <v>0</v>
      </c>
      <c r="W178" s="15" t="str">
        <f t="shared" si="9"/>
        <v/>
      </c>
      <c r="X178" s="6" t="s">
        <v>93</v>
      </c>
      <c r="Y178" s="7" t="s">
        <v>160</v>
      </c>
      <c r="Z178" s="10"/>
      <c r="AA178" s="6" t="s">
        <v>93</v>
      </c>
      <c r="AB178" s="7" t="s">
        <v>160</v>
      </c>
      <c r="AC178" s="10"/>
      <c r="AD178" s="9" t="str">
        <f t="shared" si="10"/>
        <v>oui</v>
      </c>
      <c r="AE178" s="9" t="str">
        <f t="shared" si="11"/>
        <v>Résidence ou logement non vendable</v>
      </c>
      <c r="AF178" s="7"/>
      <c r="AG178" s="10"/>
      <c r="AH178" s="10"/>
      <c r="AI178" s="7" t="s">
        <v>160</v>
      </c>
      <c r="AJ178" s="10"/>
      <c r="AK178" s="10"/>
      <c r="AL178" s="10"/>
      <c r="AM178" s="11" t="s">
        <v>160</v>
      </c>
      <c r="AN178" s="11" t="s">
        <v>160</v>
      </c>
      <c r="AO178" s="11" t="s">
        <v>160</v>
      </c>
      <c r="AP178" s="11" t="s">
        <v>160</v>
      </c>
      <c r="AQ178" s="11"/>
      <c r="AR178" s="7"/>
    </row>
    <row r="179" spans="1:44" ht="27.6" x14ac:dyDescent="0.3">
      <c r="A179" s="6" t="s">
        <v>292</v>
      </c>
      <c r="B179" s="6" t="s">
        <v>1073</v>
      </c>
      <c r="C179" s="6" t="s">
        <v>1128</v>
      </c>
      <c r="D179" s="6" t="s">
        <v>85</v>
      </c>
      <c r="E179" s="6" t="s">
        <v>1129</v>
      </c>
      <c r="F179" s="7" t="s">
        <v>125</v>
      </c>
      <c r="G179" s="10"/>
      <c r="H179" s="7" t="s">
        <v>93</v>
      </c>
      <c r="I179" s="7"/>
      <c r="J179" s="10"/>
      <c r="K179" s="6" t="s">
        <v>93</v>
      </c>
      <c r="L179" s="7"/>
      <c r="M179" s="14"/>
      <c r="N179" s="7" t="s">
        <v>93</v>
      </c>
      <c r="O179" s="10"/>
      <c r="P179" s="7" t="s">
        <v>93</v>
      </c>
      <c r="Q179" s="15" t="str">
        <f>IF(P179="oui",MIN(Parametres!$B$4,MAX(Parametres!$B$3,IF(M179="",Parametres!$B$3,ROUND(M179*10%,0)))),"")</f>
        <v/>
      </c>
      <c r="R179" s="7" t="s">
        <v>160</v>
      </c>
      <c r="S179" s="7" t="s">
        <v>93</v>
      </c>
      <c r="T179" s="15" t="str">
        <f>IF(S179="oui",Parametres!$B$5,"")</f>
        <v/>
      </c>
      <c r="U179" s="7" t="s">
        <v>160</v>
      </c>
      <c r="V179" s="15">
        <f t="shared" si="8"/>
        <v>0</v>
      </c>
      <c r="W179" s="15" t="str">
        <f t="shared" si="9"/>
        <v/>
      </c>
      <c r="X179" s="6" t="s">
        <v>93</v>
      </c>
      <c r="Y179" s="7" t="s">
        <v>160</v>
      </c>
      <c r="Z179" s="10"/>
      <c r="AA179" s="6" t="s">
        <v>93</v>
      </c>
      <c r="AB179" s="7" t="s">
        <v>160</v>
      </c>
      <c r="AC179" s="10"/>
      <c r="AD179" s="9" t="str">
        <f t="shared" si="10"/>
        <v>oui</v>
      </c>
      <c r="AE179" s="9" t="str">
        <f t="shared" si="11"/>
        <v>Résidence ou logement non vendable</v>
      </c>
      <c r="AF179" s="7"/>
      <c r="AG179" s="10"/>
      <c r="AH179" s="10"/>
      <c r="AI179" s="7" t="s">
        <v>160</v>
      </c>
      <c r="AJ179" s="10"/>
      <c r="AK179" s="10"/>
      <c r="AL179" s="10"/>
      <c r="AM179" s="11" t="s">
        <v>160</v>
      </c>
      <c r="AN179" s="11" t="s">
        <v>160</v>
      </c>
      <c r="AO179" s="11" t="s">
        <v>160</v>
      </c>
      <c r="AP179" s="11" t="s">
        <v>160</v>
      </c>
      <c r="AQ179" s="11"/>
      <c r="AR179" s="7"/>
    </row>
    <row r="180" spans="1:44" ht="27.6" x14ac:dyDescent="0.3">
      <c r="A180" s="6" t="s">
        <v>292</v>
      </c>
      <c r="B180" s="6" t="s">
        <v>1073</v>
      </c>
      <c r="C180" s="6" t="s">
        <v>1132</v>
      </c>
      <c r="D180" s="6" t="s">
        <v>85</v>
      </c>
      <c r="E180" s="6" t="s">
        <v>1133</v>
      </c>
      <c r="F180" s="7" t="s">
        <v>125</v>
      </c>
      <c r="G180" s="10"/>
      <c r="H180" s="7" t="s">
        <v>93</v>
      </c>
      <c r="I180" s="7"/>
      <c r="J180" s="10"/>
      <c r="K180" s="6" t="s">
        <v>93</v>
      </c>
      <c r="L180" s="7"/>
      <c r="M180" s="14"/>
      <c r="N180" s="7" t="s">
        <v>93</v>
      </c>
      <c r="O180" s="10"/>
      <c r="P180" s="7" t="s">
        <v>93</v>
      </c>
      <c r="Q180" s="15" t="str">
        <f>IF(P180="oui",MIN(Parametres!$B$4,MAX(Parametres!$B$3,IF(M180="",Parametres!$B$3,ROUND(M180*10%,0)))),"")</f>
        <v/>
      </c>
      <c r="R180" s="7" t="s">
        <v>160</v>
      </c>
      <c r="S180" s="7" t="s">
        <v>93</v>
      </c>
      <c r="T180" s="15" t="str">
        <f>IF(S180="oui",Parametres!$B$5,"")</f>
        <v/>
      </c>
      <c r="U180" s="7" t="s">
        <v>160</v>
      </c>
      <c r="V180" s="15">
        <f t="shared" si="8"/>
        <v>0</v>
      </c>
      <c r="W180" s="15" t="str">
        <f t="shared" si="9"/>
        <v/>
      </c>
      <c r="X180" s="6" t="s">
        <v>93</v>
      </c>
      <c r="Y180" s="7" t="s">
        <v>160</v>
      </c>
      <c r="Z180" s="10"/>
      <c r="AA180" s="6" t="s">
        <v>93</v>
      </c>
      <c r="AB180" s="7" t="s">
        <v>160</v>
      </c>
      <c r="AC180" s="10"/>
      <c r="AD180" s="9" t="str">
        <f t="shared" si="10"/>
        <v>oui</v>
      </c>
      <c r="AE180" s="9" t="str">
        <f t="shared" si="11"/>
        <v>Résidence ou logement non vendable</v>
      </c>
      <c r="AF180" s="7"/>
      <c r="AG180" s="10"/>
      <c r="AH180" s="10"/>
      <c r="AI180" s="7" t="s">
        <v>160</v>
      </c>
      <c r="AJ180" s="10"/>
      <c r="AK180" s="10"/>
      <c r="AL180" s="10"/>
      <c r="AM180" s="11" t="s">
        <v>160</v>
      </c>
      <c r="AN180" s="11" t="s">
        <v>160</v>
      </c>
      <c r="AO180" s="11" t="s">
        <v>160</v>
      </c>
      <c r="AP180" s="11" t="s">
        <v>160</v>
      </c>
      <c r="AQ180" s="11"/>
      <c r="AR180" s="7"/>
    </row>
    <row r="181" spans="1:44" ht="27.6" x14ac:dyDescent="0.3">
      <c r="A181" s="6" t="s">
        <v>292</v>
      </c>
      <c r="B181" s="6" t="s">
        <v>1073</v>
      </c>
      <c r="C181" s="6" t="s">
        <v>1137</v>
      </c>
      <c r="D181" s="6" t="s">
        <v>85</v>
      </c>
      <c r="E181" s="6" t="s">
        <v>1138</v>
      </c>
      <c r="F181" s="7" t="s">
        <v>125</v>
      </c>
      <c r="G181" s="10"/>
      <c r="H181" s="7" t="s">
        <v>93</v>
      </c>
      <c r="I181" s="7"/>
      <c r="J181" s="10"/>
      <c r="K181" s="6" t="s">
        <v>93</v>
      </c>
      <c r="L181" s="7"/>
      <c r="M181" s="14"/>
      <c r="N181" s="7" t="s">
        <v>93</v>
      </c>
      <c r="O181" s="10"/>
      <c r="P181" s="7" t="s">
        <v>93</v>
      </c>
      <c r="Q181" s="15" t="str">
        <f>IF(P181="oui",MIN(Parametres!$B$4,MAX(Parametres!$B$3,IF(M181="",Parametres!$B$3,ROUND(M181*10%,0)))),"")</f>
        <v/>
      </c>
      <c r="R181" s="7" t="s">
        <v>160</v>
      </c>
      <c r="S181" s="7" t="s">
        <v>93</v>
      </c>
      <c r="T181" s="15" t="str">
        <f>IF(S181="oui",Parametres!$B$5,"")</f>
        <v/>
      </c>
      <c r="U181" s="7" t="s">
        <v>160</v>
      </c>
      <c r="V181" s="15">
        <f t="shared" si="8"/>
        <v>0</v>
      </c>
      <c r="W181" s="15" t="str">
        <f t="shared" si="9"/>
        <v/>
      </c>
      <c r="X181" s="6" t="s">
        <v>93</v>
      </c>
      <c r="Y181" s="7" t="s">
        <v>160</v>
      </c>
      <c r="Z181" s="10"/>
      <c r="AA181" s="6" t="s">
        <v>93</v>
      </c>
      <c r="AB181" s="7" t="s">
        <v>160</v>
      </c>
      <c r="AC181" s="10"/>
      <c r="AD181" s="9" t="str">
        <f t="shared" si="10"/>
        <v>oui</v>
      </c>
      <c r="AE181" s="9" t="str">
        <f t="shared" si="11"/>
        <v>Résidence ou logement non vendable</v>
      </c>
      <c r="AF181" s="7"/>
      <c r="AG181" s="10"/>
      <c r="AH181" s="10"/>
      <c r="AI181" s="7" t="s">
        <v>160</v>
      </c>
      <c r="AJ181" s="10"/>
      <c r="AK181" s="10"/>
      <c r="AL181" s="10"/>
      <c r="AM181" s="11" t="s">
        <v>160</v>
      </c>
      <c r="AN181" s="11" t="s">
        <v>160</v>
      </c>
      <c r="AO181" s="11" t="s">
        <v>160</v>
      </c>
      <c r="AP181" s="11" t="s">
        <v>160</v>
      </c>
      <c r="AQ181" s="11"/>
      <c r="AR181" s="7"/>
    </row>
    <row r="182" spans="1:44" ht="27.6" x14ac:dyDescent="0.3">
      <c r="A182" s="6" t="s">
        <v>292</v>
      </c>
      <c r="B182" s="6" t="s">
        <v>1073</v>
      </c>
      <c r="C182" s="6" t="s">
        <v>1141</v>
      </c>
      <c r="D182" s="6" t="s">
        <v>85</v>
      </c>
      <c r="E182" s="6" t="s">
        <v>1142</v>
      </c>
      <c r="F182" s="7" t="s">
        <v>125</v>
      </c>
      <c r="G182" s="10"/>
      <c r="H182" s="7" t="s">
        <v>93</v>
      </c>
      <c r="I182" s="7"/>
      <c r="J182" s="10"/>
      <c r="K182" s="6" t="s">
        <v>93</v>
      </c>
      <c r="L182" s="7"/>
      <c r="M182" s="14"/>
      <c r="N182" s="7" t="s">
        <v>93</v>
      </c>
      <c r="O182" s="10"/>
      <c r="P182" s="7" t="s">
        <v>93</v>
      </c>
      <c r="Q182" s="15" t="str">
        <f>IF(P182="oui",MIN(Parametres!$B$4,MAX(Parametres!$B$3,IF(M182="",Parametres!$B$3,ROUND(M182*10%,0)))),"")</f>
        <v/>
      </c>
      <c r="R182" s="7" t="s">
        <v>160</v>
      </c>
      <c r="S182" s="7" t="s">
        <v>93</v>
      </c>
      <c r="T182" s="15" t="str">
        <f>IF(S182="oui",Parametres!$B$5,"")</f>
        <v/>
      </c>
      <c r="U182" s="7" t="s">
        <v>160</v>
      </c>
      <c r="V182" s="15">
        <f t="shared" si="8"/>
        <v>0</v>
      </c>
      <c r="W182" s="15" t="str">
        <f t="shared" si="9"/>
        <v/>
      </c>
      <c r="X182" s="6" t="s">
        <v>93</v>
      </c>
      <c r="Y182" s="7" t="s">
        <v>160</v>
      </c>
      <c r="Z182" s="10"/>
      <c r="AA182" s="6" t="s">
        <v>93</v>
      </c>
      <c r="AB182" s="7" t="s">
        <v>160</v>
      </c>
      <c r="AC182" s="10"/>
      <c r="AD182" s="9" t="str">
        <f t="shared" si="10"/>
        <v>oui</v>
      </c>
      <c r="AE182" s="9" t="str">
        <f t="shared" si="11"/>
        <v>Résidence ou logement non vendable</v>
      </c>
      <c r="AF182" s="7"/>
      <c r="AG182" s="10"/>
      <c r="AH182" s="10"/>
      <c r="AI182" s="7" t="s">
        <v>160</v>
      </c>
      <c r="AJ182" s="10"/>
      <c r="AK182" s="10"/>
      <c r="AL182" s="10"/>
      <c r="AM182" s="11" t="s">
        <v>160</v>
      </c>
      <c r="AN182" s="11" t="s">
        <v>160</v>
      </c>
      <c r="AO182" s="11" t="s">
        <v>160</v>
      </c>
      <c r="AP182" s="11" t="s">
        <v>160</v>
      </c>
      <c r="AQ182" s="11"/>
      <c r="AR182" s="7"/>
    </row>
    <row r="183" spans="1:44" ht="27.6" x14ac:dyDescent="0.3">
      <c r="A183" s="6" t="s">
        <v>292</v>
      </c>
      <c r="B183" s="6" t="s">
        <v>1073</v>
      </c>
      <c r="C183" s="6" t="s">
        <v>1146</v>
      </c>
      <c r="D183" s="6" t="s">
        <v>85</v>
      </c>
      <c r="E183" s="6" t="s">
        <v>1147</v>
      </c>
      <c r="F183" s="7" t="s">
        <v>125</v>
      </c>
      <c r="G183" s="10"/>
      <c r="H183" s="7" t="s">
        <v>93</v>
      </c>
      <c r="I183" s="7"/>
      <c r="J183" s="10"/>
      <c r="K183" s="6" t="s">
        <v>93</v>
      </c>
      <c r="L183" s="7"/>
      <c r="M183" s="14"/>
      <c r="N183" s="7" t="s">
        <v>93</v>
      </c>
      <c r="O183" s="10"/>
      <c r="P183" s="7" t="s">
        <v>93</v>
      </c>
      <c r="Q183" s="15" t="str">
        <f>IF(P183="oui",MIN(Parametres!$B$4,MAX(Parametres!$B$3,IF(M183="",Parametres!$B$3,ROUND(M183*10%,0)))),"")</f>
        <v/>
      </c>
      <c r="R183" s="7" t="s">
        <v>160</v>
      </c>
      <c r="S183" s="7" t="s">
        <v>93</v>
      </c>
      <c r="T183" s="15" t="str">
        <f>IF(S183="oui",Parametres!$B$5,"")</f>
        <v/>
      </c>
      <c r="U183" s="7" t="s">
        <v>160</v>
      </c>
      <c r="V183" s="15">
        <f t="shared" si="8"/>
        <v>0</v>
      </c>
      <c r="W183" s="15" t="str">
        <f t="shared" si="9"/>
        <v/>
      </c>
      <c r="X183" s="6" t="s">
        <v>93</v>
      </c>
      <c r="Y183" s="7" t="s">
        <v>160</v>
      </c>
      <c r="Z183" s="10"/>
      <c r="AA183" s="6" t="s">
        <v>93</v>
      </c>
      <c r="AB183" s="7" t="s">
        <v>160</v>
      </c>
      <c r="AC183" s="10"/>
      <c r="AD183" s="9" t="str">
        <f t="shared" si="10"/>
        <v>oui</v>
      </c>
      <c r="AE183" s="9" t="str">
        <f t="shared" si="11"/>
        <v>Résidence ou logement non vendable</v>
      </c>
      <c r="AF183" s="7"/>
      <c r="AG183" s="10"/>
      <c r="AH183" s="10"/>
      <c r="AI183" s="7" t="s">
        <v>160</v>
      </c>
      <c r="AJ183" s="10"/>
      <c r="AK183" s="10"/>
      <c r="AL183" s="10"/>
      <c r="AM183" s="11" t="s">
        <v>160</v>
      </c>
      <c r="AN183" s="11" t="s">
        <v>160</v>
      </c>
      <c r="AO183" s="11" t="s">
        <v>160</v>
      </c>
      <c r="AP183" s="11" t="s">
        <v>160</v>
      </c>
      <c r="AQ183" s="11"/>
      <c r="AR183" s="7"/>
    </row>
    <row r="184" spans="1:44" ht="27.6" x14ac:dyDescent="0.3">
      <c r="A184" s="6" t="s">
        <v>292</v>
      </c>
      <c r="B184" s="6" t="s">
        <v>1073</v>
      </c>
      <c r="C184" s="6" t="s">
        <v>1151</v>
      </c>
      <c r="D184" s="6" t="s">
        <v>85</v>
      </c>
      <c r="E184" s="6" t="s">
        <v>1152</v>
      </c>
      <c r="F184" s="7" t="s">
        <v>125</v>
      </c>
      <c r="G184" s="10"/>
      <c r="H184" s="7" t="s">
        <v>93</v>
      </c>
      <c r="I184" s="7"/>
      <c r="J184" s="10"/>
      <c r="K184" s="6" t="s">
        <v>93</v>
      </c>
      <c r="L184" s="7"/>
      <c r="M184" s="14"/>
      <c r="N184" s="7" t="s">
        <v>93</v>
      </c>
      <c r="O184" s="10"/>
      <c r="P184" s="7" t="s">
        <v>93</v>
      </c>
      <c r="Q184" s="15" t="str">
        <f>IF(P184="oui",MIN(Parametres!$B$4,MAX(Parametres!$B$3,IF(M184="",Parametres!$B$3,ROUND(M184*10%,0)))),"")</f>
        <v/>
      </c>
      <c r="R184" s="7" t="s">
        <v>160</v>
      </c>
      <c r="S184" s="7" t="s">
        <v>93</v>
      </c>
      <c r="T184" s="15" t="str">
        <f>IF(S184="oui",Parametres!$B$5,"")</f>
        <v/>
      </c>
      <c r="U184" s="7" t="s">
        <v>160</v>
      </c>
      <c r="V184" s="15">
        <f t="shared" si="8"/>
        <v>0</v>
      </c>
      <c r="W184" s="15" t="str">
        <f t="shared" si="9"/>
        <v/>
      </c>
      <c r="X184" s="6" t="s">
        <v>93</v>
      </c>
      <c r="Y184" s="7" t="s">
        <v>160</v>
      </c>
      <c r="Z184" s="10"/>
      <c r="AA184" s="6" t="s">
        <v>93</v>
      </c>
      <c r="AB184" s="7" t="s">
        <v>160</v>
      </c>
      <c r="AC184" s="10"/>
      <c r="AD184" s="9" t="str">
        <f t="shared" si="10"/>
        <v>oui</v>
      </c>
      <c r="AE184" s="9" t="str">
        <f t="shared" si="11"/>
        <v>Résidence ou logement non vendable</v>
      </c>
      <c r="AF184" s="7"/>
      <c r="AG184" s="10"/>
      <c r="AH184" s="10"/>
      <c r="AI184" s="7" t="s">
        <v>160</v>
      </c>
      <c r="AJ184" s="10"/>
      <c r="AK184" s="10"/>
      <c r="AL184" s="10"/>
      <c r="AM184" s="11" t="s">
        <v>160</v>
      </c>
      <c r="AN184" s="11" t="s">
        <v>160</v>
      </c>
      <c r="AO184" s="11" t="s">
        <v>160</v>
      </c>
      <c r="AP184" s="11" t="s">
        <v>160</v>
      </c>
      <c r="AQ184" s="11"/>
      <c r="AR184" s="7"/>
    </row>
    <row r="185" spans="1:44" ht="27.6" x14ac:dyDescent="0.3">
      <c r="A185" s="6" t="s">
        <v>292</v>
      </c>
      <c r="B185" s="6" t="s">
        <v>1073</v>
      </c>
      <c r="C185" s="6" t="s">
        <v>1156</v>
      </c>
      <c r="D185" s="6" t="s">
        <v>85</v>
      </c>
      <c r="E185" s="6" t="s">
        <v>1157</v>
      </c>
      <c r="F185" s="7" t="s">
        <v>125</v>
      </c>
      <c r="G185" s="10"/>
      <c r="H185" s="7" t="s">
        <v>93</v>
      </c>
      <c r="I185" s="7"/>
      <c r="J185" s="10"/>
      <c r="K185" s="6" t="s">
        <v>93</v>
      </c>
      <c r="L185" s="7"/>
      <c r="M185" s="14"/>
      <c r="N185" s="7" t="s">
        <v>93</v>
      </c>
      <c r="O185" s="10"/>
      <c r="P185" s="7" t="s">
        <v>93</v>
      </c>
      <c r="Q185" s="15" t="str">
        <f>IF(P185="oui",MIN(Parametres!$B$4,MAX(Parametres!$B$3,IF(M185="",Parametres!$B$3,ROUND(M185*10%,0)))),"")</f>
        <v/>
      </c>
      <c r="R185" s="7" t="s">
        <v>160</v>
      </c>
      <c r="S185" s="7" t="s">
        <v>93</v>
      </c>
      <c r="T185" s="15" t="str">
        <f>IF(S185="oui",Parametres!$B$5,"")</f>
        <v/>
      </c>
      <c r="U185" s="7" t="s">
        <v>160</v>
      </c>
      <c r="V185" s="15">
        <f t="shared" si="8"/>
        <v>0</v>
      </c>
      <c r="W185" s="15" t="str">
        <f t="shared" si="9"/>
        <v/>
      </c>
      <c r="X185" s="6" t="s">
        <v>93</v>
      </c>
      <c r="Y185" s="7" t="s">
        <v>160</v>
      </c>
      <c r="Z185" s="10"/>
      <c r="AA185" s="6" t="s">
        <v>93</v>
      </c>
      <c r="AB185" s="7" t="s">
        <v>160</v>
      </c>
      <c r="AC185" s="10"/>
      <c r="AD185" s="9" t="str">
        <f t="shared" si="10"/>
        <v>oui</v>
      </c>
      <c r="AE185" s="9" t="str">
        <f t="shared" si="11"/>
        <v>Résidence ou logement non vendable</v>
      </c>
      <c r="AF185" s="7"/>
      <c r="AG185" s="10"/>
      <c r="AH185" s="10"/>
      <c r="AI185" s="7" t="s">
        <v>160</v>
      </c>
      <c r="AJ185" s="10"/>
      <c r="AK185" s="10"/>
      <c r="AL185" s="10"/>
      <c r="AM185" s="11" t="s">
        <v>160</v>
      </c>
      <c r="AN185" s="11" t="s">
        <v>160</v>
      </c>
      <c r="AO185" s="11" t="s">
        <v>160</v>
      </c>
      <c r="AP185" s="11" t="s">
        <v>160</v>
      </c>
      <c r="AQ185" s="11"/>
      <c r="AR185" s="7"/>
    </row>
    <row r="186" spans="1:44" ht="27.6" x14ac:dyDescent="0.3">
      <c r="A186" s="6" t="s">
        <v>292</v>
      </c>
      <c r="B186" s="6" t="s">
        <v>1073</v>
      </c>
      <c r="C186" s="6" t="s">
        <v>1161</v>
      </c>
      <c r="D186" s="6" t="s">
        <v>85</v>
      </c>
      <c r="E186" s="6" t="s">
        <v>1162</v>
      </c>
      <c r="F186" s="7" t="s">
        <v>125</v>
      </c>
      <c r="G186" s="10"/>
      <c r="H186" s="7" t="s">
        <v>93</v>
      </c>
      <c r="I186" s="7"/>
      <c r="J186" s="10"/>
      <c r="K186" s="6" t="s">
        <v>93</v>
      </c>
      <c r="L186" s="7"/>
      <c r="M186" s="14"/>
      <c r="N186" s="7" t="s">
        <v>93</v>
      </c>
      <c r="O186" s="10"/>
      <c r="P186" s="7" t="s">
        <v>93</v>
      </c>
      <c r="Q186" s="15" t="str">
        <f>IF(P186="oui",MIN(Parametres!$B$4,MAX(Parametres!$B$3,IF(M186="",Parametres!$B$3,ROUND(M186*10%,0)))),"")</f>
        <v/>
      </c>
      <c r="R186" s="7" t="s">
        <v>160</v>
      </c>
      <c r="S186" s="7" t="s">
        <v>93</v>
      </c>
      <c r="T186" s="15" t="str">
        <f>IF(S186="oui",Parametres!$B$5,"")</f>
        <v/>
      </c>
      <c r="U186" s="7" t="s">
        <v>160</v>
      </c>
      <c r="V186" s="15">
        <f t="shared" si="8"/>
        <v>0</v>
      </c>
      <c r="W186" s="15" t="str">
        <f t="shared" si="9"/>
        <v/>
      </c>
      <c r="X186" s="6" t="s">
        <v>93</v>
      </c>
      <c r="Y186" s="7" t="s">
        <v>160</v>
      </c>
      <c r="Z186" s="10"/>
      <c r="AA186" s="6" t="s">
        <v>93</v>
      </c>
      <c r="AB186" s="7" t="s">
        <v>160</v>
      </c>
      <c r="AC186" s="10"/>
      <c r="AD186" s="9" t="str">
        <f t="shared" si="10"/>
        <v>oui</v>
      </c>
      <c r="AE186" s="9" t="str">
        <f t="shared" si="11"/>
        <v>Résidence ou logement non vendable</v>
      </c>
      <c r="AF186" s="7"/>
      <c r="AG186" s="10"/>
      <c r="AH186" s="10"/>
      <c r="AI186" s="7" t="s">
        <v>160</v>
      </c>
      <c r="AJ186" s="10"/>
      <c r="AK186" s="10"/>
      <c r="AL186" s="10"/>
      <c r="AM186" s="11" t="s">
        <v>160</v>
      </c>
      <c r="AN186" s="11" t="s">
        <v>160</v>
      </c>
      <c r="AO186" s="11" t="s">
        <v>160</v>
      </c>
      <c r="AP186" s="11" t="s">
        <v>160</v>
      </c>
      <c r="AQ186" s="11"/>
      <c r="AR186" s="7"/>
    </row>
    <row r="187" spans="1:44" ht="27.6" x14ac:dyDescent="0.3">
      <c r="A187" s="6" t="s">
        <v>292</v>
      </c>
      <c r="B187" s="6" t="s">
        <v>1073</v>
      </c>
      <c r="C187" s="6" t="s">
        <v>1166</v>
      </c>
      <c r="D187" s="6" t="s">
        <v>85</v>
      </c>
      <c r="E187" s="6" t="s">
        <v>1167</v>
      </c>
      <c r="F187" s="7" t="s">
        <v>125</v>
      </c>
      <c r="G187" s="10"/>
      <c r="H187" s="7" t="s">
        <v>93</v>
      </c>
      <c r="I187" s="7"/>
      <c r="J187" s="10"/>
      <c r="K187" s="6" t="s">
        <v>93</v>
      </c>
      <c r="L187" s="7"/>
      <c r="M187" s="14"/>
      <c r="N187" s="7" t="s">
        <v>93</v>
      </c>
      <c r="O187" s="10"/>
      <c r="P187" s="7" t="s">
        <v>93</v>
      </c>
      <c r="Q187" s="15" t="str">
        <f>IF(P187="oui",MIN(Parametres!$B$4,MAX(Parametres!$B$3,IF(M187="",Parametres!$B$3,ROUND(M187*10%,0)))),"")</f>
        <v/>
      </c>
      <c r="R187" s="7" t="s">
        <v>160</v>
      </c>
      <c r="S187" s="7" t="s">
        <v>93</v>
      </c>
      <c r="T187" s="15" t="str">
        <f>IF(S187="oui",Parametres!$B$5,"")</f>
        <v/>
      </c>
      <c r="U187" s="7" t="s">
        <v>160</v>
      </c>
      <c r="V187" s="15">
        <f t="shared" si="8"/>
        <v>0</v>
      </c>
      <c r="W187" s="15" t="str">
        <f t="shared" si="9"/>
        <v/>
      </c>
      <c r="X187" s="6" t="s">
        <v>93</v>
      </c>
      <c r="Y187" s="7" t="s">
        <v>160</v>
      </c>
      <c r="Z187" s="10"/>
      <c r="AA187" s="6" t="s">
        <v>93</v>
      </c>
      <c r="AB187" s="7" t="s">
        <v>160</v>
      </c>
      <c r="AC187" s="10"/>
      <c r="AD187" s="9" t="str">
        <f t="shared" si="10"/>
        <v>oui</v>
      </c>
      <c r="AE187" s="9" t="str">
        <f t="shared" si="11"/>
        <v>Résidence ou logement non vendable</v>
      </c>
      <c r="AF187" s="7"/>
      <c r="AG187" s="10"/>
      <c r="AH187" s="10"/>
      <c r="AI187" s="7" t="s">
        <v>160</v>
      </c>
      <c r="AJ187" s="10"/>
      <c r="AK187" s="10"/>
      <c r="AL187" s="10"/>
      <c r="AM187" s="11" t="s">
        <v>160</v>
      </c>
      <c r="AN187" s="11" t="s">
        <v>160</v>
      </c>
      <c r="AO187" s="11" t="s">
        <v>160</v>
      </c>
      <c r="AP187" s="11" t="s">
        <v>160</v>
      </c>
      <c r="AQ187" s="11"/>
      <c r="AR187" s="7"/>
    </row>
    <row r="188" spans="1:44" ht="27.6" x14ac:dyDescent="0.3">
      <c r="A188" s="6" t="s">
        <v>292</v>
      </c>
      <c r="B188" s="6" t="s">
        <v>1073</v>
      </c>
      <c r="C188" s="6" t="s">
        <v>1171</v>
      </c>
      <c r="D188" s="6" t="s">
        <v>85</v>
      </c>
      <c r="E188" s="6" t="s">
        <v>1172</v>
      </c>
      <c r="F188" s="7" t="s">
        <v>125</v>
      </c>
      <c r="G188" s="10"/>
      <c r="H188" s="7" t="s">
        <v>93</v>
      </c>
      <c r="I188" s="7"/>
      <c r="J188" s="10"/>
      <c r="K188" s="6" t="s">
        <v>93</v>
      </c>
      <c r="L188" s="7"/>
      <c r="M188" s="14"/>
      <c r="N188" s="7" t="s">
        <v>93</v>
      </c>
      <c r="O188" s="10"/>
      <c r="P188" s="7" t="s">
        <v>93</v>
      </c>
      <c r="Q188" s="15" t="str">
        <f>IF(P188="oui",MIN(Parametres!$B$4,MAX(Parametres!$B$3,IF(M188="",Parametres!$B$3,ROUND(M188*10%,0)))),"")</f>
        <v/>
      </c>
      <c r="R188" s="7" t="s">
        <v>160</v>
      </c>
      <c r="S188" s="7" t="s">
        <v>93</v>
      </c>
      <c r="T188" s="15" t="str">
        <f>IF(S188="oui",Parametres!$B$5,"")</f>
        <v/>
      </c>
      <c r="U188" s="7" t="s">
        <v>160</v>
      </c>
      <c r="V188" s="15">
        <f t="shared" si="8"/>
        <v>0</v>
      </c>
      <c r="W188" s="15" t="str">
        <f t="shared" si="9"/>
        <v/>
      </c>
      <c r="X188" s="6" t="s">
        <v>93</v>
      </c>
      <c r="Y188" s="7" t="s">
        <v>160</v>
      </c>
      <c r="Z188" s="10"/>
      <c r="AA188" s="6" t="s">
        <v>93</v>
      </c>
      <c r="AB188" s="7" t="s">
        <v>160</v>
      </c>
      <c r="AC188" s="10"/>
      <c r="AD188" s="9" t="str">
        <f t="shared" si="10"/>
        <v>oui</v>
      </c>
      <c r="AE188" s="9" t="str">
        <f t="shared" si="11"/>
        <v>Résidence ou logement non vendable</v>
      </c>
      <c r="AF188" s="7"/>
      <c r="AG188" s="10"/>
      <c r="AH188" s="10"/>
      <c r="AI188" s="7" t="s">
        <v>160</v>
      </c>
      <c r="AJ188" s="10"/>
      <c r="AK188" s="10"/>
      <c r="AL188" s="10"/>
      <c r="AM188" s="11" t="s">
        <v>160</v>
      </c>
      <c r="AN188" s="11" t="s">
        <v>160</v>
      </c>
      <c r="AO188" s="11" t="s">
        <v>160</v>
      </c>
      <c r="AP188" s="11" t="s">
        <v>160</v>
      </c>
      <c r="AQ188" s="11"/>
      <c r="AR188" s="7"/>
    </row>
    <row r="189" spans="1:44" ht="27.6" x14ac:dyDescent="0.3">
      <c r="A189" s="6" t="s">
        <v>292</v>
      </c>
      <c r="B189" s="6" t="s">
        <v>1073</v>
      </c>
      <c r="C189" s="6" t="s">
        <v>1176</v>
      </c>
      <c r="D189" s="6" t="s">
        <v>85</v>
      </c>
      <c r="E189" s="6" t="s">
        <v>1177</v>
      </c>
      <c r="F189" s="7" t="s">
        <v>125</v>
      </c>
      <c r="G189" s="10"/>
      <c r="H189" s="7" t="s">
        <v>93</v>
      </c>
      <c r="I189" s="7"/>
      <c r="J189" s="10"/>
      <c r="K189" s="6" t="s">
        <v>93</v>
      </c>
      <c r="L189" s="7"/>
      <c r="M189" s="14"/>
      <c r="N189" s="7" t="s">
        <v>93</v>
      </c>
      <c r="O189" s="10"/>
      <c r="P189" s="7" t="s">
        <v>93</v>
      </c>
      <c r="Q189" s="15" t="str">
        <f>IF(P189="oui",MIN(Parametres!$B$4,MAX(Parametres!$B$3,IF(M189="",Parametres!$B$3,ROUND(M189*10%,0)))),"")</f>
        <v/>
      </c>
      <c r="R189" s="7" t="s">
        <v>160</v>
      </c>
      <c r="S189" s="7" t="s">
        <v>93</v>
      </c>
      <c r="T189" s="15" t="str">
        <f>IF(S189="oui",Parametres!$B$5,"")</f>
        <v/>
      </c>
      <c r="U189" s="7" t="s">
        <v>160</v>
      </c>
      <c r="V189" s="15">
        <f t="shared" si="8"/>
        <v>0</v>
      </c>
      <c r="W189" s="15" t="str">
        <f t="shared" si="9"/>
        <v/>
      </c>
      <c r="X189" s="6" t="s">
        <v>93</v>
      </c>
      <c r="Y189" s="7" t="s">
        <v>160</v>
      </c>
      <c r="Z189" s="10"/>
      <c r="AA189" s="6" t="s">
        <v>93</v>
      </c>
      <c r="AB189" s="7" t="s">
        <v>160</v>
      </c>
      <c r="AC189" s="10"/>
      <c r="AD189" s="9" t="str">
        <f t="shared" si="10"/>
        <v>oui</v>
      </c>
      <c r="AE189" s="9" t="str">
        <f t="shared" si="11"/>
        <v>Résidence ou logement non vendable</v>
      </c>
      <c r="AF189" s="7"/>
      <c r="AG189" s="10"/>
      <c r="AH189" s="10"/>
      <c r="AI189" s="7" t="s">
        <v>160</v>
      </c>
      <c r="AJ189" s="10"/>
      <c r="AK189" s="10"/>
      <c r="AL189" s="10"/>
      <c r="AM189" s="11" t="s">
        <v>160</v>
      </c>
      <c r="AN189" s="11" t="s">
        <v>160</v>
      </c>
      <c r="AO189" s="11" t="s">
        <v>160</v>
      </c>
      <c r="AP189" s="11" t="s">
        <v>160</v>
      </c>
      <c r="AQ189" s="11"/>
      <c r="AR189" s="7"/>
    </row>
    <row r="190" spans="1:44" ht="27.6" x14ac:dyDescent="0.3">
      <c r="A190" s="6" t="s">
        <v>292</v>
      </c>
      <c r="B190" s="6" t="s">
        <v>1073</v>
      </c>
      <c r="C190" s="6" t="s">
        <v>1179</v>
      </c>
      <c r="D190" s="6" t="s">
        <v>85</v>
      </c>
      <c r="E190" s="6" t="s">
        <v>1180</v>
      </c>
      <c r="F190" s="7" t="s">
        <v>125</v>
      </c>
      <c r="G190" s="10"/>
      <c r="H190" s="7" t="s">
        <v>93</v>
      </c>
      <c r="I190" s="7"/>
      <c r="J190" s="10"/>
      <c r="K190" s="6" t="s">
        <v>93</v>
      </c>
      <c r="L190" s="7"/>
      <c r="M190" s="14"/>
      <c r="N190" s="7" t="s">
        <v>93</v>
      </c>
      <c r="O190" s="10"/>
      <c r="P190" s="7" t="s">
        <v>93</v>
      </c>
      <c r="Q190" s="15" t="str">
        <f>IF(P190="oui",MIN(Parametres!$B$4,MAX(Parametres!$B$3,IF(M190="",Parametres!$B$3,ROUND(M190*10%,0)))),"")</f>
        <v/>
      </c>
      <c r="R190" s="7" t="s">
        <v>160</v>
      </c>
      <c r="S190" s="7" t="s">
        <v>93</v>
      </c>
      <c r="T190" s="15" t="str">
        <f>IF(S190="oui",Parametres!$B$5,"")</f>
        <v/>
      </c>
      <c r="U190" s="7" t="s">
        <v>160</v>
      </c>
      <c r="V190" s="15">
        <f t="shared" si="8"/>
        <v>0</v>
      </c>
      <c r="W190" s="15" t="str">
        <f t="shared" si="9"/>
        <v/>
      </c>
      <c r="X190" s="6" t="s">
        <v>93</v>
      </c>
      <c r="Y190" s="7" t="s">
        <v>160</v>
      </c>
      <c r="Z190" s="10"/>
      <c r="AA190" s="6" t="s">
        <v>93</v>
      </c>
      <c r="AB190" s="7" t="s">
        <v>160</v>
      </c>
      <c r="AC190" s="10"/>
      <c r="AD190" s="9" t="str">
        <f t="shared" si="10"/>
        <v>oui</v>
      </c>
      <c r="AE190" s="9" t="str">
        <f t="shared" si="11"/>
        <v>Résidence ou logement non vendable</v>
      </c>
      <c r="AF190" s="7"/>
      <c r="AG190" s="10"/>
      <c r="AH190" s="10"/>
      <c r="AI190" s="7" t="s">
        <v>160</v>
      </c>
      <c r="AJ190" s="10"/>
      <c r="AK190" s="10"/>
      <c r="AL190" s="10"/>
      <c r="AM190" s="11" t="s">
        <v>160</v>
      </c>
      <c r="AN190" s="11" t="s">
        <v>160</v>
      </c>
      <c r="AO190" s="11" t="s">
        <v>160</v>
      </c>
      <c r="AP190" s="11" t="s">
        <v>160</v>
      </c>
      <c r="AQ190" s="11"/>
      <c r="AR190" s="7"/>
    </row>
    <row r="191" spans="1:44" ht="27.6" x14ac:dyDescent="0.3">
      <c r="A191" s="6" t="s">
        <v>292</v>
      </c>
      <c r="B191" s="6" t="s">
        <v>1073</v>
      </c>
      <c r="C191" s="6" t="s">
        <v>1184</v>
      </c>
      <c r="D191" s="6" t="s">
        <v>85</v>
      </c>
      <c r="E191" s="6" t="s">
        <v>1185</v>
      </c>
      <c r="F191" s="7" t="s">
        <v>125</v>
      </c>
      <c r="G191" s="10"/>
      <c r="H191" s="7" t="s">
        <v>93</v>
      </c>
      <c r="I191" s="7"/>
      <c r="J191" s="10"/>
      <c r="K191" s="6" t="s">
        <v>93</v>
      </c>
      <c r="L191" s="7"/>
      <c r="M191" s="14"/>
      <c r="N191" s="7" t="s">
        <v>93</v>
      </c>
      <c r="O191" s="10"/>
      <c r="P191" s="7" t="s">
        <v>93</v>
      </c>
      <c r="Q191" s="15" t="str">
        <f>IF(P191="oui",MIN(Parametres!$B$4,MAX(Parametres!$B$3,IF(M191="",Parametres!$B$3,ROUND(M191*10%,0)))),"")</f>
        <v/>
      </c>
      <c r="R191" s="7" t="s">
        <v>160</v>
      </c>
      <c r="S191" s="7" t="s">
        <v>93</v>
      </c>
      <c r="T191" s="15" t="str">
        <f>IF(S191="oui",Parametres!$B$5,"")</f>
        <v/>
      </c>
      <c r="U191" s="7" t="s">
        <v>160</v>
      </c>
      <c r="V191" s="15">
        <f t="shared" si="8"/>
        <v>0</v>
      </c>
      <c r="W191" s="15" t="str">
        <f t="shared" si="9"/>
        <v/>
      </c>
      <c r="X191" s="6" t="s">
        <v>93</v>
      </c>
      <c r="Y191" s="7" t="s">
        <v>160</v>
      </c>
      <c r="Z191" s="10"/>
      <c r="AA191" s="6" t="s">
        <v>93</v>
      </c>
      <c r="AB191" s="7" t="s">
        <v>160</v>
      </c>
      <c r="AC191" s="10"/>
      <c r="AD191" s="9" t="str">
        <f t="shared" si="10"/>
        <v>oui</v>
      </c>
      <c r="AE191" s="9" t="str">
        <f t="shared" si="11"/>
        <v>Résidence ou logement non vendable</v>
      </c>
      <c r="AF191" s="7"/>
      <c r="AG191" s="10"/>
      <c r="AH191" s="10"/>
      <c r="AI191" s="7" t="s">
        <v>160</v>
      </c>
      <c r="AJ191" s="10"/>
      <c r="AK191" s="10"/>
      <c r="AL191" s="10"/>
      <c r="AM191" s="11" t="s">
        <v>160</v>
      </c>
      <c r="AN191" s="11" t="s">
        <v>160</v>
      </c>
      <c r="AO191" s="11" t="s">
        <v>160</v>
      </c>
      <c r="AP191" s="11" t="s">
        <v>160</v>
      </c>
      <c r="AQ191" s="11"/>
      <c r="AR191" s="7"/>
    </row>
    <row r="192" spans="1:44" ht="27.6" x14ac:dyDescent="0.3">
      <c r="A192" s="6" t="s">
        <v>292</v>
      </c>
      <c r="B192" s="6" t="s">
        <v>1073</v>
      </c>
      <c r="C192" s="6" t="s">
        <v>1190</v>
      </c>
      <c r="D192" s="6" t="s">
        <v>85</v>
      </c>
      <c r="E192" s="6" t="s">
        <v>1191</v>
      </c>
      <c r="F192" s="7" t="s">
        <v>125</v>
      </c>
      <c r="G192" s="10"/>
      <c r="H192" s="7" t="s">
        <v>93</v>
      </c>
      <c r="I192" s="7"/>
      <c r="J192" s="10"/>
      <c r="K192" s="6" t="s">
        <v>93</v>
      </c>
      <c r="L192" s="7"/>
      <c r="M192" s="14"/>
      <c r="N192" s="7" t="s">
        <v>93</v>
      </c>
      <c r="O192" s="10"/>
      <c r="P192" s="7" t="s">
        <v>93</v>
      </c>
      <c r="Q192" s="15" t="str">
        <f>IF(P192="oui",MIN(Parametres!$B$4,MAX(Parametres!$B$3,IF(M192="",Parametres!$B$3,ROUND(M192*10%,0)))),"")</f>
        <v/>
      </c>
      <c r="R192" s="7" t="s">
        <v>160</v>
      </c>
      <c r="S192" s="7" t="s">
        <v>93</v>
      </c>
      <c r="T192" s="15" t="str">
        <f>IF(S192="oui",Parametres!$B$5,"")</f>
        <v/>
      </c>
      <c r="U192" s="7" t="s">
        <v>160</v>
      </c>
      <c r="V192" s="15">
        <f t="shared" si="8"/>
        <v>0</v>
      </c>
      <c r="W192" s="15" t="str">
        <f t="shared" si="9"/>
        <v/>
      </c>
      <c r="X192" s="6" t="s">
        <v>93</v>
      </c>
      <c r="Y192" s="7" t="s">
        <v>160</v>
      </c>
      <c r="Z192" s="10"/>
      <c r="AA192" s="6" t="s">
        <v>93</v>
      </c>
      <c r="AB192" s="7" t="s">
        <v>160</v>
      </c>
      <c r="AC192" s="10"/>
      <c r="AD192" s="9" t="str">
        <f t="shared" si="10"/>
        <v>oui</v>
      </c>
      <c r="AE192" s="9" t="str">
        <f t="shared" si="11"/>
        <v>Résidence ou logement non vendable</v>
      </c>
      <c r="AF192" s="7"/>
      <c r="AG192" s="10"/>
      <c r="AH192" s="10"/>
      <c r="AI192" s="7" t="s">
        <v>160</v>
      </c>
      <c r="AJ192" s="10"/>
      <c r="AK192" s="10"/>
      <c r="AL192" s="10"/>
      <c r="AM192" s="11" t="s">
        <v>160</v>
      </c>
      <c r="AN192" s="11" t="s">
        <v>160</v>
      </c>
      <c r="AO192" s="11" t="s">
        <v>160</v>
      </c>
      <c r="AP192" s="11" t="s">
        <v>160</v>
      </c>
      <c r="AQ192" s="11"/>
      <c r="AR192" s="7"/>
    </row>
    <row r="193" spans="1:44" ht="27.6" x14ac:dyDescent="0.3">
      <c r="A193" s="6" t="s">
        <v>292</v>
      </c>
      <c r="B193" s="6" t="s">
        <v>1073</v>
      </c>
      <c r="C193" s="6" t="s">
        <v>1195</v>
      </c>
      <c r="D193" s="6" t="s">
        <v>85</v>
      </c>
      <c r="E193" s="6" t="s">
        <v>1196</v>
      </c>
      <c r="F193" s="7" t="s">
        <v>125</v>
      </c>
      <c r="G193" s="10"/>
      <c r="H193" s="7" t="s">
        <v>93</v>
      </c>
      <c r="I193" s="7"/>
      <c r="J193" s="10"/>
      <c r="K193" s="6" t="s">
        <v>93</v>
      </c>
      <c r="L193" s="7"/>
      <c r="M193" s="14"/>
      <c r="N193" s="7" t="s">
        <v>93</v>
      </c>
      <c r="O193" s="10"/>
      <c r="P193" s="7" t="s">
        <v>93</v>
      </c>
      <c r="Q193" s="15" t="str">
        <f>IF(P193="oui",MIN(Parametres!$B$4,MAX(Parametres!$B$3,IF(M193="",Parametres!$B$3,ROUND(M193*10%,0)))),"")</f>
        <v/>
      </c>
      <c r="R193" s="7" t="s">
        <v>160</v>
      </c>
      <c r="S193" s="7" t="s">
        <v>93</v>
      </c>
      <c r="T193" s="15" t="str">
        <f>IF(S193="oui",Parametres!$B$5,"")</f>
        <v/>
      </c>
      <c r="U193" s="7" t="s">
        <v>160</v>
      </c>
      <c r="V193" s="15">
        <f t="shared" si="8"/>
        <v>0</v>
      </c>
      <c r="W193" s="15" t="str">
        <f t="shared" si="9"/>
        <v/>
      </c>
      <c r="X193" s="6" t="s">
        <v>93</v>
      </c>
      <c r="Y193" s="7" t="s">
        <v>160</v>
      </c>
      <c r="Z193" s="10"/>
      <c r="AA193" s="6" t="s">
        <v>93</v>
      </c>
      <c r="AB193" s="7" t="s">
        <v>160</v>
      </c>
      <c r="AC193" s="10"/>
      <c r="AD193" s="9" t="str">
        <f t="shared" si="10"/>
        <v>oui</v>
      </c>
      <c r="AE193" s="9" t="str">
        <f t="shared" si="11"/>
        <v>Résidence ou logement non vendable</v>
      </c>
      <c r="AF193" s="7"/>
      <c r="AG193" s="10"/>
      <c r="AH193" s="10"/>
      <c r="AI193" s="7" t="s">
        <v>160</v>
      </c>
      <c r="AJ193" s="10"/>
      <c r="AK193" s="10"/>
      <c r="AL193" s="10"/>
      <c r="AM193" s="11" t="s">
        <v>160</v>
      </c>
      <c r="AN193" s="11" t="s">
        <v>160</v>
      </c>
      <c r="AO193" s="11" t="s">
        <v>160</v>
      </c>
      <c r="AP193" s="11" t="s">
        <v>160</v>
      </c>
      <c r="AQ193" s="11"/>
      <c r="AR193" s="7"/>
    </row>
    <row r="194" spans="1:44" ht="27.6" x14ac:dyDescent="0.3">
      <c r="A194" s="6" t="s">
        <v>292</v>
      </c>
      <c r="B194" s="6" t="s">
        <v>1073</v>
      </c>
      <c r="C194" s="6" t="s">
        <v>1199</v>
      </c>
      <c r="D194" s="6" t="s">
        <v>85</v>
      </c>
      <c r="E194" s="6" t="s">
        <v>1200</v>
      </c>
      <c r="F194" s="7" t="s">
        <v>125</v>
      </c>
      <c r="G194" s="10"/>
      <c r="H194" s="7" t="s">
        <v>93</v>
      </c>
      <c r="I194" s="7"/>
      <c r="J194" s="10"/>
      <c r="K194" s="6" t="s">
        <v>93</v>
      </c>
      <c r="L194" s="7"/>
      <c r="M194" s="14"/>
      <c r="N194" s="7" t="s">
        <v>93</v>
      </c>
      <c r="O194" s="10"/>
      <c r="P194" s="7" t="s">
        <v>93</v>
      </c>
      <c r="Q194" s="15" t="str">
        <f>IF(P194="oui",MIN(Parametres!$B$4,MAX(Parametres!$B$3,IF(M194="",Parametres!$B$3,ROUND(M194*10%,0)))),"")</f>
        <v/>
      </c>
      <c r="R194" s="7" t="s">
        <v>160</v>
      </c>
      <c r="S194" s="7" t="s">
        <v>93</v>
      </c>
      <c r="T194" s="15" t="str">
        <f>IF(S194="oui",Parametres!$B$5,"")</f>
        <v/>
      </c>
      <c r="U194" s="7" t="s">
        <v>160</v>
      </c>
      <c r="V194" s="15">
        <f t="shared" ref="V194:V257" si="12">SUM(Q194,T194)</f>
        <v>0</v>
      </c>
      <c r="W194" s="15" t="str">
        <f t="shared" ref="W194:W257" si="13">IF(M194="","",M194-V194)</f>
        <v/>
      </c>
      <c r="X194" s="6" t="s">
        <v>93</v>
      </c>
      <c r="Y194" s="7" t="s">
        <v>160</v>
      </c>
      <c r="Z194" s="10"/>
      <c r="AA194" s="6" t="s">
        <v>93</v>
      </c>
      <c r="AB194" s="7" t="s">
        <v>160</v>
      </c>
      <c r="AC194" s="10"/>
      <c r="AD194" s="9" t="str">
        <f t="shared" ref="AD194:AD257" si="14">IF(K194&lt;&gt;"oui","oui",IF(OR(AND(X194="oui",Y194&lt;&gt;"fait"),AND(AA194="oui",AB194&lt;&gt;"fait"),AND(P194="oui",R194&lt;&gt;"valide"),AND(S194="oui",U194&lt;&gt;"valide"),N194&lt;&gt;"oui"),"oui","non"))</f>
        <v>oui</v>
      </c>
      <c r="AE194" s="9" t="str">
        <f t="shared" ref="AE194:AE257" si="15">IF(K194&lt;&gt;"oui","Résidence ou logement non vendable",IF(AND(X194="oui",Y194&lt;&gt;"fait"),"TAE manquant",IF(AND(AA194="oui",AB194&lt;&gt;"fait"),"SPANC manquant",IF(AND(P194="oui",R194&lt;&gt;"valide"),"Chèque primo non validé",IF(AND(S194="oui",U194&lt;&gt;"valide"),"Chèque CINOR non validé",IF(N194&lt;&gt;"oui","Prix non confirmé",""))))))</f>
        <v>Résidence ou logement non vendable</v>
      </c>
      <c r="AF194" s="7"/>
      <c r="AG194" s="10"/>
      <c r="AH194" s="10"/>
      <c r="AI194" s="7" t="s">
        <v>160</v>
      </c>
      <c r="AJ194" s="10"/>
      <c r="AK194" s="10"/>
      <c r="AL194" s="10"/>
      <c r="AM194" s="11" t="s">
        <v>160</v>
      </c>
      <c r="AN194" s="11" t="s">
        <v>160</v>
      </c>
      <c r="AO194" s="11" t="s">
        <v>160</v>
      </c>
      <c r="AP194" s="11" t="s">
        <v>160</v>
      </c>
      <c r="AQ194" s="11"/>
      <c r="AR194" s="7"/>
    </row>
    <row r="195" spans="1:44" ht="27.6" x14ac:dyDescent="0.3">
      <c r="A195" s="6" t="s">
        <v>292</v>
      </c>
      <c r="B195" s="6" t="s">
        <v>1073</v>
      </c>
      <c r="C195" s="6" t="s">
        <v>1204</v>
      </c>
      <c r="D195" s="6" t="s">
        <v>85</v>
      </c>
      <c r="E195" s="6" t="s">
        <v>1205</v>
      </c>
      <c r="F195" s="7" t="s">
        <v>125</v>
      </c>
      <c r="G195" s="10"/>
      <c r="H195" s="7" t="s">
        <v>93</v>
      </c>
      <c r="I195" s="7"/>
      <c r="J195" s="10"/>
      <c r="K195" s="6" t="s">
        <v>93</v>
      </c>
      <c r="L195" s="7"/>
      <c r="M195" s="14"/>
      <c r="N195" s="7" t="s">
        <v>93</v>
      </c>
      <c r="O195" s="10"/>
      <c r="P195" s="7" t="s">
        <v>93</v>
      </c>
      <c r="Q195" s="15" t="str">
        <f>IF(P195="oui",MIN(Parametres!$B$4,MAX(Parametres!$B$3,IF(M195="",Parametres!$B$3,ROUND(M195*10%,0)))),"")</f>
        <v/>
      </c>
      <c r="R195" s="7" t="s">
        <v>160</v>
      </c>
      <c r="S195" s="7" t="s">
        <v>93</v>
      </c>
      <c r="T195" s="15" t="str">
        <f>IF(S195="oui",Parametres!$B$5,"")</f>
        <v/>
      </c>
      <c r="U195" s="7" t="s">
        <v>160</v>
      </c>
      <c r="V195" s="15">
        <f t="shared" si="12"/>
        <v>0</v>
      </c>
      <c r="W195" s="15" t="str">
        <f t="shared" si="13"/>
        <v/>
      </c>
      <c r="X195" s="6" t="s">
        <v>93</v>
      </c>
      <c r="Y195" s="7" t="s">
        <v>160</v>
      </c>
      <c r="Z195" s="10"/>
      <c r="AA195" s="6" t="s">
        <v>93</v>
      </c>
      <c r="AB195" s="7" t="s">
        <v>160</v>
      </c>
      <c r="AC195" s="10"/>
      <c r="AD195" s="9" t="str">
        <f t="shared" si="14"/>
        <v>oui</v>
      </c>
      <c r="AE195" s="9" t="str">
        <f t="shared" si="15"/>
        <v>Résidence ou logement non vendable</v>
      </c>
      <c r="AF195" s="7"/>
      <c r="AG195" s="10"/>
      <c r="AH195" s="10"/>
      <c r="AI195" s="7" t="s">
        <v>160</v>
      </c>
      <c r="AJ195" s="10"/>
      <c r="AK195" s="10"/>
      <c r="AL195" s="10"/>
      <c r="AM195" s="11" t="s">
        <v>160</v>
      </c>
      <c r="AN195" s="11" t="s">
        <v>160</v>
      </c>
      <c r="AO195" s="11" t="s">
        <v>160</v>
      </c>
      <c r="AP195" s="11" t="s">
        <v>160</v>
      </c>
      <c r="AQ195" s="11"/>
      <c r="AR195" s="7"/>
    </row>
    <row r="196" spans="1:44" ht="27.6" x14ac:dyDescent="0.3">
      <c r="A196" s="6" t="s">
        <v>292</v>
      </c>
      <c r="B196" s="6" t="s">
        <v>1073</v>
      </c>
      <c r="C196" s="6" t="s">
        <v>1210</v>
      </c>
      <c r="D196" s="6" t="s">
        <v>85</v>
      </c>
      <c r="E196" s="6" t="s">
        <v>1211</v>
      </c>
      <c r="F196" s="7" t="s">
        <v>125</v>
      </c>
      <c r="G196" s="10"/>
      <c r="H196" s="7" t="s">
        <v>93</v>
      </c>
      <c r="I196" s="7"/>
      <c r="J196" s="10"/>
      <c r="K196" s="6" t="s">
        <v>93</v>
      </c>
      <c r="L196" s="7"/>
      <c r="M196" s="14"/>
      <c r="N196" s="7" t="s">
        <v>93</v>
      </c>
      <c r="O196" s="10"/>
      <c r="P196" s="7" t="s">
        <v>93</v>
      </c>
      <c r="Q196" s="15" t="str">
        <f>IF(P196="oui",MIN(Parametres!$B$4,MAX(Parametres!$B$3,IF(M196="",Parametres!$B$3,ROUND(M196*10%,0)))),"")</f>
        <v/>
      </c>
      <c r="R196" s="7" t="s">
        <v>160</v>
      </c>
      <c r="S196" s="7" t="s">
        <v>93</v>
      </c>
      <c r="T196" s="15" t="str">
        <f>IF(S196="oui",Parametres!$B$5,"")</f>
        <v/>
      </c>
      <c r="U196" s="7" t="s">
        <v>160</v>
      </c>
      <c r="V196" s="15">
        <f t="shared" si="12"/>
        <v>0</v>
      </c>
      <c r="W196" s="15" t="str">
        <f t="shared" si="13"/>
        <v/>
      </c>
      <c r="X196" s="6" t="s">
        <v>93</v>
      </c>
      <c r="Y196" s="7" t="s">
        <v>160</v>
      </c>
      <c r="Z196" s="10"/>
      <c r="AA196" s="6" t="s">
        <v>93</v>
      </c>
      <c r="AB196" s="7" t="s">
        <v>160</v>
      </c>
      <c r="AC196" s="10"/>
      <c r="AD196" s="9" t="str">
        <f t="shared" si="14"/>
        <v>oui</v>
      </c>
      <c r="AE196" s="9" t="str">
        <f t="shared" si="15"/>
        <v>Résidence ou logement non vendable</v>
      </c>
      <c r="AF196" s="7"/>
      <c r="AG196" s="10"/>
      <c r="AH196" s="10"/>
      <c r="AI196" s="7" t="s">
        <v>160</v>
      </c>
      <c r="AJ196" s="10"/>
      <c r="AK196" s="10"/>
      <c r="AL196" s="10"/>
      <c r="AM196" s="11" t="s">
        <v>160</v>
      </c>
      <c r="AN196" s="11" t="s">
        <v>160</v>
      </c>
      <c r="AO196" s="11" t="s">
        <v>160</v>
      </c>
      <c r="AP196" s="11" t="s">
        <v>160</v>
      </c>
      <c r="AQ196" s="11"/>
      <c r="AR196" s="7"/>
    </row>
    <row r="197" spans="1:44" ht="27.6" x14ac:dyDescent="0.3">
      <c r="A197" s="6" t="s">
        <v>292</v>
      </c>
      <c r="B197" s="6" t="s">
        <v>1073</v>
      </c>
      <c r="C197" s="6" t="s">
        <v>1215</v>
      </c>
      <c r="D197" s="6" t="s">
        <v>85</v>
      </c>
      <c r="E197" s="6" t="s">
        <v>1216</v>
      </c>
      <c r="F197" s="7" t="s">
        <v>125</v>
      </c>
      <c r="G197" s="10"/>
      <c r="H197" s="7" t="s">
        <v>93</v>
      </c>
      <c r="I197" s="7"/>
      <c r="J197" s="10"/>
      <c r="K197" s="6" t="s">
        <v>93</v>
      </c>
      <c r="L197" s="7"/>
      <c r="M197" s="14"/>
      <c r="N197" s="7" t="s">
        <v>93</v>
      </c>
      <c r="O197" s="10"/>
      <c r="P197" s="7" t="s">
        <v>93</v>
      </c>
      <c r="Q197" s="15" t="str">
        <f>IF(P197="oui",MIN(Parametres!$B$4,MAX(Parametres!$B$3,IF(M197="",Parametres!$B$3,ROUND(M197*10%,0)))),"")</f>
        <v/>
      </c>
      <c r="R197" s="7" t="s">
        <v>160</v>
      </c>
      <c r="S197" s="7" t="s">
        <v>93</v>
      </c>
      <c r="T197" s="15" t="str">
        <f>IF(S197="oui",Parametres!$B$5,"")</f>
        <v/>
      </c>
      <c r="U197" s="7" t="s">
        <v>160</v>
      </c>
      <c r="V197" s="15">
        <f t="shared" si="12"/>
        <v>0</v>
      </c>
      <c r="W197" s="15" t="str">
        <f t="shared" si="13"/>
        <v/>
      </c>
      <c r="X197" s="6" t="s">
        <v>93</v>
      </c>
      <c r="Y197" s="7" t="s">
        <v>160</v>
      </c>
      <c r="Z197" s="10"/>
      <c r="AA197" s="6" t="s">
        <v>93</v>
      </c>
      <c r="AB197" s="7" t="s">
        <v>160</v>
      </c>
      <c r="AC197" s="10"/>
      <c r="AD197" s="9" t="str">
        <f t="shared" si="14"/>
        <v>oui</v>
      </c>
      <c r="AE197" s="9" t="str">
        <f t="shared" si="15"/>
        <v>Résidence ou logement non vendable</v>
      </c>
      <c r="AF197" s="7"/>
      <c r="AG197" s="10"/>
      <c r="AH197" s="10"/>
      <c r="AI197" s="7" t="s">
        <v>160</v>
      </c>
      <c r="AJ197" s="10"/>
      <c r="AK197" s="10"/>
      <c r="AL197" s="10"/>
      <c r="AM197" s="11" t="s">
        <v>160</v>
      </c>
      <c r="AN197" s="11" t="s">
        <v>160</v>
      </c>
      <c r="AO197" s="11" t="s">
        <v>160</v>
      </c>
      <c r="AP197" s="11" t="s">
        <v>160</v>
      </c>
      <c r="AQ197" s="11"/>
      <c r="AR197" s="7"/>
    </row>
    <row r="198" spans="1:44" ht="27.6" x14ac:dyDescent="0.3">
      <c r="A198" s="6" t="s">
        <v>292</v>
      </c>
      <c r="B198" s="6" t="s">
        <v>1073</v>
      </c>
      <c r="C198" s="6" t="s">
        <v>1221</v>
      </c>
      <c r="D198" s="6" t="s">
        <v>85</v>
      </c>
      <c r="E198" s="6" t="s">
        <v>1222</v>
      </c>
      <c r="F198" s="7" t="s">
        <v>125</v>
      </c>
      <c r="G198" s="10"/>
      <c r="H198" s="7" t="s">
        <v>93</v>
      </c>
      <c r="I198" s="7"/>
      <c r="J198" s="10"/>
      <c r="K198" s="6" t="s">
        <v>93</v>
      </c>
      <c r="L198" s="7"/>
      <c r="M198" s="14"/>
      <c r="N198" s="7" t="s">
        <v>93</v>
      </c>
      <c r="O198" s="10"/>
      <c r="P198" s="7" t="s">
        <v>93</v>
      </c>
      <c r="Q198" s="15" t="str">
        <f>IF(P198="oui",MIN(Parametres!$B$4,MAX(Parametres!$B$3,IF(M198="",Parametres!$B$3,ROUND(M198*10%,0)))),"")</f>
        <v/>
      </c>
      <c r="R198" s="7" t="s">
        <v>160</v>
      </c>
      <c r="S198" s="7" t="s">
        <v>93</v>
      </c>
      <c r="T198" s="15" t="str">
        <f>IF(S198="oui",Parametres!$B$5,"")</f>
        <v/>
      </c>
      <c r="U198" s="7" t="s">
        <v>160</v>
      </c>
      <c r="V198" s="15">
        <f t="shared" si="12"/>
        <v>0</v>
      </c>
      <c r="W198" s="15" t="str">
        <f t="shared" si="13"/>
        <v/>
      </c>
      <c r="X198" s="6" t="s">
        <v>93</v>
      </c>
      <c r="Y198" s="7" t="s">
        <v>160</v>
      </c>
      <c r="Z198" s="10"/>
      <c r="AA198" s="6" t="s">
        <v>93</v>
      </c>
      <c r="AB198" s="7" t="s">
        <v>160</v>
      </c>
      <c r="AC198" s="10"/>
      <c r="AD198" s="9" t="str">
        <f t="shared" si="14"/>
        <v>oui</v>
      </c>
      <c r="AE198" s="9" t="str">
        <f t="shared" si="15"/>
        <v>Résidence ou logement non vendable</v>
      </c>
      <c r="AF198" s="7"/>
      <c r="AG198" s="10"/>
      <c r="AH198" s="10"/>
      <c r="AI198" s="7" t="s">
        <v>160</v>
      </c>
      <c r="AJ198" s="10"/>
      <c r="AK198" s="10"/>
      <c r="AL198" s="10"/>
      <c r="AM198" s="11" t="s">
        <v>160</v>
      </c>
      <c r="AN198" s="11" t="s">
        <v>160</v>
      </c>
      <c r="AO198" s="11" t="s">
        <v>160</v>
      </c>
      <c r="AP198" s="11" t="s">
        <v>160</v>
      </c>
      <c r="AQ198" s="11"/>
      <c r="AR198" s="7"/>
    </row>
    <row r="199" spans="1:44" ht="27.6" x14ac:dyDescent="0.3">
      <c r="A199" s="6" t="s">
        <v>292</v>
      </c>
      <c r="B199" s="6" t="s">
        <v>1073</v>
      </c>
      <c r="C199" s="6" t="s">
        <v>1224</v>
      </c>
      <c r="D199" s="6" t="s">
        <v>85</v>
      </c>
      <c r="E199" s="6" t="s">
        <v>1225</v>
      </c>
      <c r="F199" s="7" t="s">
        <v>125</v>
      </c>
      <c r="G199" s="10"/>
      <c r="H199" s="7" t="s">
        <v>93</v>
      </c>
      <c r="I199" s="7"/>
      <c r="J199" s="10"/>
      <c r="K199" s="6" t="s">
        <v>93</v>
      </c>
      <c r="L199" s="7"/>
      <c r="M199" s="14"/>
      <c r="N199" s="7" t="s">
        <v>93</v>
      </c>
      <c r="O199" s="10"/>
      <c r="P199" s="7" t="s">
        <v>93</v>
      </c>
      <c r="Q199" s="15" t="str">
        <f>IF(P199="oui",MIN(Parametres!$B$4,MAX(Parametres!$B$3,IF(M199="",Parametres!$B$3,ROUND(M199*10%,0)))),"")</f>
        <v/>
      </c>
      <c r="R199" s="7" t="s">
        <v>160</v>
      </c>
      <c r="S199" s="7" t="s">
        <v>93</v>
      </c>
      <c r="T199" s="15" t="str">
        <f>IF(S199="oui",Parametres!$B$5,"")</f>
        <v/>
      </c>
      <c r="U199" s="7" t="s">
        <v>160</v>
      </c>
      <c r="V199" s="15">
        <f t="shared" si="12"/>
        <v>0</v>
      </c>
      <c r="W199" s="15" t="str">
        <f t="shared" si="13"/>
        <v/>
      </c>
      <c r="X199" s="6" t="s">
        <v>93</v>
      </c>
      <c r="Y199" s="7" t="s">
        <v>160</v>
      </c>
      <c r="Z199" s="10"/>
      <c r="AA199" s="6" t="s">
        <v>93</v>
      </c>
      <c r="AB199" s="7" t="s">
        <v>160</v>
      </c>
      <c r="AC199" s="10"/>
      <c r="AD199" s="9" t="str">
        <f t="shared" si="14"/>
        <v>oui</v>
      </c>
      <c r="AE199" s="9" t="str">
        <f t="shared" si="15"/>
        <v>Résidence ou logement non vendable</v>
      </c>
      <c r="AF199" s="7"/>
      <c r="AG199" s="10"/>
      <c r="AH199" s="10"/>
      <c r="AI199" s="7" t="s">
        <v>160</v>
      </c>
      <c r="AJ199" s="10"/>
      <c r="AK199" s="10"/>
      <c r="AL199" s="10"/>
      <c r="AM199" s="11" t="s">
        <v>160</v>
      </c>
      <c r="AN199" s="11" t="s">
        <v>160</v>
      </c>
      <c r="AO199" s="11" t="s">
        <v>160</v>
      </c>
      <c r="AP199" s="11" t="s">
        <v>160</v>
      </c>
      <c r="AQ199" s="11"/>
      <c r="AR199" s="7"/>
    </row>
    <row r="200" spans="1:44" ht="27.6" x14ac:dyDescent="0.3">
      <c r="A200" s="6" t="s">
        <v>292</v>
      </c>
      <c r="B200" s="6" t="s">
        <v>1073</v>
      </c>
      <c r="C200" s="6" t="s">
        <v>1230</v>
      </c>
      <c r="D200" s="6" t="s">
        <v>85</v>
      </c>
      <c r="E200" s="6" t="s">
        <v>1231</v>
      </c>
      <c r="F200" s="7" t="s">
        <v>125</v>
      </c>
      <c r="G200" s="10"/>
      <c r="H200" s="7" t="s">
        <v>93</v>
      </c>
      <c r="I200" s="7"/>
      <c r="J200" s="10"/>
      <c r="K200" s="6" t="s">
        <v>93</v>
      </c>
      <c r="L200" s="7"/>
      <c r="M200" s="14"/>
      <c r="N200" s="7" t="s">
        <v>93</v>
      </c>
      <c r="O200" s="10"/>
      <c r="P200" s="7" t="s">
        <v>93</v>
      </c>
      <c r="Q200" s="15" t="str">
        <f>IF(P200="oui",MIN(Parametres!$B$4,MAX(Parametres!$B$3,IF(M200="",Parametres!$B$3,ROUND(M200*10%,0)))),"")</f>
        <v/>
      </c>
      <c r="R200" s="7" t="s">
        <v>160</v>
      </c>
      <c r="S200" s="7" t="s">
        <v>93</v>
      </c>
      <c r="T200" s="15" t="str">
        <f>IF(S200="oui",Parametres!$B$5,"")</f>
        <v/>
      </c>
      <c r="U200" s="7" t="s">
        <v>160</v>
      </c>
      <c r="V200" s="15">
        <f t="shared" si="12"/>
        <v>0</v>
      </c>
      <c r="W200" s="15" t="str">
        <f t="shared" si="13"/>
        <v/>
      </c>
      <c r="X200" s="6" t="s">
        <v>93</v>
      </c>
      <c r="Y200" s="7" t="s">
        <v>160</v>
      </c>
      <c r="Z200" s="10"/>
      <c r="AA200" s="6" t="s">
        <v>93</v>
      </c>
      <c r="AB200" s="7" t="s">
        <v>160</v>
      </c>
      <c r="AC200" s="10"/>
      <c r="AD200" s="9" t="str">
        <f t="shared" si="14"/>
        <v>oui</v>
      </c>
      <c r="AE200" s="9" t="str">
        <f t="shared" si="15"/>
        <v>Résidence ou logement non vendable</v>
      </c>
      <c r="AF200" s="7"/>
      <c r="AG200" s="10"/>
      <c r="AH200" s="10"/>
      <c r="AI200" s="7" t="s">
        <v>160</v>
      </c>
      <c r="AJ200" s="10"/>
      <c r="AK200" s="10"/>
      <c r="AL200" s="10"/>
      <c r="AM200" s="11" t="s">
        <v>160</v>
      </c>
      <c r="AN200" s="11" t="s">
        <v>160</v>
      </c>
      <c r="AO200" s="11" t="s">
        <v>160</v>
      </c>
      <c r="AP200" s="11" t="s">
        <v>160</v>
      </c>
      <c r="AQ200" s="11"/>
      <c r="AR200" s="7"/>
    </row>
    <row r="201" spans="1:44" ht="27.6" x14ac:dyDescent="0.3">
      <c r="A201" s="6" t="s">
        <v>292</v>
      </c>
      <c r="B201" s="6" t="s">
        <v>1073</v>
      </c>
      <c r="C201" s="6" t="s">
        <v>1235</v>
      </c>
      <c r="D201" s="6" t="s">
        <v>85</v>
      </c>
      <c r="E201" s="6" t="s">
        <v>1236</v>
      </c>
      <c r="F201" s="7" t="s">
        <v>125</v>
      </c>
      <c r="G201" s="10"/>
      <c r="H201" s="7" t="s">
        <v>93</v>
      </c>
      <c r="I201" s="7"/>
      <c r="J201" s="10"/>
      <c r="K201" s="6" t="s">
        <v>93</v>
      </c>
      <c r="L201" s="7"/>
      <c r="M201" s="14"/>
      <c r="N201" s="7" t="s">
        <v>93</v>
      </c>
      <c r="O201" s="10"/>
      <c r="P201" s="7" t="s">
        <v>93</v>
      </c>
      <c r="Q201" s="15" t="str">
        <f>IF(P201="oui",MIN(Parametres!$B$4,MAX(Parametres!$B$3,IF(M201="",Parametres!$B$3,ROUND(M201*10%,0)))),"")</f>
        <v/>
      </c>
      <c r="R201" s="7" t="s">
        <v>160</v>
      </c>
      <c r="S201" s="7" t="s">
        <v>93</v>
      </c>
      <c r="T201" s="15" t="str">
        <f>IF(S201="oui",Parametres!$B$5,"")</f>
        <v/>
      </c>
      <c r="U201" s="7" t="s">
        <v>160</v>
      </c>
      <c r="V201" s="15">
        <f t="shared" si="12"/>
        <v>0</v>
      </c>
      <c r="W201" s="15" t="str">
        <f t="shared" si="13"/>
        <v/>
      </c>
      <c r="X201" s="6" t="s">
        <v>93</v>
      </c>
      <c r="Y201" s="7" t="s">
        <v>160</v>
      </c>
      <c r="Z201" s="10"/>
      <c r="AA201" s="6" t="s">
        <v>93</v>
      </c>
      <c r="AB201" s="7" t="s">
        <v>160</v>
      </c>
      <c r="AC201" s="10"/>
      <c r="AD201" s="9" t="str">
        <f t="shared" si="14"/>
        <v>oui</v>
      </c>
      <c r="AE201" s="9" t="str">
        <f t="shared" si="15"/>
        <v>Résidence ou logement non vendable</v>
      </c>
      <c r="AF201" s="7"/>
      <c r="AG201" s="10"/>
      <c r="AH201" s="10"/>
      <c r="AI201" s="7" t="s">
        <v>160</v>
      </c>
      <c r="AJ201" s="10"/>
      <c r="AK201" s="10"/>
      <c r="AL201" s="10"/>
      <c r="AM201" s="11" t="s">
        <v>160</v>
      </c>
      <c r="AN201" s="11" t="s">
        <v>160</v>
      </c>
      <c r="AO201" s="11" t="s">
        <v>160</v>
      </c>
      <c r="AP201" s="11" t="s">
        <v>160</v>
      </c>
      <c r="AQ201" s="11"/>
      <c r="AR201" s="7"/>
    </row>
    <row r="202" spans="1:44" ht="27.6" x14ac:dyDescent="0.3">
      <c r="A202" s="6" t="s">
        <v>292</v>
      </c>
      <c r="B202" s="6" t="s">
        <v>1073</v>
      </c>
      <c r="C202" s="6" t="s">
        <v>1240</v>
      </c>
      <c r="D202" s="6" t="s">
        <v>85</v>
      </c>
      <c r="E202" s="6" t="s">
        <v>1241</v>
      </c>
      <c r="F202" s="7" t="s">
        <v>125</v>
      </c>
      <c r="G202" s="10"/>
      <c r="H202" s="7" t="s">
        <v>93</v>
      </c>
      <c r="I202" s="7"/>
      <c r="J202" s="10"/>
      <c r="K202" s="6" t="s">
        <v>93</v>
      </c>
      <c r="L202" s="7"/>
      <c r="M202" s="14"/>
      <c r="N202" s="7" t="s">
        <v>93</v>
      </c>
      <c r="O202" s="10"/>
      <c r="P202" s="7" t="s">
        <v>93</v>
      </c>
      <c r="Q202" s="15" t="str">
        <f>IF(P202="oui",MIN(Parametres!$B$4,MAX(Parametres!$B$3,IF(M202="",Parametres!$B$3,ROUND(M202*10%,0)))),"")</f>
        <v/>
      </c>
      <c r="R202" s="7" t="s">
        <v>160</v>
      </c>
      <c r="S202" s="7" t="s">
        <v>93</v>
      </c>
      <c r="T202" s="15" t="str">
        <f>IF(S202="oui",Parametres!$B$5,"")</f>
        <v/>
      </c>
      <c r="U202" s="7" t="s">
        <v>160</v>
      </c>
      <c r="V202" s="15">
        <f t="shared" si="12"/>
        <v>0</v>
      </c>
      <c r="W202" s="15" t="str">
        <f t="shared" si="13"/>
        <v/>
      </c>
      <c r="X202" s="6" t="s">
        <v>93</v>
      </c>
      <c r="Y202" s="7" t="s">
        <v>160</v>
      </c>
      <c r="Z202" s="10"/>
      <c r="AA202" s="6" t="s">
        <v>93</v>
      </c>
      <c r="AB202" s="7" t="s">
        <v>160</v>
      </c>
      <c r="AC202" s="10"/>
      <c r="AD202" s="9" t="str">
        <f t="shared" si="14"/>
        <v>oui</v>
      </c>
      <c r="AE202" s="9" t="str">
        <f t="shared" si="15"/>
        <v>Résidence ou logement non vendable</v>
      </c>
      <c r="AF202" s="7"/>
      <c r="AG202" s="10"/>
      <c r="AH202" s="10"/>
      <c r="AI202" s="7" t="s">
        <v>160</v>
      </c>
      <c r="AJ202" s="10"/>
      <c r="AK202" s="10"/>
      <c r="AL202" s="10"/>
      <c r="AM202" s="11" t="s">
        <v>160</v>
      </c>
      <c r="AN202" s="11" t="s">
        <v>160</v>
      </c>
      <c r="AO202" s="11" t="s">
        <v>160</v>
      </c>
      <c r="AP202" s="11" t="s">
        <v>160</v>
      </c>
      <c r="AQ202" s="11"/>
      <c r="AR202" s="7"/>
    </row>
    <row r="203" spans="1:44" ht="27.6" x14ac:dyDescent="0.3">
      <c r="A203" s="6" t="s">
        <v>292</v>
      </c>
      <c r="B203" s="6" t="s">
        <v>1073</v>
      </c>
      <c r="C203" s="6" t="s">
        <v>1244</v>
      </c>
      <c r="D203" s="6" t="s">
        <v>85</v>
      </c>
      <c r="E203" s="6" t="s">
        <v>1245</v>
      </c>
      <c r="F203" s="7" t="s">
        <v>125</v>
      </c>
      <c r="G203" s="10"/>
      <c r="H203" s="7" t="s">
        <v>93</v>
      </c>
      <c r="I203" s="7"/>
      <c r="J203" s="10"/>
      <c r="K203" s="6" t="s">
        <v>93</v>
      </c>
      <c r="L203" s="7"/>
      <c r="M203" s="14"/>
      <c r="N203" s="7" t="s">
        <v>93</v>
      </c>
      <c r="O203" s="10"/>
      <c r="P203" s="7" t="s">
        <v>93</v>
      </c>
      <c r="Q203" s="15" t="str">
        <f>IF(P203="oui",MIN(Parametres!$B$4,MAX(Parametres!$B$3,IF(M203="",Parametres!$B$3,ROUND(M203*10%,0)))),"")</f>
        <v/>
      </c>
      <c r="R203" s="7" t="s">
        <v>160</v>
      </c>
      <c r="S203" s="7" t="s">
        <v>93</v>
      </c>
      <c r="T203" s="15" t="str">
        <f>IF(S203="oui",Parametres!$B$5,"")</f>
        <v/>
      </c>
      <c r="U203" s="7" t="s">
        <v>160</v>
      </c>
      <c r="V203" s="15">
        <f t="shared" si="12"/>
        <v>0</v>
      </c>
      <c r="W203" s="15" t="str">
        <f t="shared" si="13"/>
        <v/>
      </c>
      <c r="X203" s="6" t="s">
        <v>93</v>
      </c>
      <c r="Y203" s="7" t="s">
        <v>160</v>
      </c>
      <c r="Z203" s="10"/>
      <c r="AA203" s="6" t="s">
        <v>93</v>
      </c>
      <c r="AB203" s="7" t="s">
        <v>160</v>
      </c>
      <c r="AC203" s="10"/>
      <c r="AD203" s="9" t="str">
        <f t="shared" si="14"/>
        <v>oui</v>
      </c>
      <c r="AE203" s="9" t="str">
        <f t="shared" si="15"/>
        <v>Résidence ou logement non vendable</v>
      </c>
      <c r="AF203" s="7"/>
      <c r="AG203" s="10"/>
      <c r="AH203" s="10"/>
      <c r="AI203" s="7" t="s">
        <v>160</v>
      </c>
      <c r="AJ203" s="10"/>
      <c r="AK203" s="10"/>
      <c r="AL203" s="10"/>
      <c r="AM203" s="11" t="s">
        <v>160</v>
      </c>
      <c r="AN203" s="11" t="s">
        <v>160</v>
      </c>
      <c r="AO203" s="11" t="s">
        <v>160</v>
      </c>
      <c r="AP203" s="11" t="s">
        <v>160</v>
      </c>
      <c r="AQ203" s="11"/>
      <c r="AR203" s="7"/>
    </row>
    <row r="204" spans="1:44" ht="27.6" x14ac:dyDescent="0.3">
      <c r="A204" s="6" t="s">
        <v>292</v>
      </c>
      <c r="B204" s="6" t="s">
        <v>1073</v>
      </c>
      <c r="C204" s="6" t="s">
        <v>1249</v>
      </c>
      <c r="D204" s="6" t="s">
        <v>85</v>
      </c>
      <c r="E204" s="6" t="s">
        <v>1250</v>
      </c>
      <c r="F204" s="7" t="s">
        <v>125</v>
      </c>
      <c r="G204" s="10"/>
      <c r="H204" s="7" t="s">
        <v>93</v>
      </c>
      <c r="I204" s="7"/>
      <c r="J204" s="10"/>
      <c r="K204" s="6" t="s">
        <v>93</v>
      </c>
      <c r="L204" s="7"/>
      <c r="M204" s="14"/>
      <c r="N204" s="7" t="s">
        <v>93</v>
      </c>
      <c r="O204" s="10"/>
      <c r="P204" s="7" t="s">
        <v>93</v>
      </c>
      <c r="Q204" s="15" t="str">
        <f>IF(P204="oui",MIN(Parametres!$B$4,MAX(Parametres!$B$3,IF(M204="",Parametres!$B$3,ROUND(M204*10%,0)))),"")</f>
        <v/>
      </c>
      <c r="R204" s="7" t="s">
        <v>160</v>
      </c>
      <c r="S204" s="7" t="s">
        <v>93</v>
      </c>
      <c r="T204" s="15" t="str">
        <f>IF(S204="oui",Parametres!$B$5,"")</f>
        <v/>
      </c>
      <c r="U204" s="7" t="s">
        <v>160</v>
      </c>
      <c r="V204" s="15">
        <f t="shared" si="12"/>
        <v>0</v>
      </c>
      <c r="W204" s="15" t="str">
        <f t="shared" si="13"/>
        <v/>
      </c>
      <c r="X204" s="6" t="s">
        <v>93</v>
      </c>
      <c r="Y204" s="7" t="s">
        <v>160</v>
      </c>
      <c r="Z204" s="10"/>
      <c r="AA204" s="6" t="s">
        <v>93</v>
      </c>
      <c r="AB204" s="7" t="s">
        <v>160</v>
      </c>
      <c r="AC204" s="10"/>
      <c r="AD204" s="9" t="str">
        <f t="shared" si="14"/>
        <v>oui</v>
      </c>
      <c r="AE204" s="9" t="str">
        <f t="shared" si="15"/>
        <v>Résidence ou logement non vendable</v>
      </c>
      <c r="AF204" s="7"/>
      <c r="AG204" s="10"/>
      <c r="AH204" s="10"/>
      <c r="AI204" s="7" t="s">
        <v>160</v>
      </c>
      <c r="AJ204" s="10"/>
      <c r="AK204" s="10"/>
      <c r="AL204" s="10"/>
      <c r="AM204" s="11" t="s">
        <v>160</v>
      </c>
      <c r="AN204" s="11" t="s">
        <v>160</v>
      </c>
      <c r="AO204" s="11" t="s">
        <v>160</v>
      </c>
      <c r="AP204" s="11" t="s">
        <v>160</v>
      </c>
      <c r="AQ204" s="11"/>
      <c r="AR204" s="7"/>
    </row>
    <row r="205" spans="1:44" ht="27.6" x14ac:dyDescent="0.3">
      <c r="A205" s="6" t="s">
        <v>292</v>
      </c>
      <c r="B205" s="6" t="s">
        <v>1073</v>
      </c>
      <c r="C205" s="6" t="s">
        <v>1254</v>
      </c>
      <c r="D205" s="6" t="s">
        <v>85</v>
      </c>
      <c r="E205" s="6" t="s">
        <v>1255</v>
      </c>
      <c r="F205" s="7" t="s">
        <v>125</v>
      </c>
      <c r="G205" s="10"/>
      <c r="H205" s="7" t="s">
        <v>93</v>
      </c>
      <c r="I205" s="7"/>
      <c r="J205" s="10"/>
      <c r="K205" s="6" t="s">
        <v>93</v>
      </c>
      <c r="L205" s="7"/>
      <c r="M205" s="14"/>
      <c r="N205" s="7" t="s">
        <v>93</v>
      </c>
      <c r="O205" s="10"/>
      <c r="P205" s="7" t="s">
        <v>93</v>
      </c>
      <c r="Q205" s="15" t="str">
        <f>IF(P205="oui",MIN(Parametres!$B$4,MAX(Parametres!$B$3,IF(M205="",Parametres!$B$3,ROUND(M205*10%,0)))),"")</f>
        <v/>
      </c>
      <c r="R205" s="7" t="s">
        <v>160</v>
      </c>
      <c r="S205" s="7" t="s">
        <v>93</v>
      </c>
      <c r="T205" s="15" t="str">
        <f>IF(S205="oui",Parametres!$B$5,"")</f>
        <v/>
      </c>
      <c r="U205" s="7" t="s">
        <v>160</v>
      </c>
      <c r="V205" s="15">
        <f t="shared" si="12"/>
        <v>0</v>
      </c>
      <c r="W205" s="15" t="str">
        <f t="shared" si="13"/>
        <v/>
      </c>
      <c r="X205" s="6" t="s">
        <v>93</v>
      </c>
      <c r="Y205" s="7" t="s">
        <v>160</v>
      </c>
      <c r="Z205" s="10"/>
      <c r="AA205" s="6" t="s">
        <v>93</v>
      </c>
      <c r="AB205" s="7" t="s">
        <v>160</v>
      </c>
      <c r="AC205" s="10"/>
      <c r="AD205" s="9" t="str">
        <f t="shared" si="14"/>
        <v>oui</v>
      </c>
      <c r="AE205" s="9" t="str">
        <f t="shared" si="15"/>
        <v>Résidence ou logement non vendable</v>
      </c>
      <c r="AF205" s="7"/>
      <c r="AG205" s="10"/>
      <c r="AH205" s="10"/>
      <c r="AI205" s="7" t="s">
        <v>160</v>
      </c>
      <c r="AJ205" s="10"/>
      <c r="AK205" s="10"/>
      <c r="AL205" s="10"/>
      <c r="AM205" s="11" t="s">
        <v>160</v>
      </c>
      <c r="AN205" s="11" t="s">
        <v>160</v>
      </c>
      <c r="AO205" s="11" t="s">
        <v>160</v>
      </c>
      <c r="AP205" s="11" t="s">
        <v>160</v>
      </c>
      <c r="AQ205" s="11"/>
      <c r="AR205" s="7"/>
    </row>
    <row r="206" spans="1:44" ht="27.6" x14ac:dyDescent="0.3">
      <c r="A206" s="6" t="s">
        <v>292</v>
      </c>
      <c r="B206" s="6" t="s">
        <v>1073</v>
      </c>
      <c r="C206" s="6" t="s">
        <v>1259</v>
      </c>
      <c r="D206" s="6" t="s">
        <v>85</v>
      </c>
      <c r="E206" s="6" t="s">
        <v>1260</v>
      </c>
      <c r="F206" s="7" t="s">
        <v>125</v>
      </c>
      <c r="G206" s="10"/>
      <c r="H206" s="7" t="s">
        <v>93</v>
      </c>
      <c r="I206" s="7"/>
      <c r="J206" s="10"/>
      <c r="K206" s="6" t="s">
        <v>93</v>
      </c>
      <c r="L206" s="7"/>
      <c r="M206" s="14"/>
      <c r="N206" s="7" t="s">
        <v>93</v>
      </c>
      <c r="O206" s="10"/>
      <c r="P206" s="7" t="s">
        <v>93</v>
      </c>
      <c r="Q206" s="15" t="str">
        <f>IF(P206="oui",MIN(Parametres!$B$4,MAX(Parametres!$B$3,IF(M206="",Parametres!$B$3,ROUND(M206*10%,0)))),"")</f>
        <v/>
      </c>
      <c r="R206" s="7" t="s">
        <v>160</v>
      </c>
      <c r="S206" s="7" t="s">
        <v>93</v>
      </c>
      <c r="T206" s="15" t="str">
        <f>IF(S206="oui",Parametres!$B$5,"")</f>
        <v/>
      </c>
      <c r="U206" s="7" t="s">
        <v>160</v>
      </c>
      <c r="V206" s="15">
        <f t="shared" si="12"/>
        <v>0</v>
      </c>
      <c r="W206" s="15" t="str">
        <f t="shared" si="13"/>
        <v/>
      </c>
      <c r="X206" s="6" t="s">
        <v>93</v>
      </c>
      <c r="Y206" s="7" t="s">
        <v>160</v>
      </c>
      <c r="Z206" s="10"/>
      <c r="AA206" s="6" t="s">
        <v>93</v>
      </c>
      <c r="AB206" s="7" t="s">
        <v>160</v>
      </c>
      <c r="AC206" s="10"/>
      <c r="AD206" s="9" t="str">
        <f t="shared" si="14"/>
        <v>oui</v>
      </c>
      <c r="AE206" s="9" t="str">
        <f t="shared" si="15"/>
        <v>Résidence ou logement non vendable</v>
      </c>
      <c r="AF206" s="7"/>
      <c r="AG206" s="10"/>
      <c r="AH206" s="10"/>
      <c r="AI206" s="7" t="s">
        <v>160</v>
      </c>
      <c r="AJ206" s="10"/>
      <c r="AK206" s="10"/>
      <c r="AL206" s="10"/>
      <c r="AM206" s="11" t="s">
        <v>160</v>
      </c>
      <c r="AN206" s="11" t="s">
        <v>160</v>
      </c>
      <c r="AO206" s="11" t="s">
        <v>160</v>
      </c>
      <c r="AP206" s="11" t="s">
        <v>160</v>
      </c>
      <c r="AQ206" s="11"/>
      <c r="AR206" s="7"/>
    </row>
    <row r="207" spans="1:44" ht="27.6" x14ac:dyDescent="0.3">
      <c r="A207" s="6" t="s">
        <v>292</v>
      </c>
      <c r="B207" s="6" t="s">
        <v>1073</v>
      </c>
      <c r="C207" s="6" t="s">
        <v>1261</v>
      </c>
      <c r="D207" s="6" t="s">
        <v>85</v>
      </c>
      <c r="E207" s="6" t="s">
        <v>1262</v>
      </c>
      <c r="F207" s="7" t="s">
        <v>125</v>
      </c>
      <c r="G207" s="10"/>
      <c r="H207" s="7" t="s">
        <v>93</v>
      </c>
      <c r="I207" s="7"/>
      <c r="J207" s="10"/>
      <c r="K207" s="6" t="s">
        <v>93</v>
      </c>
      <c r="L207" s="7"/>
      <c r="M207" s="14"/>
      <c r="N207" s="7" t="s">
        <v>93</v>
      </c>
      <c r="O207" s="10"/>
      <c r="P207" s="7" t="s">
        <v>93</v>
      </c>
      <c r="Q207" s="15" t="str">
        <f>IF(P207="oui",MIN(Parametres!$B$4,MAX(Parametres!$B$3,IF(M207="",Parametres!$B$3,ROUND(M207*10%,0)))),"")</f>
        <v/>
      </c>
      <c r="R207" s="7" t="s">
        <v>160</v>
      </c>
      <c r="S207" s="7" t="s">
        <v>93</v>
      </c>
      <c r="T207" s="15" t="str">
        <f>IF(S207="oui",Parametres!$B$5,"")</f>
        <v/>
      </c>
      <c r="U207" s="7" t="s">
        <v>160</v>
      </c>
      <c r="V207" s="15">
        <f t="shared" si="12"/>
        <v>0</v>
      </c>
      <c r="W207" s="15" t="str">
        <f t="shared" si="13"/>
        <v/>
      </c>
      <c r="X207" s="6" t="s">
        <v>93</v>
      </c>
      <c r="Y207" s="7" t="s">
        <v>160</v>
      </c>
      <c r="Z207" s="10"/>
      <c r="AA207" s="6" t="s">
        <v>93</v>
      </c>
      <c r="AB207" s="7" t="s">
        <v>160</v>
      </c>
      <c r="AC207" s="10"/>
      <c r="AD207" s="9" t="str">
        <f t="shared" si="14"/>
        <v>oui</v>
      </c>
      <c r="AE207" s="9" t="str">
        <f t="shared" si="15"/>
        <v>Résidence ou logement non vendable</v>
      </c>
      <c r="AF207" s="7"/>
      <c r="AG207" s="10"/>
      <c r="AH207" s="10"/>
      <c r="AI207" s="7" t="s">
        <v>160</v>
      </c>
      <c r="AJ207" s="10"/>
      <c r="AK207" s="10"/>
      <c r="AL207" s="10"/>
      <c r="AM207" s="11" t="s">
        <v>160</v>
      </c>
      <c r="AN207" s="11" t="s">
        <v>160</v>
      </c>
      <c r="AO207" s="11" t="s">
        <v>160</v>
      </c>
      <c r="AP207" s="11" t="s">
        <v>160</v>
      </c>
      <c r="AQ207" s="11"/>
      <c r="AR207" s="7"/>
    </row>
    <row r="208" spans="1:44" ht="27.6" x14ac:dyDescent="0.3">
      <c r="A208" s="6" t="s">
        <v>292</v>
      </c>
      <c r="B208" s="6" t="s">
        <v>1073</v>
      </c>
      <c r="C208" s="6" t="s">
        <v>1266</v>
      </c>
      <c r="D208" s="6" t="s">
        <v>85</v>
      </c>
      <c r="E208" s="6" t="s">
        <v>1267</v>
      </c>
      <c r="F208" s="7" t="s">
        <v>125</v>
      </c>
      <c r="G208" s="10"/>
      <c r="H208" s="7" t="s">
        <v>93</v>
      </c>
      <c r="I208" s="7"/>
      <c r="J208" s="10"/>
      <c r="K208" s="6" t="s">
        <v>93</v>
      </c>
      <c r="L208" s="7"/>
      <c r="M208" s="14"/>
      <c r="N208" s="7" t="s">
        <v>93</v>
      </c>
      <c r="O208" s="10"/>
      <c r="P208" s="7" t="s">
        <v>93</v>
      </c>
      <c r="Q208" s="15" t="str">
        <f>IF(P208="oui",MIN(Parametres!$B$4,MAX(Parametres!$B$3,IF(M208="",Parametres!$B$3,ROUND(M208*10%,0)))),"")</f>
        <v/>
      </c>
      <c r="R208" s="7" t="s">
        <v>160</v>
      </c>
      <c r="S208" s="7" t="s">
        <v>93</v>
      </c>
      <c r="T208" s="15" t="str">
        <f>IF(S208="oui",Parametres!$B$5,"")</f>
        <v/>
      </c>
      <c r="U208" s="7" t="s">
        <v>160</v>
      </c>
      <c r="V208" s="15">
        <f t="shared" si="12"/>
        <v>0</v>
      </c>
      <c r="W208" s="15" t="str">
        <f t="shared" si="13"/>
        <v/>
      </c>
      <c r="X208" s="6" t="s">
        <v>93</v>
      </c>
      <c r="Y208" s="7" t="s">
        <v>160</v>
      </c>
      <c r="Z208" s="10"/>
      <c r="AA208" s="6" t="s">
        <v>93</v>
      </c>
      <c r="AB208" s="7" t="s">
        <v>160</v>
      </c>
      <c r="AC208" s="10"/>
      <c r="AD208" s="9" t="str">
        <f t="shared" si="14"/>
        <v>oui</v>
      </c>
      <c r="AE208" s="9" t="str">
        <f t="shared" si="15"/>
        <v>Résidence ou logement non vendable</v>
      </c>
      <c r="AF208" s="7"/>
      <c r="AG208" s="10"/>
      <c r="AH208" s="10"/>
      <c r="AI208" s="7" t="s">
        <v>160</v>
      </c>
      <c r="AJ208" s="10"/>
      <c r="AK208" s="10"/>
      <c r="AL208" s="10"/>
      <c r="AM208" s="11" t="s">
        <v>160</v>
      </c>
      <c r="AN208" s="11" t="s">
        <v>160</v>
      </c>
      <c r="AO208" s="11" t="s">
        <v>160</v>
      </c>
      <c r="AP208" s="11" t="s">
        <v>160</v>
      </c>
      <c r="AQ208" s="11"/>
      <c r="AR208" s="7"/>
    </row>
    <row r="209" spans="1:44" ht="27.6" x14ac:dyDescent="0.3">
      <c r="A209" s="6" t="s">
        <v>292</v>
      </c>
      <c r="B209" s="6" t="s">
        <v>1073</v>
      </c>
      <c r="C209" s="6" t="s">
        <v>1271</v>
      </c>
      <c r="D209" s="6" t="s">
        <v>85</v>
      </c>
      <c r="E209" s="6" t="s">
        <v>1272</v>
      </c>
      <c r="F209" s="7" t="s">
        <v>125</v>
      </c>
      <c r="G209" s="10"/>
      <c r="H209" s="7" t="s">
        <v>93</v>
      </c>
      <c r="I209" s="7"/>
      <c r="J209" s="10"/>
      <c r="K209" s="6" t="s">
        <v>93</v>
      </c>
      <c r="L209" s="7"/>
      <c r="M209" s="14"/>
      <c r="N209" s="7" t="s">
        <v>93</v>
      </c>
      <c r="O209" s="10"/>
      <c r="P209" s="7" t="s">
        <v>93</v>
      </c>
      <c r="Q209" s="15" t="str">
        <f>IF(P209="oui",MIN(Parametres!$B$4,MAX(Parametres!$B$3,IF(M209="",Parametres!$B$3,ROUND(M209*10%,0)))),"")</f>
        <v/>
      </c>
      <c r="R209" s="7" t="s">
        <v>160</v>
      </c>
      <c r="S209" s="7" t="s">
        <v>93</v>
      </c>
      <c r="T209" s="15" t="str">
        <f>IF(S209="oui",Parametres!$B$5,"")</f>
        <v/>
      </c>
      <c r="U209" s="7" t="s">
        <v>160</v>
      </c>
      <c r="V209" s="15">
        <f t="shared" si="12"/>
        <v>0</v>
      </c>
      <c r="W209" s="15" t="str">
        <f t="shared" si="13"/>
        <v/>
      </c>
      <c r="X209" s="6" t="s">
        <v>93</v>
      </c>
      <c r="Y209" s="7" t="s">
        <v>160</v>
      </c>
      <c r="Z209" s="10"/>
      <c r="AA209" s="6" t="s">
        <v>93</v>
      </c>
      <c r="AB209" s="7" t="s">
        <v>160</v>
      </c>
      <c r="AC209" s="10"/>
      <c r="AD209" s="9" t="str">
        <f t="shared" si="14"/>
        <v>oui</v>
      </c>
      <c r="AE209" s="9" t="str">
        <f t="shared" si="15"/>
        <v>Résidence ou logement non vendable</v>
      </c>
      <c r="AF209" s="7"/>
      <c r="AG209" s="10"/>
      <c r="AH209" s="10"/>
      <c r="AI209" s="7" t="s">
        <v>160</v>
      </c>
      <c r="AJ209" s="10"/>
      <c r="AK209" s="10"/>
      <c r="AL209" s="10"/>
      <c r="AM209" s="11" t="s">
        <v>160</v>
      </c>
      <c r="AN209" s="11" t="s">
        <v>160</v>
      </c>
      <c r="AO209" s="11" t="s">
        <v>160</v>
      </c>
      <c r="AP209" s="11" t="s">
        <v>160</v>
      </c>
      <c r="AQ209" s="11"/>
      <c r="AR209" s="7"/>
    </row>
    <row r="210" spans="1:44" ht="27.6" x14ac:dyDescent="0.3">
      <c r="A210" s="6" t="s">
        <v>292</v>
      </c>
      <c r="B210" s="6" t="s">
        <v>1073</v>
      </c>
      <c r="C210" s="6" t="s">
        <v>1277</v>
      </c>
      <c r="D210" s="6" t="s">
        <v>85</v>
      </c>
      <c r="E210" s="6" t="s">
        <v>1278</v>
      </c>
      <c r="F210" s="7" t="s">
        <v>125</v>
      </c>
      <c r="G210" s="10"/>
      <c r="H210" s="7" t="s">
        <v>93</v>
      </c>
      <c r="I210" s="7"/>
      <c r="J210" s="10"/>
      <c r="K210" s="6" t="s">
        <v>93</v>
      </c>
      <c r="L210" s="7"/>
      <c r="M210" s="14"/>
      <c r="N210" s="7" t="s">
        <v>93</v>
      </c>
      <c r="O210" s="10"/>
      <c r="P210" s="7" t="s">
        <v>93</v>
      </c>
      <c r="Q210" s="15" t="str">
        <f>IF(P210="oui",MIN(Parametres!$B$4,MAX(Parametres!$B$3,IF(M210="",Parametres!$B$3,ROUND(M210*10%,0)))),"")</f>
        <v/>
      </c>
      <c r="R210" s="7" t="s">
        <v>160</v>
      </c>
      <c r="S210" s="7" t="s">
        <v>93</v>
      </c>
      <c r="T210" s="15" t="str">
        <f>IF(S210="oui",Parametres!$B$5,"")</f>
        <v/>
      </c>
      <c r="U210" s="7" t="s">
        <v>160</v>
      </c>
      <c r="V210" s="15">
        <f t="shared" si="12"/>
        <v>0</v>
      </c>
      <c r="W210" s="15" t="str">
        <f t="shared" si="13"/>
        <v/>
      </c>
      <c r="X210" s="6" t="s">
        <v>93</v>
      </c>
      <c r="Y210" s="7" t="s">
        <v>160</v>
      </c>
      <c r="Z210" s="10"/>
      <c r="AA210" s="6" t="s">
        <v>93</v>
      </c>
      <c r="AB210" s="7" t="s">
        <v>160</v>
      </c>
      <c r="AC210" s="10"/>
      <c r="AD210" s="9" t="str">
        <f t="shared" si="14"/>
        <v>oui</v>
      </c>
      <c r="AE210" s="9" t="str">
        <f t="shared" si="15"/>
        <v>Résidence ou logement non vendable</v>
      </c>
      <c r="AF210" s="7"/>
      <c r="AG210" s="10"/>
      <c r="AH210" s="10"/>
      <c r="AI210" s="7" t="s">
        <v>160</v>
      </c>
      <c r="AJ210" s="10"/>
      <c r="AK210" s="10"/>
      <c r="AL210" s="10"/>
      <c r="AM210" s="11" t="s">
        <v>160</v>
      </c>
      <c r="AN210" s="11" t="s">
        <v>160</v>
      </c>
      <c r="AO210" s="11" t="s">
        <v>160</v>
      </c>
      <c r="AP210" s="11" t="s">
        <v>160</v>
      </c>
      <c r="AQ210" s="11"/>
      <c r="AR210" s="7"/>
    </row>
    <row r="211" spans="1:44" ht="27.6" x14ac:dyDescent="0.3">
      <c r="A211" s="6" t="s">
        <v>292</v>
      </c>
      <c r="B211" s="6" t="s">
        <v>1073</v>
      </c>
      <c r="C211" s="6" t="s">
        <v>1283</v>
      </c>
      <c r="D211" s="6" t="s">
        <v>85</v>
      </c>
      <c r="E211" s="6" t="s">
        <v>1284</v>
      </c>
      <c r="F211" s="7" t="s">
        <v>125</v>
      </c>
      <c r="G211" s="10"/>
      <c r="H211" s="7" t="s">
        <v>93</v>
      </c>
      <c r="I211" s="7"/>
      <c r="J211" s="10"/>
      <c r="K211" s="6" t="s">
        <v>93</v>
      </c>
      <c r="L211" s="7"/>
      <c r="M211" s="14"/>
      <c r="N211" s="7" t="s">
        <v>93</v>
      </c>
      <c r="O211" s="10"/>
      <c r="P211" s="7" t="s">
        <v>93</v>
      </c>
      <c r="Q211" s="15" t="str">
        <f>IF(P211="oui",MIN(Parametres!$B$4,MAX(Parametres!$B$3,IF(M211="",Parametres!$B$3,ROUND(M211*10%,0)))),"")</f>
        <v/>
      </c>
      <c r="R211" s="7" t="s">
        <v>160</v>
      </c>
      <c r="S211" s="7" t="s">
        <v>93</v>
      </c>
      <c r="T211" s="15" t="str">
        <f>IF(S211="oui",Parametres!$B$5,"")</f>
        <v/>
      </c>
      <c r="U211" s="7" t="s">
        <v>160</v>
      </c>
      <c r="V211" s="15">
        <f t="shared" si="12"/>
        <v>0</v>
      </c>
      <c r="W211" s="15" t="str">
        <f t="shared" si="13"/>
        <v/>
      </c>
      <c r="X211" s="6" t="s">
        <v>93</v>
      </c>
      <c r="Y211" s="7" t="s">
        <v>160</v>
      </c>
      <c r="Z211" s="10"/>
      <c r="AA211" s="6" t="s">
        <v>93</v>
      </c>
      <c r="AB211" s="7" t="s">
        <v>160</v>
      </c>
      <c r="AC211" s="10"/>
      <c r="AD211" s="9" t="str">
        <f t="shared" si="14"/>
        <v>oui</v>
      </c>
      <c r="AE211" s="9" t="str">
        <f t="shared" si="15"/>
        <v>Résidence ou logement non vendable</v>
      </c>
      <c r="AF211" s="7"/>
      <c r="AG211" s="10"/>
      <c r="AH211" s="10"/>
      <c r="AI211" s="7" t="s">
        <v>160</v>
      </c>
      <c r="AJ211" s="10"/>
      <c r="AK211" s="10"/>
      <c r="AL211" s="10"/>
      <c r="AM211" s="11" t="s">
        <v>160</v>
      </c>
      <c r="AN211" s="11" t="s">
        <v>160</v>
      </c>
      <c r="AO211" s="11" t="s">
        <v>160</v>
      </c>
      <c r="AP211" s="11" t="s">
        <v>160</v>
      </c>
      <c r="AQ211" s="11"/>
      <c r="AR211" s="7"/>
    </row>
    <row r="212" spans="1:44" ht="14.4" x14ac:dyDescent="0.3">
      <c r="A212" s="6" t="s">
        <v>202</v>
      </c>
      <c r="B212" s="6" t="s">
        <v>1288</v>
      </c>
      <c r="C212" s="6" t="s">
        <v>1289</v>
      </c>
      <c r="D212" s="6" t="s">
        <v>1290</v>
      </c>
      <c r="E212" s="6" t="s">
        <v>1291</v>
      </c>
      <c r="F212" s="7" t="s">
        <v>125</v>
      </c>
      <c r="G212" s="10"/>
      <c r="H212" s="7" t="s">
        <v>93</v>
      </c>
      <c r="I212" s="7"/>
      <c r="J212" s="10"/>
      <c r="K212" s="6" t="s">
        <v>90</v>
      </c>
      <c r="L212" s="7"/>
      <c r="M212" s="14"/>
      <c r="N212" s="7" t="s">
        <v>93</v>
      </c>
      <c r="O212" s="10"/>
      <c r="P212" s="7" t="s">
        <v>90</v>
      </c>
      <c r="Q212" s="15">
        <f>IF(P212="oui",MIN(Parametres!$B$4,MAX(Parametres!$B$3,IF(M212="",Parametres!$B$3,ROUND(M212*10%,0)))),"")</f>
        <v>0</v>
      </c>
      <c r="R212" s="7" t="s">
        <v>134</v>
      </c>
      <c r="S212" s="7" t="s">
        <v>90</v>
      </c>
      <c r="T212" s="15">
        <f>IF(S212="oui",Parametres!$B$5,"")</f>
        <v>500</v>
      </c>
      <c r="U212" s="7" t="s">
        <v>134</v>
      </c>
      <c r="V212" s="15">
        <f t="shared" si="12"/>
        <v>500</v>
      </c>
      <c r="W212" s="15" t="str">
        <f t="shared" si="13"/>
        <v/>
      </c>
      <c r="X212" s="6" t="s">
        <v>90</v>
      </c>
      <c r="Y212" s="7" t="s">
        <v>133</v>
      </c>
      <c r="Z212" s="10"/>
      <c r="AA212" s="6" t="s">
        <v>93</v>
      </c>
      <c r="AB212" s="7" t="s">
        <v>160</v>
      </c>
      <c r="AC212" s="10"/>
      <c r="AD212" s="9" t="str">
        <f t="shared" si="14"/>
        <v>oui</v>
      </c>
      <c r="AE212" s="9" t="str">
        <f t="shared" si="15"/>
        <v>TAE manquant</v>
      </c>
      <c r="AF212" s="7"/>
      <c r="AG212" s="10"/>
      <c r="AH212" s="10"/>
      <c r="AI212" s="7" t="s">
        <v>160</v>
      </c>
      <c r="AJ212" s="10"/>
      <c r="AK212" s="10"/>
      <c r="AL212" s="10"/>
      <c r="AM212" s="11" t="s">
        <v>131</v>
      </c>
      <c r="AN212" s="11" t="s">
        <v>131</v>
      </c>
      <c r="AO212" s="11" t="s">
        <v>131</v>
      </c>
      <c r="AP212" s="11" t="s">
        <v>131</v>
      </c>
      <c r="AQ212" s="11"/>
      <c r="AR212" s="7"/>
    </row>
    <row r="213" spans="1:44" ht="14.4" x14ac:dyDescent="0.3">
      <c r="A213" s="6" t="s">
        <v>202</v>
      </c>
      <c r="B213" s="6" t="s">
        <v>1288</v>
      </c>
      <c r="C213" s="6" t="s">
        <v>1294</v>
      </c>
      <c r="D213" s="6" t="s">
        <v>1290</v>
      </c>
      <c r="E213" s="6" t="s">
        <v>1295</v>
      </c>
      <c r="F213" s="7" t="s">
        <v>125</v>
      </c>
      <c r="G213" s="10"/>
      <c r="H213" s="7" t="s">
        <v>93</v>
      </c>
      <c r="I213" s="7"/>
      <c r="J213" s="10"/>
      <c r="K213" s="6" t="s">
        <v>90</v>
      </c>
      <c r="L213" s="7"/>
      <c r="M213" s="14"/>
      <c r="N213" s="7" t="s">
        <v>93</v>
      </c>
      <c r="O213" s="10"/>
      <c r="P213" s="7" t="s">
        <v>90</v>
      </c>
      <c r="Q213" s="15">
        <f>IF(P213="oui",MIN(Parametres!$B$4,MAX(Parametres!$B$3,IF(M213="",Parametres!$B$3,ROUND(M213*10%,0)))),"")</f>
        <v>0</v>
      </c>
      <c r="R213" s="7" t="s">
        <v>134</v>
      </c>
      <c r="S213" s="7" t="s">
        <v>90</v>
      </c>
      <c r="T213" s="15">
        <f>IF(S213="oui",Parametres!$B$5,"")</f>
        <v>500</v>
      </c>
      <c r="U213" s="7" t="s">
        <v>134</v>
      </c>
      <c r="V213" s="15">
        <f t="shared" si="12"/>
        <v>500</v>
      </c>
      <c r="W213" s="15" t="str">
        <f t="shared" si="13"/>
        <v/>
      </c>
      <c r="X213" s="6" t="s">
        <v>90</v>
      </c>
      <c r="Y213" s="7" t="s">
        <v>133</v>
      </c>
      <c r="Z213" s="10"/>
      <c r="AA213" s="6" t="s">
        <v>93</v>
      </c>
      <c r="AB213" s="7" t="s">
        <v>160</v>
      </c>
      <c r="AC213" s="10"/>
      <c r="AD213" s="9" t="str">
        <f t="shared" si="14"/>
        <v>oui</v>
      </c>
      <c r="AE213" s="9" t="str">
        <f t="shared" si="15"/>
        <v>TAE manquant</v>
      </c>
      <c r="AF213" s="7"/>
      <c r="AG213" s="10"/>
      <c r="AH213" s="10"/>
      <c r="AI213" s="7" t="s">
        <v>160</v>
      </c>
      <c r="AJ213" s="10"/>
      <c r="AK213" s="10"/>
      <c r="AL213" s="10"/>
      <c r="AM213" s="11" t="s">
        <v>131</v>
      </c>
      <c r="AN213" s="11" t="s">
        <v>131</v>
      </c>
      <c r="AO213" s="11" t="s">
        <v>131</v>
      </c>
      <c r="AP213" s="11" t="s">
        <v>131</v>
      </c>
      <c r="AQ213" s="11"/>
      <c r="AR213" s="7"/>
    </row>
    <row r="214" spans="1:44" ht="14.4" x14ac:dyDescent="0.3">
      <c r="A214" s="6" t="s">
        <v>202</v>
      </c>
      <c r="B214" s="6" t="s">
        <v>1288</v>
      </c>
      <c r="C214" s="6" t="s">
        <v>1300</v>
      </c>
      <c r="D214" s="6" t="s">
        <v>1290</v>
      </c>
      <c r="E214" s="6" t="s">
        <v>1301</v>
      </c>
      <c r="F214" s="7" t="s">
        <v>125</v>
      </c>
      <c r="G214" s="10"/>
      <c r="H214" s="7" t="s">
        <v>93</v>
      </c>
      <c r="I214" s="7"/>
      <c r="J214" s="10"/>
      <c r="K214" s="6" t="s">
        <v>90</v>
      </c>
      <c r="L214" s="7"/>
      <c r="M214" s="14"/>
      <c r="N214" s="7" t="s">
        <v>93</v>
      </c>
      <c r="O214" s="10"/>
      <c r="P214" s="7" t="s">
        <v>90</v>
      </c>
      <c r="Q214" s="15">
        <f>IF(P214="oui",MIN(Parametres!$B$4,MAX(Parametres!$B$3,IF(M214="",Parametres!$B$3,ROUND(M214*10%,0)))),"")</f>
        <v>0</v>
      </c>
      <c r="R214" s="7" t="s">
        <v>134</v>
      </c>
      <c r="S214" s="7" t="s">
        <v>90</v>
      </c>
      <c r="T214" s="15">
        <f>IF(S214="oui",Parametres!$B$5,"")</f>
        <v>500</v>
      </c>
      <c r="U214" s="7" t="s">
        <v>134</v>
      </c>
      <c r="V214" s="15">
        <f t="shared" si="12"/>
        <v>500</v>
      </c>
      <c r="W214" s="15" t="str">
        <f t="shared" si="13"/>
        <v/>
      </c>
      <c r="X214" s="6" t="s">
        <v>90</v>
      </c>
      <c r="Y214" s="7" t="s">
        <v>133</v>
      </c>
      <c r="Z214" s="10"/>
      <c r="AA214" s="6" t="s">
        <v>93</v>
      </c>
      <c r="AB214" s="7" t="s">
        <v>160</v>
      </c>
      <c r="AC214" s="10"/>
      <c r="AD214" s="9" t="str">
        <f t="shared" si="14"/>
        <v>oui</v>
      </c>
      <c r="AE214" s="9" t="str">
        <f t="shared" si="15"/>
        <v>TAE manquant</v>
      </c>
      <c r="AF214" s="7"/>
      <c r="AG214" s="10"/>
      <c r="AH214" s="10"/>
      <c r="AI214" s="7" t="s">
        <v>160</v>
      </c>
      <c r="AJ214" s="10"/>
      <c r="AK214" s="10"/>
      <c r="AL214" s="10"/>
      <c r="AM214" s="11" t="s">
        <v>131</v>
      </c>
      <c r="AN214" s="11" t="s">
        <v>131</v>
      </c>
      <c r="AO214" s="11" t="s">
        <v>131</v>
      </c>
      <c r="AP214" s="11" t="s">
        <v>131</v>
      </c>
      <c r="AQ214" s="11"/>
      <c r="AR214" s="7"/>
    </row>
    <row r="215" spans="1:44" ht="14.4" x14ac:dyDescent="0.3">
      <c r="A215" s="6" t="s">
        <v>202</v>
      </c>
      <c r="B215" s="6" t="s">
        <v>1288</v>
      </c>
      <c r="C215" s="6" t="s">
        <v>1305</v>
      </c>
      <c r="D215" s="6" t="s">
        <v>1290</v>
      </c>
      <c r="E215" s="6" t="s">
        <v>1306</v>
      </c>
      <c r="F215" s="7" t="s">
        <v>125</v>
      </c>
      <c r="G215" s="10"/>
      <c r="H215" s="7" t="s">
        <v>93</v>
      </c>
      <c r="I215" s="7"/>
      <c r="J215" s="10"/>
      <c r="K215" s="6" t="s">
        <v>90</v>
      </c>
      <c r="L215" s="7"/>
      <c r="M215" s="14"/>
      <c r="N215" s="7" t="s">
        <v>93</v>
      </c>
      <c r="O215" s="10"/>
      <c r="P215" s="7" t="s">
        <v>90</v>
      </c>
      <c r="Q215" s="15">
        <f>IF(P215="oui",MIN(Parametres!$B$4,MAX(Parametres!$B$3,IF(M215="",Parametres!$B$3,ROUND(M215*10%,0)))),"")</f>
        <v>0</v>
      </c>
      <c r="R215" s="7" t="s">
        <v>134</v>
      </c>
      <c r="S215" s="7" t="s">
        <v>90</v>
      </c>
      <c r="T215" s="15">
        <f>IF(S215="oui",Parametres!$B$5,"")</f>
        <v>500</v>
      </c>
      <c r="U215" s="7" t="s">
        <v>134</v>
      </c>
      <c r="V215" s="15">
        <f t="shared" si="12"/>
        <v>500</v>
      </c>
      <c r="W215" s="15" t="str">
        <f t="shared" si="13"/>
        <v/>
      </c>
      <c r="X215" s="6" t="s">
        <v>90</v>
      </c>
      <c r="Y215" s="7" t="s">
        <v>133</v>
      </c>
      <c r="Z215" s="10"/>
      <c r="AA215" s="6" t="s">
        <v>93</v>
      </c>
      <c r="AB215" s="7" t="s">
        <v>160</v>
      </c>
      <c r="AC215" s="10"/>
      <c r="AD215" s="9" t="str">
        <f t="shared" si="14"/>
        <v>oui</v>
      </c>
      <c r="AE215" s="9" t="str">
        <f t="shared" si="15"/>
        <v>TAE manquant</v>
      </c>
      <c r="AF215" s="7"/>
      <c r="AG215" s="10"/>
      <c r="AH215" s="10"/>
      <c r="AI215" s="7" t="s">
        <v>160</v>
      </c>
      <c r="AJ215" s="10"/>
      <c r="AK215" s="10"/>
      <c r="AL215" s="10"/>
      <c r="AM215" s="11" t="s">
        <v>131</v>
      </c>
      <c r="AN215" s="11" t="s">
        <v>131</v>
      </c>
      <c r="AO215" s="11" t="s">
        <v>131</v>
      </c>
      <c r="AP215" s="11" t="s">
        <v>131</v>
      </c>
      <c r="AQ215" s="11"/>
      <c r="AR215" s="7"/>
    </row>
    <row r="216" spans="1:44" ht="14.4" x14ac:dyDescent="0.3">
      <c r="A216" s="6" t="s">
        <v>202</v>
      </c>
      <c r="B216" s="6" t="s">
        <v>1288</v>
      </c>
      <c r="C216" s="6" t="s">
        <v>1309</v>
      </c>
      <c r="D216" s="6" t="s">
        <v>1290</v>
      </c>
      <c r="E216" s="6" t="s">
        <v>1310</v>
      </c>
      <c r="F216" s="7" t="s">
        <v>125</v>
      </c>
      <c r="G216" s="10"/>
      <c r="H216" s="7" t="s">
        <v>93</v>
      </c>
      <c r="I216" s="7"/>
      <c r="J216" s="10"/>
      <c r="K216" s="6" t="s">
        <v>90</v>
      </c>
      <c r="L216" s="7"/>
      <c r="M216" s="14"/>
      <c r="N216" s="7" t="s">
        <v>93</v>
      </c>
      <c r="O216" s="10"/>
      <c r="P216" s="7" t="s">
        <v>90</v>
      </c>
      <c r="Q216" s="15">
        <f>IF(P216="oui",MIN(Parametres!$B$4,MAX(Parametres!$B$3,IF(M216="",Parametres!$B$3,ROUND(M216*10%,0)))),"")</f>
        <v>0</v>
      </c>
      <c r="R216" s="7" t="s">
        <v>134</v>
      </c>
      <c r="S216" s="7" t="s">
        <v>90</v>
      </c>
      <c r="T216" s="15">
        <f>IF(S216="oui",Parametres!$B$5,"")</f>
        <v>500</v>
      </c>
      <c r="U216" s="7" t="s">
        <v>134</v>
      </c>
      <c r="V216" s="15">
        <f t="shared" si="12"/>
        <v>500</v>
      </c>
      <c r="W216" s="15" t="str">
        <f t="shared" si="13"/>
        <v/>
      </c>
      <c r="X216" s="6" t="s">
        <v>90</v>
      </c>
      <c r="Y216" s="7" t="s">
        <v>133</v>
      </c>
      <c r="Z216" s="10"/>
      <c r="AA216" s="6" t="s">
        <v>93</v>
      </c>
      <c r="AB216" s="7" t="s">
        <v>160</v>
      </c>
      <c r="AC216" s="10"/>
      <c r="AD216" s="9" t="str">
        <f t="shared" si="14"/>
        <v>oui</v>
      </c>
      <c r="AE216" s="9" t="str">
        <f t="shared" si="15"/>
        <v>TAE manquant</v>
      </c>
      <c r="AF216" s="7"/>
      <c r="AG216" s="10"/>
      <c r="AH216" s="10"/>
      <c r="AI216" s="7" t="s">
        <v>160</v>
      </c>
      <c r="AJ216" s="10"/>
      <c r="AK216" s="10"/>
      <c r="AL216" s="10"/>
      <c r="AM216" s="11" t="s">
        <v>131</v>
      </c>
      <c r="AN216" s="11" t="s">
        <v>131</v>
      </c>
      <c r="AO216" s="11" t="s">
        <v>131</v>
      </c>
      <c r="AP216" s="11" t="s">
        <v>131</v>
      </c>
      <c r="AQ216" s="11"/>
      <c r="AR216" s="7"/>
    </row>
    <row r="217" spans="1:44" ht="14.4" x14ac:dyDescent="0.3">
      <c r="A217" s="6" t="s">
        <v>202</v>
      </c>
      <c r="B217" s="6" t="s">
        <v>1288</v>
      </c>
      <c r="C217" s="6" t="s">
        <v>1312</v>
      </c>
      <c r="D217" s="6" t="s">
        <v>1290</v>
      </c>
      <c r="E217" s="6" t="s">
        <v>1313</v>
      </c>
      <c r="F217" s="7" t="s">
        <v>125</v>
      </c>
      <c r="G217" s="10"/>
      <c r="H217" s="7" t="s">
        <v>93</v>
      </c>
      <c r="I217" s="7"/>
      <c r="J217" s="10"/>
      <c r="K217" s="6" t="s">
        <v>90</v>
      </c>
      <c r="L217" s="7"/>
      <c r="M217" s="14"/>
      <c r="N217" s="7" t="s">
        <v>93</v>
      </c>
      <c r="O217" s="10"/>
      <c r="P217" s="7" t="s">
        <v>90</v>
      </c>
      <c r="Q217" s="15">
        <f>IF(P217="oui",MIN(Parametres!$B$4,MAX(Parametres!$B$3,IF(M217="",Parametres!$B$3,ROUND(M217*10%,0)))),"")</f>
        <v>0</v>
      </c>
      <c r="R217" s="7" t="s">
        <v>134</v>
      </c>
      <c r="S217" s="7" t="s">
        <v>90</v>
      </c>
      <c r="T217" s="15">
        <f>IF(S217="oui",Parametres!$B$5,"")</f>
        <v>500</v>
      </c>
      <c r="U217" s="7" t="s">
        <v>134</v>
      </c>
      <c r="V217" s="15">
        <f t="shared" si="12"/>
        <v>500</v>
      </c>
      <c r="W217" s="15" t="str">
        <f t="shared" si="13"/>
        <v/>
      </c>
      <c r="X217" s="6" t="s">
        <v>90</v>
      </c>
      <c r="Y217" s="7" t="s">
        <v>133</v>
      </c>
      <c r="Z217" s="10"/>
      <c r="AA217" s="6" t="s">
        <v>93</v>
      </c>
      <c r="AB217" s="7" t="s">
        <v>160</v>
      </c>
      <c r="AC217" s="10"/>
      <c r="AD217" s="9" t="str">
        <f t="shared" si="14"/>
        <v>oui</v>
      </c>
      <c r="AE217" s="9" t="str">
        <f t="shared" si="15"/>
        <v>TAE manquant</v>
      </c>
      <c r="AF217" s="7"/>
      <c r="AG217" s="10"/>
      <c r="AH217" s="10"/>
      <c r="AI217" s="7" t="s">
        <v>160</v>
      </c>
      <c r="AJ217" s="10"/>
      <c r="AK217" s="10"/>
      <c r="AL217" s="10"/>
      <c r="AM217" s="11" t="s">
        <v>131</v>
      </c>
      <c r="AN217" s="11" t="s">
        <v>131</v>
      </c>
      <c r="AO217" s="11" t="s">
        <v>131</v>
      </c>
      <c r="AP217" s="11" t="s">
        <v>131</v>
      </c>
      <c r="AQ217" s="11"/>
      <c r="AR217" s="7"/>
    </row>
    <row r="218" spans="1:44" ht="14.4" x14ac:dyDescent="0.3">
      <c r="A218" s="6" t="s">
        <v>202</v>
      </c>
      <c r="B218" s="6" t="s">
        <v>1288</v>
      </c>
      <c r="C218" s="6" t="s">
        <v>1317</v>
      </c>
      <c r="D218" s="6" t="s">
        <v>1290</v>
      </c>
      <c r="E218" s="6" t="s">
        <v>1318</v>
      </c>
      <c r="F218" s="7" t="s">
        <v>125</v>
      </c>
      <c r="G218" s="10"/>
      <c r="H218" s="7" t="s">
        <v>93</v>
      </c>
      <c r="I218" s="7"/>
      <c r="J218" s="10"/>
      <c r="K218" s="6" t="s">
        <v>90</v>
      </c>
      <c r="L218" s="7"/>
      <c r="M218" s="14"/>
      <c r="N218" s="7" t="s">
        <v>93</v>
      </c>
      <c r="O218" s="10"/>
      <c r="P218" s="7" t="s">
        <v>90</v>
      </c>
      <c r="Q218" s="15">
        <f>IF(P218="oui",MIN(Parametres!$B$4,MAX(Parametres!$B$3,IF(M218="",Parametres!$B$3,ROUND(M218*10%,0)))),"")</f>
        <v>0</v>
      </c>
      <c r="R218" s="7" t="s">
        <v>134</v>
      </c>
      <c r="S218" s="7" t="s">
        <v>90</v>
      </c>
      <c r="T218" s="15">
        <f>IF(S218="oui",Parametres!$B$5,"")</f>
        <v>500</v>
      </c>
      <c r="U218" s="7" t="s">
        <v>134</v>
      </c>
      <c r="V218" s="15">
        <f t="shared" si="12"/>
        <v>500</v>
      </c>
      <c r="W218" s="15" t="str">
        <f t="shared" si="13"/>
        <v/>
      </c>
      <c r="X218" s="6" t="s">
        <v>90</v>
      </c>
      <c r="Y218" s="7" t="s">
        <v>133</v>
      </c>
      <c r="Z218" s="10"/>
      <c r="AA218" s="6" t="s">
        <v>93</v>
      </c>
      <c r="AB218" s="7" t="s">
        <v>160</v>
      </c>
      <c r="AC218" s="10"/>
      <c r="AD218" s="9" t="str">
        <f t="shared" si="14"/>
        <v>oui</v>
      </c>
      <c r="AE218" s="9" t="str">
        <f t="shared" si="15"/>
        <v>TAE manquant</v>
      </c>
      <c r="AF218" s="7"/>
      <c r="AG218" s="10"/>
      <c r="AH218" s="10"/>
      <c r="AI218" s="7" t="s">
        <v>160</v>
      </c>
      <c r="AJ218" s="10"/>
      <c r="AK218" s="10"/>
      <c r="AL218" s="10"/>
      <c r="AM218" s="11" t="s">
        <v>131</v>
      </c>
      <c r="AN218" s="11" t="s">
        <v>131</v>
      </c>
      <c r="AO218" s="11" t="s">
        <v>131</v>
      </c>
      <c r="AP218" s="11" t="s">
        <v>131</v>
      </c>
      <c r="AQ218" s="11"/>
      <c r="AR218" s="7"/>
    </row>
    <row r="219" spans="1:44" ht="14.4" x14ac:dyDescent="0.3">
      <c r="A219" s="6" t="s">
        <v>202</v>
      </c>
      <c r="B219" s="6" t="s">
        <v>1288</v>
      </c>
      <c r="C219" s="6" t="s">
        <v>1322</v>
      </c>
      <c r="D219" s="6" t="s">
        <v>1290</v>
      </c>
      <c r="E219" s="6" t="s">
        <v>1323</v>
      </c>
      <c r="F219" s="7" t="s">
        <v>125</v>
      </c>
      <c r="G219" s="10"/>
      <c r="H219" s="7" t="s">
        <v>93</v>
      </c>
      <c r="I219" s="7"/>
      <c r="J219" s="10"/>
      <c r="K219" s="6" t="s">
        <v>90</v>
      </c>
      <c r="L219" s="7"/>
      <c r="M219" s="14"/>
      <c r="N219" s="7" t="s">
        <v>93</v>
      </c>
      <c r="O219" s="10"/>
      <c r="P219" s="7" t="s">
        <v>90</v>
      </c>
      <c r="Q219" s="15">
        <f>IF(P219="oui",MIN(Parametres!$B$4,MAX(Parametres!$B$3,IF(M219="",Parametres!$B$3,ROUND(M219*10%,0)))),"")</f>
        <v>0</v>
      </c>
      <c r="R219" s="7" t="s">
        <v>134</v>
      </c>
      <c r="S219" s="7" t="s">
        <v>90</v>
      </c>
      <c r="T219" s="15">
        <f>IF(S219="oui",Parametres!$B$5,"")</f>
        <v>500</v>
      </c>
      <c r="U219" s="7" t="s">
        <v>134</v>
      </c>
      <c r="V219" s="15">
        <f t="shared" si="12"/>
        <v>500</v>
      </c>
      <c r="W219" s="15" t="str">
        <f t="shared" si="13"/>
        <v/>
      </c>
      <c r="X219" s="6" t="s">
        <v>90</v>
      </c>
      <c r="Y219" s="7" t="s">
        <v>133</v>
      </c>
      <c r="Z219" s="10"/>
      <c r="AA219" s="6" t="s">
        <v>93</v>
      </c>
      <c r="AB219" s="7" t="s">
        <v>160</v>
      </c>
      <c r="AC219" s="10"/>
      <c r="AD219" s="9" t="str">
        <f t="shared" si="14"/>
        <v>oui</v>
      </c>
      <c r="AE219" s="9" t="str">
        <f t="shared" si="15"/>
        <v>TAE manquant</v>
      </c>
      <c r="AF219" s="7"/>
      <c r="AG219" s="10"/>
      <c r="AH219" s="10"/>
      <c r="AI219" s="7" t="s">
        <v>160</v>
      </c>
      <c r="AJ219" s="10"/>
      <c r="AK219" s="10"/>
      <c r="AL219" s="10"/>
      <c r="AM219" s="11" t="s">
        <v>131</v>
      </c>
      <c r="AN219" s="11" t="s">
        <v>131</v>
      </c>
      <c r="AO219" s="11" t="s">
        <v>131</v>
      </c>
      <c r="AP219" s="11" t="s">
        <v>131</v>
      </c>
      <c r="AQ219" s="11"/>
      <c r="AR219" s="7"/>
    </row>
    <row r="220" spans="1:44" ht="14.4" x14ac:dyDescent="0.3">
      <c r="A220" s="6" t="s">
        <v>202</v>
      </c>
      <c r="B220" s="6" t="s">
        <v>1288</v>
      </c>
      <c r="C220" s="6" t="s">
        <v>1327</v>
      </c>
      <c r="D220" s="6" t="s">
        <v>1290</v>
      </c>
      <c r="E220" s="6" t="s">
        <v>1328</v>
      </c>
      <c r="F220" s="7" t="s">
        <v>125</v>
      </c>
      <c r="G220" s="10"/>
      <c r="H220" s="7" t="s">
        <v>93</v>
      </c>
      <c r="I220" s="7"/>
      <c r="J220" s="10"/>
      <c r="K220" s="6" t="s">
        <v>90</v>
      </c>
      <c r="L220" s="7"/>
      <c r="M220" s="14"/>
      <c r="N220" s="7" t="s">
        <v>93</v>
      </c>
      <c r="O220" s="10"/>
      <c r="P220" s="7" t="s">
        <v>90</v>
      </c>
      <c r="Q220" s="15">
        <f>IF(P220="oui",MIN(Parametres!$B$4,MAX(Parametres!$B$3,IF(M220="",Parametres!$B$3,ROUND(M220*10%,0)))),"")</f>
        <v>0</v>
      </c>
      <c r="R220" s="7" t="s">
        <v>134</v>
      </c>
      <c r="S220" s="7" t="s">
        <v>90</v>
      </c>
      <c r="T220" s="15">
        <f>IF(S220="oui",Parametres!$B$5,"")</f>
        <v>500</v>
      </c>
      <c r="U220" s="7" t="s">
        <v>134</v>
      </c>
      <c r="V220" s="15">
        <f t="shared" si="12"/>
        <v>500</v>
      </c>
      <c r="W220" s="15" t="str">
        <f t="shared" si="13"/>
        <v/>
      </c>
      <c r="X220" s="6" t="s">
        <v>90</v>
      </c>
      <c r="Y220" s="7" t="s">
        <v>133</v>
      </c>
      <c r="Z220" s="10"/>
      <c r="AA220" s="6" t="s">
        <v>93</v>
      </c>
      <c r="AB220" s="7" t="s">
        <v>160</v>
      </c>
      <c r="AC220" s="10"/>
      <c r="AD220" s="9" t="str">
        <f t="shared" si="14"/>
        <v>oui</v>
      </c>
      <c r="AE220" s="9" t="str">
        <f t="shared" si="15"/>
        <v>TAE manquant</v>
      </c>
      <c r="AF220" s="7"/>
      <c r="AG220" s="10"/>
      <c r="AH220" s="10"/>
      <c r="AI220" s="7" t="s">
        <v>160</v>
      </c>
      <c r="AJ220" s="10"/>
      <c r="AK220" s="10"/>
      <c r="AL220" s="10"/>
      <c r="AM220" s="11" t="s">
        <v>131</v>
      </c>
      <c r="AN220" s="11" t="s">
        <v>131</v>
      </c>
      <c r="AO220" s="11" t="s">
        <v>131</v>
      </c>
      <c r="AP220" s="11" t="s">
        <v>131</v>
      </c>
      <c r="AQ220" s="11"/>
      <c r="AR220" s="7"/>
    </row>
    <row r="221" spans="1:44" ht="14.4" x14ac:dyDescent="0.3">
      <c r="A221" s="6" t="s">
        <v>202</v>
      </c>
      <c r="B221" s="6" t="s">
        <v>1288</v>
      </c>
      <c r="C221" s="6" t="s">
        <v>1332</v>
      </c>
      <c r="D221" s="6" t="s">
        <v>1290</v>
      </c>
      <c r="E221" s="6" t="s">
        <v>1333</v>
      </c>
      <c r="F221" s="7" t="s">
        <v>125</v>
      </c>
      <c r="G221" s="10"/>
      <c r="H221" s="7" t="s">
        <v>93</v>
      </c>
      <c r="I221" s="7"/>
      <c r="J221" s="10"/>
      <c r="K221" s="6" t="s">
        <v>90</v>
      </c>
      <c r="L221" s="7"/>
      <c r="M221" s="14"/>
      <c r="N221" s="7" t="s">
        <v>93</v>
      </c>
      <c r="O221" s="10"/>
      <c r="P221" s="7" t="s">
        <v>90</v>
      </c>
      <c r="Q221" s="15">
        <f>IF(P221="oui",MIN(Parametres!$B$4,MAX(Parametres!$B$3,IF(M221="",Parametres!$B$3,ROUND(M221*10%,0)))),"")</f>
        <v>0</v>
      </c>
      <c r="R221" s="7" t="s">
        <v>134</v>
      </c>
      <c r="S221" s="7" t="s">
        <v>90</v>
      </c>
      <c r="T221" s="15">
        <f>IF(S221="oui",Parametres!$B$5,"")</f>
        <v>500</v>
      </c>
      <c r="U221" s="7" t="s">
        <v>134</v>
      </c>
      <c r="V221" s="15">
        <f t="shared" si="12"/>
        <v>500</v>
      </c>
      <c r="W221" s="15" t="str">
        <f t="shared" si="13"/>
        <v/>
      </c>
      <c r="X221" s="6" t="s">
        <v>90</v>
      </c>
      <c r="Y221" s="7" t="s">
        <v>133</v>
      </c>
      <c r="Z221" s="10"/>
      <c r="AA221" s="6" t="s">
        <v>93</v>
      </c>
      <c r="AB221" s="7" t="s">
        <v>160</v>
      </c>
      <c r="AC221" s="10"/>
      <c r="AD221" s="9" t="str">
        <f t="shared" si="14"/>
        <v>oui</v>
      </c>
      <c r="AE221" s="9" t="str">
        <f t="shared" si="15"/>
        <v>TAE manquant</v>
      </c>
      <c r="AF221" s="7"/>
      <c r="AG221" s="10"/>
      <c r="AH221" s="10"/>
      <c r="AI221" s="7" t="s">
        <v>160</v>
      </c>
      <c r="AJ221" s="10"/>
      <c r="AK221" s="10"/>
      <c r="AL221" s="10"/>
      <c r="AM221" s="11" t="s">
        <v>131</v>
      </c>
      <c r="AN221" s="11" t="s">
        <v>131</v>
      </c>
      <c r="AO221" s="11" t="s">
        <v>131</v>
      </c>
      <c r="AP221" s="11" t="s">
        <v>131</v>
      </c>
      <c r="AQ221" s="11"/>
      <c r="AR221" s="7"/>
    </row>
    <row r="222" spans="1:44" ht="14.4" x14ac:dyDescent="0.3">
      <c r="A222" s="6" t="s">
        <v>202</v>
      </c>
      <c r="B222" s="6" t="s">
        <v>1288</v>
      </c>
      <c r="C222" s="6" t="s">
        <v>1336</v>
      </c>
      <c r="D222" s="6" t="s">
        <v>1290</v>
      </c>
      <c r="E222" s="6" t="s">
        <v>1337</v>
      </c>
      <c r="F222" s="7" t="s">
        <v>125</v>
      </c>
      <c r="G222" s="10"/>
      <c r="H222" s="7" t="s">
        <v>93</v>
      </c>
      <c r="I222" s="7"/>
      <c r="J222" s="10"/>
      <c r="K222" s="6" t="s">
        <v>90</v>
      </c>
      <c r="L222" s="7"/>
      <c r="M222" s="14"/>
      <c r="N222" s="7" t="s">
        <v>93</v>
      </c>
      <c r="O222" s="10"/>
      <c r="P222" s="7" t="s">
        <v>90</v>
      </c>
      <c r="Q222" s="15">
        <f>IF(P222="oui",MIN(Parametres!$B$4,MAX(Parametres!$B$3,IF(M222="",Parametres!$B$3,ROUND(M222*10%,0)))),"")</f>
        <v>0</v>
      </c>
      <c r="R222" s="7" t="s">
        <v>134</v>
      </c>
      <c r="S222" s="7" t="s">
        <v>90</v>
      </c>
      <c r="T222" s="15">
        <f>IF(S222="oui",Parametres!$B$5,"")</f>
        <v>500</v>
      </c>
      <c r="U222" s="7" t="s">
        <v>134</v>
      </c>
      <c r="V222" s="15">
        <f t="shared" si="12"/>
        <v>500</v>
      </c>
      <c r="W222" s="15" t="str">
        <f t="shared" si="13"/>
        <v/>
      </c>
      <c r="X222" s="6" t="s">
        <v>90</v>
      </c>
      <c r="Y222" s="7" t="s">
        <v>133</v>
      </c>
      <c r="Z222" s="10"/>
      <c r="AA222" s="6" t="s">
        <v>93</v>
      </c>
      <c r="AB222" s="7" t="s">
        <v>160</v>
      </c>
      <c r="AC222" s="10"/>
      <c r="AD222" s="9" t="str">
        <f t="shared" si="14"/>
        <v>oui</v>
      </c>
      <c r="AE222" s="9" t="str">
        <f t="shared" si="15"/>
        <v>TAE manquant</v>
      </c>
      <c r="AF222" s="7"/>
      <c r="AG222" s="10"/>
      <c r="AH222" s="10"/>
      <c r="AI222" s="7" t="s">
        <v>160</v>
      </c>
      <c r="AJ222" s="10"/>
      <c r="AK222" s="10"/>
      <c r="AL222" s="10"/>
      <c r="AM222" s="11" t="s">
        <v>131</v>
      </c>
      <c r="AN222" s="11" t="s">
        <v>131</v>
      </c>
      <c r="AO222" s="11" t="s">
        <v>131</v>
      </c>
      <c r="AP222" s="11" t="s">
        <v>131</v>
      </c>
      <c r="AQ222" s="11"/>
      <c r="AR222" s="7"/>
    </row>
    <row r="223" spans="1:44" ht="14.4" x14ac:dyDescent="0.3">
      <c r="A223" s="6" t="s">
        <v>202</v>
      </c>
      <c r="B223" s="6" t="s">
        <v>1288</v>
      </c>
      <c r="C223" s="6" t="s">
        <v>1341</v>
      </c>
      <c r="D223" s="6" t="s">
        <v>1290</v>
      </c>
      <c r="E223" s="6" t="s">
        <v>1342</v>
      </c>
      <c r="F223" s="7" t="s">
        <v>125</v>
      </c>
      <c r="G223" s="10"/>
      <c r="H223" s="7" t="s">
        <v>93</v>
      </c>
      <c r="I223" s="7"/>
      <c r="J223" s="10"/>
      <c r="K223" s="6" t="s">
        <v>90</v>
      </c>
      <c r="L223" s="7"/>
      <c r="M223" s="14"/>
      <c r="N223" s="7" t="s">
        <v>93</v>
      </c>
      <c r="O223" s="10"/>
      <c r="P223" s="7" t="s">
        <v>90</v>
      </c>
      <c r="Q223" s="15">
        <f>IF(P223="oui",MIN(Parametres!$B$4,MAX(Parametres!$B$3,IF(M223="",Parametres!$B$3,ROUND(M223*10%,0)))),"")</f>
        <v>0</v>
      </c>
      <c r="R223" s="7" t="s">
        <v>134</v>
      </c>
      <c r="S223" s="7" t="s">
        <v>90</v>
      </c>
      <c r="T223" s="15">
        <f>IF(S223="oui",Parametres!$B$5,"")</f>
        <v>500</v>
      </c>
      <c r="U223" s="7" t="s">
        <v>134</v>
      </c>
      <c r="V223" s="15">
        <f t="shared" si="12"/>
        <v>500</v>
      </c>
      <c r="W223" s="15" t="str">
        <f t="shared" si="13"/>
        <v/>
      </c>
      <c r="X223" s="6" t="s">
        <v>90</v>
      </c>
      <c r="Y223" s="7" t="s">
        <v>133</v>
      </c>
      <c r="Z223" s="10"/>
      <c r="AA223" s="6" t="s">
        <v>93</v>
      </c>
      <c r="AB223" s="7" t="s">
        <v>160</v>
      </c>
      <c r="AC223" s="10"/>
      <c r="AD223" s="9" t="str">
        <f t="shared" si="14"/>
        <v>oui</v>
      </c>
      <c r="AE223" s="9" t="str">
        <f t="shared" si="15"/>
        <v>TAE manquant</v>
      </c>
      <c r="AF223" s="7"/>
      <c r="AG223" s="10"/>
      <c r="AH223" s="10"/>
      <c r="AI223" s="7" t="s">
        <v>160</v>
      </c>
      <c r="AJ223" s="10"/>
      <c r="AK223" s="10"/>
      <c r="AL223" s="10"/>
      <c r="AM223" s="11" t="s">
        <v>131</v>
      </c>
      <c r="AN223" s="11" t="s">
        <v>131</v>
      </c>
      <c r="AO223" s="11" t="s">
        <v>131</v>
      </c>
      <c r="AP223" s="11" t="s">
        <v>131</v>
      </c>
      <c r="AQ223" s="11"/>
      <c r="AR223" s="7"/>
    </row>
    <row r="224" spans="1:44" ht="14.4" x14ac:dyDescent="0.3">
      <c r="A224" s="6" t="s">
        <v>202</v>
      </c>
      <c r="B224" s="6" t="s">
        <v>1288</v>
      </c>
      <c r="C224" s="6" t="s">
        <v>1345</v>
      </c>
      <c r="D224" s="6" t="s">
        <v>1290</v>
      </c>
      <c r="E224" s="6" t="s">
        <v>1346</v>
      </c>
      <c r="F224" s="7" t="s">
        <v>125</v>
      </c>
      <c r="G224" s="10"/>
      <c r="H224" s="7" t="s">
        <v>93</v>
      </c>
      <c r="I224" s="7"/>
      <c r="J224" s="10"/>
      <c r="K224" s="6" t="s">
        <v>90</v>
      </c>
      <c r="L224" s="7"/>
      <c r="M224" s="14"/>
      <c r="N224" s="7" t="s">
        <v>93</v>
      </c>
      <c r="O224" s="10"/>
      <c r="P224" s="7" t="s">
        <v>90</v>
      </c>
      <c r="Q224" s="15">
        <f>IF(P224="oui",MIN(Parametres!$B$4,MAX(Parametres!$B$3,IF(M224="",Parametres!$B$3,ROUND(M224*10%,0)))),"")</f>
        <v>0</v>
      </c>
      <c r="R224" s="7" t="s">
        <v>134</v>
      </c>
      <c r="S224" s="7" t="s">
        <v>90</v>
      </c>
      <c r="T224" s="15">
        <f>IF(S224="oui",Parametres!$B$5,"")</f>
        <v>500</v>
      </c>
      <c r="U224" s="7" t="s">
        <v>134</v>
      </c>
      <c r="V224" s="15">
        <f t="shared" si="12"/>
        <v>500</v>
      </c>
      <c r="W224" s="15" t="str">
        <f t="shared" si="13"/>
        <v/>
      </c>
      <c r="X224" s="6" t="s">
        <v>90</v>
      </c>
      <c r="Y224" s="7" t="s">
        <v>133</v>
      </c>
      <c r="Z224" s="10"/>
      <c r="AA224" s="6" t="s">
        <v>93</v>
      </c>
      <c r="AB224" s="7" t="s">
        <v>160</v>
      </c>
      <c r="AC224" s="10"/>
      <c r="AD224" s="9" t="str">
        <f t="shared" si="14"/>
        <v>oui</v>
      </c>
      <c r="AE224" s="9" t="str">
        <f t="shared" si="15"/>
        <v>TAE manquant</v>
      </c>
      <c r="AF224" s="7"/>
      <c r="AG224" s="10"/>
      <c r="AH224" s="10"/>
      <c r="AI224" s="7" t="s">
        <v>160</v>
      </c>
      <c r="AJ224" s="10"/>
      <c r="AK224" s="10"/>
      <c r="AL224" s="10"/>
      <c r="AM224" s="11" t="s">
        <v>131</v>
      </c>
      <c r="AN224" s="11" t="s">
        <v>131</v>
      </c>
      <c r="AO224" s="11" t="s">
        <v>131</v>
      </c>
      <c r="AP224" s="11" t="s">
        <v>131</v>
      </c>
      <c r="AQ224" s="11"/>
      <c r="AR224" s="7"/>
    </row>
    <row r="225" spans="1:44" ht="14.4" x14ac:dyDescent="0.3">
      <c r="A225" s="6" t="s">
        <v>202</v>
      </c>
      <c r="B225" s="6" t="s">
        <v>1288</v>
      </c>
      <c r="C225" s="6" t="s">
        <v>1350</v>
      </c>
      <c r="D225" s="6" t="s">
        <v>1290</v>
      </c>
      <c r="E225" s="6" t="s">
        <v>1351</v>
      </c>
      <c r="F225" s="7" t="s">
        <v>125</v>
      </c>
      <c r="G225" s="10"/>
      <c r="H225" s="7" t="s">
        <v>93</v>
      </c>
      <c r="I225" s="7"/>
      <c r="J225" s="10"/>
      <c r="K225" s="6" t="s">
        <v>90</v>
      </c>
      <c r="L225" s="7"/>
      <c r="M225" s="14"/>
      <c r="N225" s="7" t="s">
        <v>93</v>
      </c>
      <c r="O225" s="10"/>
      <c r="P225" s="7" t="s">
        <v>90</v>
      </c>
      <c r="Q225" s="15">
        <f>IF(P225="oui",MIN(Parametres!$B$4,MAX(Parametres!$B$3,IF(M225="",Parametres!$B$3,ROUND(M225*10%,0)))),"")</f>
        <v>0</v>
      </c>
      <c r="R225" s="7" t="s">
        <v>134</v>
      </c>
      <c r="S225" s="7" t="s">
        <v>90</v>
      </c>
      <c r="T225" s="15">
        <f>IF(S225="oui",Parametres!$B$5,"")</f>
        <v>500</v>
      </c>
      <c r="U225" s="7" t="s">
        <v>134</v>
      </c>
      <c r="V225" s="15">
        <f t="shared" si="12"/>
        <v>500</v>
      </c>
      <c r="W225" s="15" t="str">
        <f t="shared" si="13"/>
        <v/>
      </c>
      <c r="X225" s="6" t="s">
        <v>90</v>
      </c>
      <c r="Y225" s="7" t="s">
        <v>133</v>
      </c>
      <c r="Z225" s="10"/>
      <c r="AA225" s="6" t="s">
        <v>93</v>
      </c>
      <c r="AB225" s="7" t="s">
        <v>160</v>
      </c>
      <c r="AC225" s="10"/>
      <c r="AD225" s="9" t="str">
        <f t="shared" si="14"/>
        <v>oui</v>
      </c>
      <c r="AE225" s="9" t="str">
        <f t="shared" si="15"/>
        <v>TAE manquant</v>
      </c>
      <c r="AF225" s="7"/>
      <c r="AG225" s="10"/>
      <c r="AH225" s="10"/>
      <c r="AI225" s="7" t="s">
        <v>160</v>
      </c>
      <c r="AJ225" s="10"/>
      <c r="AK225" s="10"/>
      <c r="AL225" s="10"/>
      <c r="AM225" s="11" t="s">
        <v>131</v>
      </c>
      <c r="AN225" s="11" t="s">
        <v>131</v>
      </c>
      <c r="AO225" s="11" t="s">
        <v>131</v>
      </c>
      <c r="AP225" s="11" t="s">
        <v>131</v>
      </c>
      <c r="AQ225" s="11"/>
      <c r="AR225" s="7"/>
    </row>
    <row r="226" spans="1:44" ht="14.4" x14ac:dyDescent="0.3">
      <c r="A226" s="6" t="s">
        <v>202</v>
      </c>
      <c r="B226" s="6" t="s">
        <v>1288</v>
      </c>
      <c r="C226" s="6" t="s">
        <v>1354</v>
      </c>
      <c r="D226" s="6" t="s">
        <v>1290</v>
      </c>
      <c r="E226" s="6" t="s">
        <v>1355</v>
      </c>
      <c r="F226" s="7" t="s">
        <v>125</v>
      </c>
      <c r="G226" s="10"/>
      <c r="H226" s="7" t="s">
        <v>93</v>
      </c>
      <c r="I226" s="7"/>
      <c r="J226" s="10"/>
      <c r="K226" s="6" t="s">
        <v>90</v>
      </c>
      <c r="L226" s="7"/>
      <c r="M226" s="14"/>
      <c r="N226" s="7" t="s">
        <v>93</v>
      </c>
      <c r="O226" s="10"/>
      <c r="P226" s="7" t="s">
        <v>90</v>
      </c>
      <c r="Q226" s="15">
        <f>IF(P226="oui",MIN(Parametres!$B$4,MAX(Parametres!$B$3,IF(M226="",Parametres!$B$3,ROUND(M226*10%,0)))),"")</f>
        <v>0</v>
      </c>
      <c r="R226" s="7" t="s">
        <v>134</v>
      </c>
      <c r="S226" s="7" t="s">
        <v>90</v>
      </c>
      <c r="T226" s="15">
        <f>IF(S226="oui",Parametres!$B$5,"")</f>
        <v>500</v>
      </c>
      <c r="U226" s="7" t="s">
        <v>134</v>
      </c>
      <c r="V226" s="15">
        <f t="shared" si="12"/>
        <v>500</v>
      </c>
      <c r="W226" s="15" t="str">
        <f t="shared" si="13"/>
        <v/>
      </c>
      <c r="X226" s="6" t="s">
        <v>90</v>
      </c>
      <c r="Y226" s="7" t="s">
        <v>133</v>
      </c>
      <c r="Z226" s="10"/>
      <c r="AA226" s="6" t="s">
        <v>93</v>
      </c>
      <c r="AB226" s="7" t="s">
        <v>160</v>
      </c>
      <c r="AC226" s="10"/>
      <c r="AD226" s="9" t="str">
        <f t="shared" si="14"/>
        <v>oui</v>
      </c>
      <c r="AE226" s="9" t="str">
        <f t="shared" si="15"/>
        <v>TAE manquant</v>
      </c>
      <c r="AF226" s="7"/>
      <c r="AG226" s="10"/>
      <c r="AH226" s="10"/>
      <c r="AI226" s="7" t="s">
        <v>160</v>
      </c>
      <c r="AJ226" s="10"/>
      <c r="AK226" s="10"/>
      <c r="AL226" s="10"/>
      <c r="AM226" s="11" t="s">
        <v>131</v>
      </c>
      <c r="AN226" s="11" t="s">
        <v>131</v>
      </c>
      <c r="AO226" s="11" t="s">
        <v>131</v>
      </c>
      <c r="AP226" s="11" t="s">
        <v>131</v>
      </c>
      <c r="AQ226" s="11"/>
      <c r="AR226" s="7"/>
    </row>
    <row r="227" spans="1:44" ht="14.4" x14ac:dyDescent="0.3">
      <c r="A227" s="6" t="s">
        <v>202</v>
      </c>
      <c r="B227" s="6" t="s">
        <v>1288</v>
      </c>
      <c r="C227" s="6" t="s">
        <v>1358</v>
      </c>
      <c r="D227" s="6" t="s">
        <v>1290</v>
      </c>
      <c r="E227" s="6" t="s">
        <v>1359</v>
      </c>
      <c r="F227" s="7" t="s">
        <v>125</v>
      </c>
      <c r="G227" s="10"/>
      <c r="H227" s="7" t="s">
        <v>93</v>
      </c>
      <c r="I227" s="7"/>
      <c r="J227" s="10"/>
      <c r="K227" s="6" t="s">
        <v>90</v>
      </c>
      <c r="L227" s="7"/>
      <c r="M227" s="14"/>
      <c r="N227" s="7" t="s">
        <v>93</v>
      </c>
      <c r="O227" s="10"/>
      <c r="P227" s="7" t="s">
        <v>90</v>
      </c>
      <c r="Q227" s="15">
        <f>IF(P227="oui",MIN(Parametres!$B$4,MAX(Parametres!$B$3,IF(M227="",Parametres!$B$3,ROUND(M227*10%,0)))),"")</f>
        <v>0</v>
      </c>
      <c r="R227" s="7" t="s">
        <v>134</v>
      </c>
      <c r="S227" s="7" t="s">
        <v>90</v>
      </c>
      <c r="T227" s="15">
        <f>IF(S227="oui",Parametres!$B$5,"")</f>
        <v>500</v>
      </c>
      <c r="U227" s="7" t="s">
        <v>134</v>
      </c>
      <c r="V227" s="15">
        <f t="shared" si="12"/>
        <v>500</v>
      </c>
      <c r="W227" s="15" t="str">
        <f t="shared" si="13"/>
        <v/>
      </c>
      <c r="X227" s="6" t="s">
        <v>90</v>
      </c>
      <c r="Y227" s="7" t="s">
        <v>133</v>
      </c>
      <c r="Z227" s="10"/>
      <c r="AA227" s="6" t="s">
        <v>93</v>
      </c>
      <c r="AB227" s="7" t="s">
        <v>160</v>
      </c>
      <c r="AC227" s="10"/>
      <c r="AD227" s="9" t="str">
        <f t="shared" si="14"/>
        <v>oui</v>
      </c>
      <c r="AE227" s="9" t="str">
        <f t="shared" si="15"/>
        <v>TAE manquant</v>
      </c>
      <c r="AF227" s="7"/>
      <c r="AG227" s="10"/>
      <c r="AH227" s="10"/>
      <c r="AI227" s="7" t="s">
        <v>160</v>
      </c>
      <c r="AJ227" s="10"/>
      <c r="AK227" s="10"/>
      <c r="AL227" s="10"/>
      <c r="AM227" s="11" t="s">
        <v>131</v>
      </c>
      <c r="AN227" s="11" t="s">
        <v>131</v>
      </c>
      <c r="AO227" s="11" t="s">
        <v>131</v>
      </c>
      <c r="AP227" s="11" t="s">
        <v>131</v>
      </c>
      <c r="AQ227" s="11"/>
      <c r="AR227" s="7"/>
    </row>
    <row r="228" spans="1:44" ht="14.4" x14ac:dyDescent="0.3">
      <c r="A228" s="6" t="s">
        <v>202</v>
      </c>
      <c r="B228" s="6" t="s">
        <v>1288</v>
      </c>
      <c r="C228" s="6" t="s">
        <v>1365</v>
      </c>
      <c r="D228" s="6" t="s">
        <v>1290</v>
      </c>
      <c r="E228" s="6" t="s">
        <v>1366</v>
      </c>
      <c r="F228" s="7" t="s">
        <v>125</v>
      </c>
      <c r="G228" s="10"/>
      <c r="H228" s="7" t="s">
        <v>93</v>
      </c>
      <c r="I228" s="7"/>
      <c r="J228" s="10"/>
      <c r="K228" s="6" t="s">
        <v>90</v>
      </c>
      <c r="L228" s="7"/>
      <c r="M228" s="14"/>
      <c r="N228" s="7" t="s">
        <v>93</v>
      </c>
      <c r="O228" s="10"/>
      <c r="P228" s="7" t="s">
        <v>90</v>
      </c>
      <c r="Q228" s="15">
        <f>IF(P228="oui",MIN(Parametres!$B$4,MAX(Parametres!$B$3,IF(M228="",Parametres!$B$3,ROUND(M228*10%,0)))),"")</f>
        <v>0</v>
      </c>
      <c r="R228" s="7" t="s">
        <v>134</v>
      </c>
      <c r="S228" s="7" t="s">
        <v>90</v>
      </c>
      <c r="T228" s="15">
        <f>IF(S228="oui",Parametres!$B$5,"")</f>
        <v>500</v>
      </c>
      <c r="U228" s="7" t="s">
        <v>134</v>
      </c>
      <c r="V228" s="15">
        <f t="shared" si="12"/>
        <v>500</v>
      </c>
      <c r="W228" s="15" t="str">
        <f t="shared" si="13"/>
        <v/>
      </c>
      <c r="X228" s="6" t="s">
        <v>90</v>
      </c>
      <c r="Y228" s="7" t="s">
        <v>133</v>
      </c>
      <c r="Z228" s="10"/>
      <c r="AA228" s="6" t="s">
        <v>93</v>
      </c>
      <c r="AB228" s="7" t="s">
        <v>160</v>
      </c>
      <c r="AC228" s="10"/>
      <c r="AD228" s="9" t="str">
        <f t="shared" si="14"/>
        <v>oui</v>
      </c>
      <c r="AE228" s="9" t="str">
        <f t="shared" si="15"/>
        <v>TAE manquant</v>
      </c>
      <c r="AF228" s="7"/>
      <c r="AG228" s="10"/>
      <c r="AH228" s="10"/>
      <c r="AI228" s="7" t="s">
        <v>160</v>
      </c>
      <c r="AJ228" s="10"/>
      <c r="AK228" s="10"/>
      <c r="AL228" s="10"/>
      <c r="AM228" s="11" t="s">
        <v>131</v>
      </c>
      <c r="AN228" s="11" t="s">
        <v>131</v>
      </c>
      <c r="AO228" s="11" t="s">
        <v>131</v>
      </c>
      <c r="AP228" s="11" t="s">
        <v>131</v>
      </c>
      <c r="AQ228" s="11"/>
      <c r="AR228" s="7"/>
    </row>
    <row r="229" spans="1:44" ht="14.4" x14ac:dyDescent="0.3">
      <c r="A229" s="6" t="s">
        <v>202</v>
      </c>
      <c r="B229" s="6" t="s">
        <v>1288</v>
      </c>
      <c r="C229" s="6" t="s">
        <v>1369</v>
      </c>
      <c r="D229" s="6" t="s">
        <v>1290</v>
      </c>
      <c r="E229" s="6" t="s">
        <v>1370</v>
      </c>
      <c r="F229" s="7" t="s">
        <v>125</v>
      </c>
      <c r="G229" s="10"/>
      <c r="H229" s="7" t="s">
        <v>93</v>
      </c>
      <c r="I229" s="7"/>
      <c r="J229" s="10"/>
      <c r="K229" s="6" t="s">
        <v>90</v>
      </c>
      <c r="L229" s="7"/>
      <c r="M229" s="14"/>
      <c r="N229" s="7" t="s">
        <v>93</v>
      </c>
      <c r="O229" s="10"/>
      <c r="P229" s="7" t="s">
        <v>90</v>
      </c>
      <c r="Q229" s="15">
        <f>IF(P229="oui",MIN(Parametres!$B$4,MAX(Parametres!$B$3,IF(M229="",Parametres!$B$3,ROUND(M229*10%,0)))),"")</f>
        <v>0</v>
      </c>
      <c r="R229" s="7" t="s">
        <v>134</v>
      </c>
      <c r="S229" s="7" t="s">
        <v>90</v>
      </c>
      <c r="T229" s="15">
        <f>IF(S229="oui",Parametres!$B$5,"")</f>
        <v>500</v>
      </c>
      <c r="U229" s="7" t="s">
        <v>134</v>
      </c>
      <c r="V229" s="15">
        <f t="shared" si="12"/>
        <v>500</v>
      </c>
      <c r="W229" s="15" t="str">
        <f t="shared" si="13"/>
        <v/>
      </c>
      <c r="X229" s="6" t="s">
        <v>90</v>
      </c>
      <c r="Y229" s="7" t="s">
        <v>133</v>
      </c>
      <c r="Z229" s="10"/>
      <c r="AA229" s="6" t="s">
        <v>93</v>
      </c>
      <c r="AB229" s="7" t="s">
        <v>160</v>
      </c>
      <c r="AC229" s="10"/>
      <c r="AD229" s="9" t="str">
        <f t="shared" si="14"/>
        <v>oui</v>
      </c>
      <c r="AE229" s="9" t="str">
        <f t="shared" si="15"/>
        <v>TAE manquant</v>
      </c>
      <c r="AF229" s="7"/>
      <c r="AG229" s="10"/>
      <c r="AH229" s="10"/>
      <c r="AI229" s="7" t="s">
        <v>160</v>
      </c>
      <c r="AJ229" s="10"/>
      <c r="AK229" s="10"/>
      <c r="AL229" s="10"/>
      <c r="AM229" s="11" t="s">
        <v>131</v>
      </c>
      <c r="AN229" s="11" t="s">
        <v>131</v>
      </c>
      <c r="AO229" s="11" t="s">
        <v>131</v>
      </c>
      <c r="AP229" s="11" t="s">
        <v>131</v>
      </c>
      <c r="AQ229" s="11"/>
      <c r="AR229" s="7"/>
    </row>
    <row r="230" spans="1:44" ht="14.4" x14ac:dyDescent="0.3">
      <c r="A230" s="6" t="s">
        <v>202</v>
      </c>
      <c r="B230" s="6" t="s">
        <v>1288</v>
      </c>
      <c r="C230" s="6" t="s">
        <v>1372</v>
      </c>
      <c r="D230" s="6" t="s">
        <v>1290</v>
      </c>
      <c r="E230" s="6" t="s">
        <v>1373</v>
      </c>
      <c r="F230" s="7" t="s">
        <v>125</v>
      </c>
      <c r="G230" s="10"/>
      <c r="H230" s="7" t="s">
        <v>93</v>
      </c>
      <c r="I230" s="7"/>
      <c r="J230" s="10"/>
      <c r="K230" s="6" t="s">
        <v>90</v>
      </c>
      <c r="L230" s="7"/>
      <c r="M230" s="14"/>
      <c r="N230" s="7" t="s">
        <v>93</v>
      </c>
      <c r="O230" s="10"/>
      <c r="P230" s="7" t="s">
        <v>90</v>
      </c>
      <c r="Q230" s="15">
        <f>IF(P230="oui",MIN(Parametres!$B$4,MAX(Parametres!$B$3,IF(M230="",Parametres!$B$3,ROUND(M230*10%,0)))),"")</f>
        <v>0</v>
      </c>
      <c r="R230" s="7" t="s">
        <v>134</v>
      </c>
      <c r="S230" s="7" t="s">
        <v>90</v>
      </c>
      <c r="T230" s="15">
        <f>IF(S230="oui",Parametres!$B$5,"")</f>
        <v>500</v>
      </c>
      <c r="U230" s="7" t="s">
        <v>134</v>
      </c>
      <c r="V230" s="15">
        <f t="shared" si="12"/>
        <v>500</v>
      </c>
      <c r="W230" s="15" t="str">
        <f t="shared" si="13"/>
        <v/>
      </c>
      <c r="X230" s="6" t="s">
        <v>90</v>
      </c>
      <c r="Y230" s="7" t="s">
        <v>133</v>
      </c>
      <c r="Z230" s="10"/>
      <c r="AA230" s="6" t="s">
        <v>93</v>
      </c>
      <c r="AB230" s="7" t="s">
        <v>160</v>
      </c>
      <c r="AC230" s="10"/>
      <c r="AD230" s="9" t="str">
        <f t="shared" si="14"/>
        <v>oui</v>
      </c>
      <c r="AE230" s="9" t="str">
        <f t="shared" si="15"/>
        <v>TAE manquant</v>
      </c>
      <c r="AF230" s="7"/>
      <c r="AG230" s="10"/>
      <c r="AH230" s="10"/>
      <c r="AI230" s="7" t="s">
        <v>160</v>
      </c>
      <c r="AJ230" s="10"/>
      <c r="AK230" s="10"/>
      <c r="AL230" s="10"/>
      <c r="AM230" s="11" t="s">
        <v>131</v>
      </c>
      <c r="AN230" s="11" t="s">
        <v>131</v>
      </c>
      <c r="AO230" s="11" t="s">
        <v>131</v>
      </c>
      <c r="AP230" s="11" t="s">
        <v>131</v>
      </c>
      <c r="AQ230" s="11"/>
      <c r="AR230" s="7"/>
    </row>
    <row r="231" spans="1:44" ht="14.4" x14ac:dyDescent="0.3">
      <c r="A231" s="6" t="s">
        <v>202</v>
      </c>
      <c r="B231" s="6" t="s">
        <v>1288</v>
      </c>
      <c r="C231" s="6" t="s">
        <v>1377</v>
      </c>
      <c r="D231" s="6" t="s">
        <v>1290</v>
      </c>
      <c r="E231" s="6" t="s">
        <v>1378</v>
      </c>
      <c r="F231" s="7" t="s">
        <v>125</v>
      </c>
      <c r="G231" s="10"/>
      <c r="H231" s="7" t="s">
        <v>93</v>
      </c>
      <c r="I231" s="7"/>
      <c r="J231" s="10"/>
      <c r="K231" s="6" t="s">
        <v>90</v>
      </c>
      <c r="L231" s="7"/>
      <c r="M231" s="14"/>
      <c r="N231" s="7" t="s">
        <v>93</v>
      </c>
      <c r="O231" s="10"/>
      <c r="P231" s="7" t="s">
        <v>90</v>
      </c>
      <c r="Q231" s="15">
        <f>IF(P231="oui",MIN(Parametres!$B$4,MAX(Parametres!$B$3,IF(M231="",Parametres!$B$3,ROUND(M231*10%,0)))),"")</f>
        <v>0</v>
      </c>
      <c r="R231" s="7" t="s">
        <v>134</v>
      </c>
      <c r="S231" s="7" t="s">
        <v>90</v>
      </c>
      <c r="T231" s="15">
        <f>IF(S231="oui",Parametres!$B$5,"")</f>
        <v>500</v>
      </c>
      <c r="U231" s="7" t="s">
        <v>134</v>
      </c>
      <c r="V231" s="15">
        <f t="shared" si="12"/>
        <v>500</v>
      </c>
      <c r="W231" s="15" t="str">
        <f t="shared" si="13"/>
        <v/>
      </c>
      <c r="X231" s="6" t="s">
        <v>90</v>
      </c>
      <c r="Y231" s="7" t="s">
        <v>133</v>
      </c>
      <c r="Z231" s="10"/>
      <c r="AA231" s="6" t="s">
        <v>93</v>
      </c>
      <c r="AB231" s="7" t="s">
        <v>160</v>
      </c>
      <c r="AC231" s="10"/>
      <c r="AD231" s="9" t="str">
        <f t="shared" si="14"/>
        <v>oui</v>
      </c>
      <c r="AE231" s="9" t="str">
        <f t="shared" si="15"/>
        <v>TAE manquant</v>
      </c>
      <c r="AF231" s="7"/>
      <c r="AG231" s="10"/>
      <c r="AH231" s="10"/>
      <c r="AI231" s="7" t="s">
        <v>160</v>
      </c>
      <c r="AJ231" s="10"/>
      <c r="AK231" s="10"/>
      <c r="AL231" s="10"/>
      <c r="AM231" s="11" t="s">
        <v>131</v>
      </c>
      <c r="AN231" s="11" t="s">
        <v>131</v>
      </c>
      <c r="AO231" s="11" t="s">
        <v>131</v>
      </c>
      <c r="AP231" s="11" t="s">
        <v>131</v>
      </c>
      <c r="AQ231" s="11"/>
      <c r="AR231" s="7"/>
    </row>
    <row r="232" spans="1:44" ht="14.4" x14ac:dyDescent="0.3">
      <c r="A232" s="6" t="s">
        <v>202</v>
      </c>
      <c r="B232" s="6" t="s">
        <v>1288</v>
      </c>
      <c r="C232" s="6" t="s">
        <v>1381</v>
      </c>
      <c r="D232" s="6" t="s">
        <v>1290</v>
      </c>
      <c r="E232" s="6" t="s">
        <v>1382</v>
      </c>
      <c r="F232" s="7" t="s">
        <v>125</v>
      </c>
      <c r="G232" s="10"/>
      <c r="H232" s="7" t="s">
        <v>93</v>
      </c>
      <c r="I232" s="7"/>
      <c r="J232" s="10"/>
      <c r="K232" s="6" t="s">
        <v>90</v>
      </c>
      <c r="L232" s="7"/>
      <c r="M232" s="14"/>
      <c r="N232" s="7" t="s">
        <v>93</v>
      </c>
      <c r="O232" s="10"/>
      <c r="P232" s="7" t="s">
        <v>90</v>
      </c>
      <c r="Q232" s="15">
        <f>IF(P232="oui",MIN(Parametres!$B$4,MAX(Parametres!$B$3,IF(M232="",Parametres!$B$3,ROUND(M232*10%,0)))),"")</f>
        <v>0</v>
      </c>
      <c r="R232" s="7" t="s">
        <v>134</v>
      </c>
      <c r="S232" s="7" t="s">
        <v>90</v>
      </c>
      <c r="T232" s="15">
        <f>IF(S232="oui",Parametres!$B$5,"")</f>
        <v>500</v>
      </c>
      <c r="U232" s="7" t="s">
        <v>134</v>
      </c>
      <c r="V232" s="15">
        <f t="shared" si="12"/>
        <v>500</v>
      </c>
      <c r="W232" s="15" t="str">
        <f t="shared" si="13"/>
        <v/>
      </c>
      <c r="X232" s="6" t="s">
        <v>90</v>
      </c>
      <c r="Y232" s="7" t="s">
        <v>133</v>
      </c>
      <c r="Z232" s="10"/>
      <c r="AA232" s="6" t="s">
        <v>93</v>
      </c>
      <c r="AB232" s="7" t="s">
        <v>160</v>
      </c>
      <c r="AC232" s="10"/>
      <c r="AD232" s="9" t="str">
        <f t="shared" si="14"/>
        <v>oui</v>
      </c>
      <c r="AE232" s="9" t="str">
        <f t="shared" si="15"/>
        <v>TAE manquant</v>
      </c>
      <c r="AF232" s="7"/>
      <c r="AG232" s="10"/>
      <c r="AH232" s="10"/>
      <c r="AI232" s="7" t="s">
        <v>160</v>
      </c>
      <c r="AJ232" s="10"/>
      <c r="AK232" s="10"/>
      <c r="AL232" s="10"/>
      <c r="AM232" s="11" t="s">
        <v>131</v>
      </c>
      <c r="AN232" s="11" t="s">
        <v>131</v>
      </c>
      <c r="AO232" s="11" t="s">
        <v>131</v>
      </c>
      <c r="AP232" s="11" t="s">
        <v>131</v>
      </c>
      <c r="AQ232" s="11"/>
      <c r="AR232" s="7"/>
    </row>
    <row r="233" spans="1:44" ht="14.4" x14ac:dyDescent="0.3">
      <c r="A233" s="6" t="s">
        <v>202</v>
      </c>
      <c r="B233" s="6" t="s">
        <v>1288</v>
      </c>
      <c r="C233" s="6" t="s">
        <v>1386</v>
      </c>
      <c r="D233" s="6" t="s">
        <v>1290</v>
      </c>
      <c r="E233" s="6" t="s">
        <v>1387</v>
      </c>
      <c r="F233" s="7" t="s">
        <v>125</v>
      </c>
      <c r="G233" s="10"/>
      <c r="H233" s="7" t="s">
        <v>93</v>
      </c>
      <c r="I233" s="7"/>
      <c r="J233" s="10"/>
      <c r="K233" s="6" t="s">
        <v>90</v>
      </c>
      <c r="L233" s="7"/>
      <c r="M233" s="14"/>
      <c r="N233" s="7" t="s">
        <v>93</v>
      </c>
      <c r="O233" s="10"/>
      <c r="P233" s="7" t="s">
        <v>90</v>
      </c>
      <c r="Q233" s="15">
        <f>IF(P233="oui",MIN(Parametres!$B$4,MAX(Parametres!$B$3,IF(M233="",Parametres!$B$3,ROUND(M233*10%,0)))),"")</f>
        <v>0</v>
      </c>
      <c r="R233" s="7" t="s">
        <v>134</v>
      </c>
      <c r="S233" s="7" t="s">
        <v>90</v>
      </c>
      <c r="T233" s="15">
        <f>IF(S233="oui",Parametres!$B$5,"")</f>
        <v>500</v>
      </c>
      <c r="U233" s="7" t="s">
        <v>134</v>
      </c>
      <c r="V233" s="15">
        <f t="shared" si="12"/>
        <v>500</v>
      </c>
      <c r="W233" s="15" t="str">
        <f t="shared" si="13"/>
        <v/>
      </c>
      <c r="X233" s="6" t="s">
        <v>90</v>
      </c>
      <c r="Y233" s="7" t="s">
        <v>133</v>
      </c>
      <c r="Z233" s="10"/>
      <c r="AA233" s="6" t="s">
        <v>93</v>
      </c>
      <c r="AB233" s="7" t="s">
        <v>160</v>
      </c>
      <c r="AC233" s="10"/>
      <c r="AD233" s="9" t="str">
        <f t="shared" si="14"/>
        <v>oui</v>
      </c>
      <c r="AE233" s="9" t="str">
        <f t="shared" si="15"/>
        <v>TAE manquant</v>
      </c>
      <c r="AF233" s="7"/>
      <c r="AG233" s="10"/>
      <c r="AH233" s="10"/>
      <c r="AI233" s="7" t="s">
        <v>160</v>
      </c>
      <c r="AJ233" s="10"/>
      <c r="AK233" s="10"/>
      <c r="AL233" s="10"/>
      <c r="AM233" s="11" t="s">
        <v>131</v>
      </c>
      <c r="AN233" s="11" t="s">
        <v>131</v>
      </c>
      <c r="AO233" s="11" t="s">
        <v>131</v>
      </c>
      <c r="AP233" s="11" t="s">
        <v>131</v>
      </c>
      <c r="AQ233" s="11"/>
      <c r="AR233" s="7"/>
    </row>
    <row r="234" spans="1:44" ht="14.4" x14ac:dyDescent="0.3">
      <c r="A234" s="6" t="s">
        <v>202</v>
      </c>
      <c r="B234" s="6" t="s">
        <v>1288</v>
      </c>
      <c r="C234" s="6" t="s">
        <v>1390</v>
      </c>
      <c r="D234" s="6" t="s">
        <v>1290</v>
      </c>
      <c r="E234" s="6" t="s">
        <v>1391</v>
      </c>
      <c r="F234" s="7" t="s">
        <v>125</v>
      </c>
      <c r="G234" s="10"/>
      <c r="H234" s="7" t="s">
        <v>93</v>
      </c>
      <c r="I234" s="7"/>
      <c r="J234" s="10"/>
      <c r="K234" s="6" t="s">
        <v>90</v>
      </c>
      <c r="L234" s="7"/>
      <c r="M234" s="14"/>
      <c r="N234" s="7" t="s">
        <v>93</v>
      </c>
      <c r="O234" s="10"/>
      <c r="P234" s="7" t="s">
        <v>90</v>
      </c>
      <c r="Q234" s="15">
        <f>IF(P234="oui",MIN(Parametres!$B$4,MAX(Parametres!$B$3,IF(M234="",Parametres!$B$3,ROUND(M234*10%,0)))),"")</f>
        <v>0</v>
      </c>
      <c r="R234" s="7" t="s">
        <v>134</v>
      </c>
      <c r="S234" s="7" t="s">
        <v>90</v>
      </c>
      <c r="T234" s="15">
        <f>IF(S234="oui",Parametres!$B$5,"")</f>
        <v>500</v>
      </c>
      <c r="U234" s="7" t="s">
        <v>134</v>
      </c>
      <c r="V234" s="15">
        <f t="shared" si="12"/>
        <v>500</v>
      </c>
      <c r="W234" s="15" t="str">
        <f t="shared" si="13"/>
        <v/>
      </c>
      <c r="X234" s="6" t="s">
        <v>90</v>
      </c>
      <c r="Y234" s="7" t="s">
        <v>133</v>
      </c>
      <c r="Z234" s="10"/>
      <c r="AA234" s="6" t="s">
        <v>93</v>
      </c>
      <c r="AB234" s="7" t="s">
        <v>160</v>
      </c>
      <c r="AC234" s="10"/>
      <c r="AD234" s="9" t="str">
        <f t="shared" si="14"/>
        <v>oui</v>
      </c>
      <c r="AE234" s="9" t="str">
        <f t="shared" si="15"/>
        <v>TAE manquant</v>
      </c>
      <c r="AF234" s="7"/>
      <c r="AG234" s="10"/>
      <c r="AH234" s="10"/>
      <c r="AI234" s="7" t="s">
        <v>160</v>
      </c>
      <c r="AJ234" s="10"/>
      <c r="AK234" s="10"/>
      <c r="AL234" s="10"/>
      <c r="AM234" s="11" t="s">
        <v>131</v>
      </c>
      <c r="AN234" s="11" t="s">
        <v>131</v>
      </c>
      <c r="AO234" s="11" t="s">
        <v>131</v>
      </c>
      <c r="AP234" s="11" t="s">
        <v>131</v>
      </c>
      <c r="AQ234" s="11"/>
      <c r="AR234" s="7"/>
    </row>
    <row r="235" spans="1:44" ht="14.4" x14ac:dyDescent="0.3">
      <c r="A235" s="6" t="s">
        <v>202</v>
      </c>
      <c r="B235" s="6" t="s">
        <v>1288</v>
      </c>
      <c r="C235" s="6" t="s">
        <v>1394</v>
      </c>
      <c r="D235" s="6" t="s">
        <v>1290</v>
      </c>
      <c r="E235" s="6" t="s">
        <v>1395</v>
      </c>
      <c r="F235" s="7" t="s">
        <v>125</v>
      </c>
      <c r="G235" s="10"/>
      <c r="H235" s="7" t="s">
        <v>93</v>
      </c>
      <c r="I235" s="7"/>
      <c r="J235" s="10"/>
      <c r="K235" s="6" t="s">
        <v>90</v>
      </c>
      <c r="L235" s="7"/>
      <c r="M235" s="14"/>
      <c r="N235" s="7" t="s">
        <v>93</v>
      </c>
      <c r="O235" s="10"/>
      <c r="P235" s="7" t="s">
        <v>90</v>
      </c>
      <c r="Q235" s="15">
        <f>IF(P235="oui",MIN(Parametres!$B$4,MAX(Parametres!$B$3,IF(M235="",Parametres!$B$3,ROUND(M235*10%,0)))),"")</f>
        <v>0</v>
      </c>
      <c r="R235" s="7" t="s">
        <v>134</v>
      </c>
      <c r="S235" s="7" t="s">
        <v>90</v>
      </c>
      <c r="T235" s="15">
        <f>IF(S235="oui",Parametres!$B$5,"")</f>
        <v>500</v>
      </c>
      <c r="U235" s="7" t="s">
        <v>134</v>
      </c>
      <c r="V235" s="15">
        <f t="shared" si="12"/>
        <v>500</v>
      </c>
      <c r="W235" s="15" t="str">
        <f t="shared" si="13"/>
        <v/>
      </c>
      <c r="X235" s="6" t="s">
        <v>90</v>
      </c>
      <c r="Y235" s="7" t="s">
        <v>133</v>
      </c>
      <c r="Z235" s="10"/>
      <c r="AA235" s="6" t="s">
        <v>93</v>
      </c>
      <c r="AB235" s="7" t="s">
        <v>160</v>
      </c>
      <c r="AC235" s="10"/>
      <c r="AD235" s="9" t="str">
        <f t="shared" si="14"/>
        <v>oui</v>
      </c>
      <c r="AE235" s="9" t="str">
        <f t="shared" si="15"/>
        <v>TAE manquant</v>
      </c>
      <c r="AF235" s="7"/>
      <c r="AG235" s="10"/>
      <c r="AH235" s="10"/>
      <c r="AI235" s="7" t="s">
        <v>160</v>
      </c>
      <c r="AJ235" s="10"/>
      <c r="AK235" s="10"/>
      <c r="AL235" s="10"/>
      <c r="AM235" s="11" t="s">
        <v>131</v>
      </c>
      <c r="AN235" s="11" t="s">
        <v>131</v>
      </c>
      <c r="AO235" s="11" t="s">
        <v>131</v>
      </c>
      <c r="AP235" s="11" t="s">
        <v>131</v>
      </c>
      <c r="AQ235" s="11"/>
      <c r="AR235" s="7"/>
    </row>
    <row r="236" spans="1:44" ht="14.4" x14ac:dyDescent="0.3">
      <c r="A236" s="6" t="s">
        <v>202</v>
      </c>
      <c r="B236" s="6" t="s">
        <v>1288</v>
      </c>
      <c r="C236" s="6" t="s">
        <v>1398</v>
      </c>
      <c r="D236" s="6" t="s">
        <v>1290</v>
      </c>
      <c r="E236" s="6" t="s">
        <v>1399</v>
      </c>
      <c r="F236" s="7" t="s">
        <v>125</v>
      </c>
      <c r="G236" s="10"/>
      <c r="H236" s="7" t="s">
        <v>93</v>
      </c>
      <c r="I236" s="7"/>
      <c r="J236" s="10"/>
      <c r="K236" s="6" t="s">
        <v>90</v>
      </c>
      <c r="L236" s="7"/>
      <c r="M236" s="14"/>
      <c r="N236" s="7" t="s">
        <v>93</v>
      </c>
      <c r="O236" s="10"/>
      <c r="P236" s="7" t="s">
        <v>90</v>
      </c>
      <c r="Q236" s="15">
        <f>IF(P236="oui",MIN(Parametres!$B$4,MAX(Parametres!$B$3,IF(M236="",Parametres!$B$3,ROUND(M236*10%,0)))),"")</f>
        <v>0</v>
      </c>
      <c r="R236" s="7" t="s">
        <v>134</v>
      </c>
      <c r="S236" s="7" t="s">
        <v>90</v>
      </c>
      <c r="T236" s="15">
        <f>IF(S236="oui",Parametres!$B$5,"")</f>
        <v>500</v>
      </c>
      <c r="U236" s="7" t="s">
        <v>134</v>
      </c>
      <c r="V236" s="15">
        <f t="shared" si="12"/>
        <v>500</v>
      </c>
      <c r="W236" s="15" t="str">
        <f t="shared" si="13"/>
        <v/>
      </c>
      <c r="X236" s="6" t="s">
        <v>90</v>
      </c>
      <c r="Y236" s="7" t="s">
        <v>133</v>
      </c>
      <c r="Z236" s="10"/>
      <c r="AA236" s="6" t="s">
        <v>93</v>
      </c>
      <c r="AB236" s="7" t="s">
        <v>160</v>
      </c>
      <c r="AC236" s="10"/>
      <c r="AD236" s="9" t="str">
        <f t="shared" si="14"/>
        <v>oui</v>
      </c>
      <c r="AE236" s="9" t="str">
        <f t="shared" si="15"/>
        <v>TAE manquant</v>
      </c>
      <c r="AF236" s="7"/>
      <c r="AG236" s="10"/>
      <c r="AH236" s="10"/>
      <c r="AI236" s="7" t="s">
        <v>160</v>
      </c>
      <c r="AJ236" s="10"/>
      <c r="AK236" s="10"/>
      <c r="AL236" s="10"/>
      <c r="AM236" s="11" t="s">
        <v>131</v>
      </c>
      <c r="AN236" s="11" t="s">
        <v>131</v>
      </c>
      <c r="AO236" s="11" t="s">
        <v>131</v>
      </c>
      <c r="AP236" s="11" t="s">
        <v>131</v>
      </c>
      <c r="AQ236" s="11"/>
      <c r="AR236" s="7"/>
    </row>
    <row r="237" spans="1:44" ht="14.4" x14ac:dyDescent="0.3">
      <c r="A237" s="6" t="s">
        <v>202</v>
      </c>
      <c r="B237" s="6" t="s">
        <v>1288</v>
      </c>
      <c r="C237" s="6" t="s">
        <v>1404</v>
      </c>
      <c r="D237" s="6" t="s">
        <v>1290</v>
      </c>
      <c r="E237" s="6" t="s">
        <v>1405</v>
      </c>
      <c r="F237" s="7" t="s">
        <v>125</v>
      </c>
      <c r="G237" s="10"/>
      <c r="H237" s="7" t="s">
        <v>93</v>
      </c>
      <c r="I237" s="7"/>
      <c r="J237" s="10"/>
      <c r="K237" s="6" t="s">
        <v>90</v>
      </c>
      <c r="L237" s="7"/>
      <c r="M237" s="14"/>
      <c r="N237" s="7" t="s">
        <v>93</v>
      </c>
      <c r="O237" s="10"/>
      <c r="P237" s="7" t="s">
        <v>90</v>
      </c>
      <c r="Q237" s="15">
        <f>IF(P237="oui",MIN(Parametres!$B$4,MAX(Parametres!$B$3,IF(M237="",Parametres!$B$3,ROUND(M237*10%,0)))),"")</f>
        <v>0</v>
      </c>
      <c r="R237" s="7" t="s">
        <v>134</v>
      </c>
      <c r="S237" s="7" t="s">
        <v>90</v>
      </c>
      <c r="T237" s="15">
        <f>IF(S237="oui",Parametres!$B$5,"")</f>
        <v>500</v>
      </c>
      <c r="U237" s="7" t="s">
        <v>134</v>
      </c>
      <c r="V237" s="15">
        <f t="shared" si="12"/>
        <v>500</v>
      </c>
      <c r="W237" s="15" t="str">
        <f t="shared" si="13"/>
        <v/>
      </c>
      <c r="X237" s="6" t="s">
        <v>90</v>
      </c>
      <c r="Y237" s="7" t="s">
        <v>133</v>
      </c>
      <c r="Z237" s="10"/>
      <c r="AA237" s="6" t="s">
        <v>93</v>
      </c>
      <c r="AB237" s="7" t="s">
        <v>160</v>
      </c>
      <c r="AC237" s="10"/>
      <c r="AD237" s="9" t="str">
        <f t="shared" si="14"/>
        <v>oui</v>
      </c>
      <c r="AE237" s="9" t="str">
        <f t="shared" si="15"/>
        <v>TAE manquant</v>
      </c>
      <c r="AF237" s="7"/>
      <c r="AG237" s="10"/>
      <c r="AH237" s="10"/>
      <c r="AI237" s="7" t="s">
        <v>160</v>
      </c>
      <c r="AJ237" s="10"/>
      <c r="AK237" s="10"/>
      <c r="AL237" s="10"/>
      <c r="AM237" s="11" t="s">
        <v>131</v>
      </c>
      <c r="AN237" s="11" t="s">
        <v>131</v>
      </c>
      <c r="AO237" s="11" t="s">
        <v>131</v>
      </c>
      <c r="AP237" s="11" t="s">
        <v>131</v>
      </c>
      <c r="AQ237" s="11"/>
      <c r="AR237" s="7"/>
    </row>
    <row r="238" spans="1:44" ht="14.4" x14ac:dyDescent="0.3">
      <c r="A238" s="6" t="s">
        <v>202</v>
      </c>
      <c r="B238" s="6" t="s">
        <v>1288</v>
      </c>
      <c r="C238" s="6" t="s">
        <v>1410</v>
      </c>
      <c r="D238" s="6" t="s">
        <v>1290</v>
      </c>
      <c r="E238" s="6" t="s">
        <v>1411</v>
      </c>
      <c r="F238" s="7" t="s">
        <v>125</v>
      </c>
      <c r="G238" s="10"/>
      <c r="H238" s="7" t="s">
        <v>93</v>
      </c>
      <c r="I238" s="7"/>
      <c r="J238" s="10"/>
      <c r="K238" s="6" t="s">
        <v>90</v>
      </c>
      <c r="L238" s="7"/>
      <c r="M238" s="14"/>
      <c r="N238" s="7" t="s">
        <v>93</v>
      </c>
      <c r="O238" s="10"/>
      <c r="P238" s="7" t="s">
        <v>90</v>
      </c>
      <c r="Q238" s="15">
        <f>IF(P238="oui",MIN(Parametres!$B$4,MAX(Parametres!$B$3,IF(M238="",Parametres!$B$3,ROUND(M238*10%,0)))),"")</f>
        <v>0</v>
      </c>
      <c r="R238" s="7" t="s">
        <v>134</v>
      </c>
      <c r="S238" s="7" t="s">
        <v>90</v>
      </c>
      <c r="T238" s="15">
        <f>IF(S238="oui",Parametres!$B$5,"")</f>
        <v>500</v>
      </c>
      <c r="U238" s="7" t="s">
        <v>134</v>
      </c>
      <c r="V238" s="15">
        <f t="shared" si="12"/>
        <v>500</v>
      </c>
      <c r="W238" s="15" t="str">
        <f t="shared" si="13"/>
        <v/>
      </c>
      <c r="X238" s="6" t="s">
        <v>90</v>
      </c>
      <c r="Y238" s="7" t="s">
        <v>133</v>
      </c>
      <c r="Z238" s="10"/>
      <c r="AA238" s="6" t="s">
        <v>93</v>
      </c>
      <c r="AB238" s="7" t="s">
        <v>160</v>
      </c>
      <c r="AC238" s="10"/>
      <c r="AD238" s="9" t="str">
        <f t="shared" si="14"/>
        <v>oui</v>
      </c>
      <c r="AE238" s="9" t="str">
        <f t="shared" si="15"/>
        <v>TAE manquant</v>
      </c>
      <c r="AF238" s="7"/>
      <c r="AG238" s="10"/>
      <c r="AH238" s="10"/>
      <c r="AI238" s="7" t="s">
        <v>160</v>
      </c>
      <c r="AJ238" s="10"/>
      <c r="AK238" s="10"/>
      <c r="AL238" s="10"/>
      <c r="AM238" s="11" t="s">
        <v>131</v>
      </c>
      <c r="AN238" s="11" t="s">
        <v>131</v>
      </c>
      <c r="AO238" s="11" t="s">
        <v>131</v>
      </c>
      <c r="AP238" s="11" t="s">
        <v>131</v>
      </c>
      <c r="AQ238" s="11"/>
      <c r="AR238" s="7"/>
    </row>
    <row r="239" spans="1:44" ht="14.4" x14ac:dyDescent="0.3">
      <c r="A239" s="6" t="s">
        <v>202</v>
      </c>
      <c r="B239" s="6" t="s">
        <v>1288</v>
      </c>
      <c r="C239" s="6" t="s">
        <v>1415</v>
      </c>
      <c r="D239" s="6" t="s">
        <v>1290</v>
      </c>
      <c r="E239" s="6" t="s">
        <v>1416</v>
      </c>
      <c r="F239" s="7" t="s">
        <v>125</v>
      </c>
      <c r="G239" s="10"/>
      <c r="H239" s="7" t="s">
        <v>93</v>
      </c>
      <c r="I239" s="7"/>
      <c r="J239" s="10"/>
      <c r="K239" s="6" t="s">
        <v>90</v>
      </c>
      <c r="L239" s="7"/>
      <c r="M239" s="14"/>
      <c r="N239" s="7" t="s">
        <v>93</v>
      </c>
      <c r="O239" s="10"/>
      <c r="P239" s="7" t="s">
        <v>90</v>
      </c>
      <c r="Q239" s="15">
        <f>IF(P239="oui",MIN(Parametres!$B$4,MAX(Parametres!$B$3,IF(M239="",Parametres!$B$3,ROUND(M239*10%,0)))),"")</f>
        <v>0</v>
      </c>
      <c r="R239" s="7" t="s">
        <v>134</v>
      </c>
      <c r="S239" s="7" t="s">
        <v>90</v>
      </c>
      <c r="T239" s="15">
        <f>IF(S239="oui",Parametres!$B$5,"")</f>
        <v>500</v>
      </c>
      <c r="U239" s="7" t="s">
        <v>134</v>
      </c>
      <c r="V239" s="15">
        <f t="shared" si="12"/>
        <v>500</v>
      </c>
      <c r="W239" s="15" t="str">
        <f t="shared" si="13"/>
        <v/>
      </c>
      <c r="X239" s="6" t="s">
        <v>90</v>
      </c>
      <c r="Y239" s="7" t="s">
        <v>133</v>
      </c>
      <c r="Z239" s="10"/>
      <c r="AA239" s="6" t="s">
        <v>93</v>
      </c>
      <c r="AB239" s="7" t="s">
        <v>160</v>
      </c>
      <c r="AC239" s="10"/>
      <c r="AD239" s="9" t="str">
        <f t="shared" si="14"/>
        <v>oui</v>
      </c>
      <c r="AE239" s="9" t="str">
        <f t="shared" si="15"/>
        <v>TAE manquant</v>
      </c>
      <c r="AF239" s="7"/>
      <c r="AG239" s="10"/>
      <c r="AH239" s="10"/>
      <c r="AI239" s="7" t="s">
        <v>160</v>
      </c>
      <c r="AJ239" s="10"/>
      <c r="AK239" s="10"/>
      <c r="AL239" s="10"/>
      <c r="AM239" s="11" t="s">
        <v>131</v>
      </c>
      <c r="AN239" s="11" t="s">
        <v>131</v>
      </c>
      <c r="AO239" s="11" t="s">
        <v>131</v>
      </c>
      <c r="AP239" s="11" t="s">
        <v>131</v>
      </c>
      <c r="AQ239" s="11"/>
      <c r="AR239" s="7"/>
    </row>
    <row r="240" spans="1:44" ht="14.4" x14ac:dyDescent="0.3">
      <c r="A240" s="6" t="s">
        <v>202</v>
      </c>
      <c r="B240" s="6" t="s">
        <v>1288</v>
      </c>
      <c r="C240" s="6" t="s">
        <v>1419</v>
      </c>
      <c r="D240" s="6" t="s">
        <v>1290</v>
      </c>
      <c r="E240" s="6" t="s">
        <v>1420</v>
      </c>
      <c r="F240" s="7" t="s">
        <v>125</v>
      </c>
      <c r="G240" s="10"/>
      <c r="H240" s="7" t="s">
        <v>93</v>
      </c>
      <c r="I240" s="7"/>
      <c r="J240" s="10"/>
      <c r="K240" s="6" t="s">
        <v>90</v>
      </c>
      <c r="L240" s="7"/>
      <c r="M240" s="14"/>
      <c r="N240" s="7" t="s">
        <v>93</v>
      </c>
      <c r="O240" s="10"/>
      <c r="P240" s="7" t="s">
        <v>90</v>
      </c>
      <c r="Q240" s="15">
        <f>IF(P240="oui",MIN(Parametres!$B$4,MAX(Parametres!$B$3,IF(M240="",Parametres!$B$3,ROUND(M240*10%,0)))),"")</f>
        <v>0</v>
      </c>
      <c r="R240" s="7" t="s">
        <v>134</v>
      </c>
      <c r="S240" s="7" t="s">
        <v>90</v>
      </c>
      <c r="T240" s="15">
        <f>IF(S240="oui",Parametres!$B$5,"")</f>
        <v>500</v>
      </c>
      <c r="U240" s="7" t="s">
        <v>134</v>
      </c>
      <c r="V240" s="15">
        <f t="shared" si="12"/>
        <v>500</v>
      </c>
      <c r="W240" s="15" t="str">
        <f t="shared" si="13"/>
        <v/>
      </c>
      <c r="X240" s="6" t="s">
        <v>90</v>
      </c>
      <c r="Y240" s="7" t="s">
        <v>133</v>
      </c>
      <c r="Z240" s="10"/>
      <c r="AA240" s="6" t="s">
        <v>93</v>
      </c>
      <c r="AB240" s="7" t="s">
        <v>160</v>
      </c>
      <c r="AC240" s="10"/>
      <c r="AD240" s="9" t="str">
        <f t="shared" si="14"/>
        <v>oui</v>
      </c>
      <c r="AE240" s="9" t="str">
        <f t="shared" si="15"/>
        <v>TAE manquant</v>
      </c>
      <c r="AF240" s="7"/>
      <c r="AG240" s="10"/>
      <c r="AH240" s="10"/>
      <c r="AI240" s="7" t="s">
        <v>160</v>
      </c>
      <c r="AJ240" s="10"/>
      <c r="AK240" s="10"/>
      <c r="AL240" s="10"/>
      <c r="AM240" s="11" t="s">
        <v>131</v>
      </c>
      <c r="AN240" s="11" t="s">
        <v>131</v>
      </c>
      <c r="AO240" s="11" t="s">
        <v>131</v>
      </c>
      <c r="AP240" s="11" t="s">
        <v>131</v>
      </c>
      <c r="AQ240" s="11"/>
      <c r="AR240" s="7"/>
    </row>
    <row r="241" spans="1:44" ht="14.4" x14ac:dyDescent="0.3">
      <c r="A241" s="6" t="s">
        <v>202</v>
      </c>
      <c r="B241" s="6" t="s">
        <v>1288</v>
      </c>
      <c r="C241" s="6" t="s">
        <v>1423</v>
      </c>
      <c r="D241" s="6" t="s">
        <v>1290</v>
      </c>
      <c r="E241" s="6" t="s">
        <v>1424</v>
      </c>
      <c r="F241" s="7" t="s">
        <v>125</v>
      </c>
      <c r="G241" s="10"/>
      <c r="H241" s="7" t="s">
        <v>93</v>
      </c>
      <c r="I241" s="7"/>
      <c r="J241" s="10"/>
      <c r="K241" s="6" t="s">
        <v>90</v>
      </c>
      <c r="L241" s="7"/>
      <c r="M241" s="14"/>
      <c r="N241" s="7" t="s">
        <v>93</v>
      </c>
      <c r="O241" s="10"/>
      <c r="P241" s="7" t="s">
        <v>90</v>
      </c>
      <c r="Q241" s="15">
        <f>IF(P241="oui",MIN(Parametres!$B$4,MAX(Parametres!$B$3,IF(M241="",Parametres!$B$3,ROUND(M241*10%,0)))),"")</f>
        <v>0</v>
      </c>
      <c r="R241" s="7" t="s">
        <v>134</v>
      </c>
      <c r="S241" s="7" t="s">
        <v>90</v>
      </c>
      <c r="T241" s="15">
        <f>IF(S241="oui",Parametres!$B$5,"")</f>
        <v>500</v>
      </c>
      <c r="U241" s="7" t="s">
        <v>134</v>
      </c>
      <c r="V241" s="15">
        <f t="shared" si="12"/>
        <v>500</v>
      </c>
      <c r="W241" s="15" t="str">
        <f t="shared" si="13"/>
        <v/>
      </c>
      <c r="X241" s="6" t="s">
        <v>90</v>
      </c>
      <c r="Y241" s="7" t="s">
        <v>133</v>
      </c>
      <c r="Z241" s="10"/>
      <c r="AA241" s="6" t="s">
        <v>93</v>
      </c>
      <c r="AB241" s="7" t="s">
        <v>160</v>
      </c>
      <c r="AC241" s="10"/>
      <c r="AD241" s="9" t="str">
        <f t="shared" si="14"/>
        <v>oui</v>
      </c>
      <c r="AE241" s="9" t="str">
        <f t="shared" si="15"/>
        <v>TAE manquant</v>
      </c>
      <c r="AF241" s="7"/>
      <c r="AG241" s="10"/>
      <c r="AH241" s="10"/>
      <c r="AI241" s="7" t="s">
        <v>160</v>
      </c>
      <c r="AJ241" s="10"/>
      <c r="AK241" s="10"/>
      <c r="AL241" s="10"/>
      <c r="AM241" s="11" t="s">
        <v>131</v>
      </c>
      <c r="AN241" s="11" t="s">
        <v>131</v>
      </c>
      <c r="AO241" s="11" t="s">
        <v>131</v>
      </c>
      <c r="AP241" s="11" t="s">
        <v>131</v>
      </c>
      <c r="AQ241" s="11"/>
      <c r="AR241" s="7"/>
    </row>
    <row r="242" spans="1:44" ht="14.4" x14ac:dyDescent="0.3">
      <c r="A242" s="6" t="s">
        <v>202</v>
      </c>
      <c r="B242" s="6" t="s">
        <v>1288</v>
      </c>
      <c r="C242" s="6" t="s">
        <v>1427</v>
      </c>
      <c r="D242" s="6" t="s">
        <v>1290</v>
      </c>
      <c r="E242" s="6" t="s">
        <v>1428</v>
      </c>
      <c r="F242" s="7" t="s">
        <v>125</v>
      </c>
      <c r="G242" s="10"/>
      <c r="H242" s="7" t="s">
        <v>93</v>
      </c>
      <c r="I242" s="7"/>
      <c r="J242" s="10"/>
      <c r="K242" s="6" t="s">
        <v>90</v>
      </c>
      <c r="L242" s="7"/>
      <c r="M242" s="14"/>
      <c r="N242" s="7" t="s">
        <v>93</v>
      </c>
      <c r="O242" s="10"/>
      <c r="P242" s="7" t="s">
        <v>90</v>
      </c>
      <c r="Q242" s="15">
        <f>IF(P242="oui",MIN(Parametres!$B$4,MAX(Parametres!$B$3,IF(M242="",Parametres!$B$3,ROUND(M242*10%,0)))),"")</f>
        <v>0</v>
      </c>
      <c r="R242" s="7" t="s">
        <v>134</v>
      </c>
      <c r="S242" s="7" t="s">
        <v>90</v>
      </c>
      <c r="T242" s="15">
        <f>IF(S242="oui",Parametres!$B$5,"")</f>
        <v>500</v>
      </c>
      <c r="U242" s="7" t="s">
        <v>134</v>
      </c>
      <c r="V242" s="15">
        <f t="shared" si="12"/>
        <v>500</v>
      </c>
      <c r="W242" s="15" t="str">
        <f t="shared" si="13"/>
        <v/>
      </c>
      <c r="X242" s="6" t="s">
        <v>90</v>
      </c>
      <c r="Y242" s="7" t="s">
        <v>133</v>
      </c>
      <c r="Z242" s="10"/>
      <c r="AA242" s="6" t="s">
        <v>93</v>
      </c>
      <c r="AB242" s="7" t="s">
        <v>160</v>
      </c>
      <c r="AC242" s="10"/>
      <c r="AD242" s="9" t="str">
        <f t="shared" si="14"/>
        <v>oui</v>
      </c>
      <c r="AE242" s="9" t="str">
        <f t="shared" si="15"/>
        <v>TAE manquant</v>
      </c>
      <c r="AF242" s="7"/>
      <c r="AG242" s="10"/>
      <c r="AH242" s="10"/>
      <c r="AI242" s="7" t="s">
        <v>160</v>
      </c>
      <c r="AJ242" s="10"/>
      <c r="AK242" s="10"/>
      <c r="AL242" s="10"/>
      <c r="AM242" s="11" t="s">
        <v>131</v>
      </c>
      <c r="AN242" s="11" t="s">
        <v>131</v>
      </c>
      <c r="AO242" s="11" t="s">
        <v>131</v>
      </c>
      <c r="AP242" s="11" t="s">
        <v>131</v>
      </c>
      <c r="AQ242" s="11"/>
      <c r="AR242" s="7"/>
    </row>
    <row r="243" spans="1:44" ht="14.4" x14ac:dyDescent="0.3">
      <c r="A243" s="6" t="s">
        <v>202</v>
      </c>
      <c r="B243" s="6" t="s">
        <v>1288</v>
      </c>
      <c r="C243" s="6" t="s">
        <v>1430</v>
      </c>
      <c r="D243" s="6" t="s">
        <v>1290</v>
      </c>
      <c r="E243" s="6" t="s">
        <v>1431</v>
      </c>
      <c r="F243" s="7" t="s">
        <v>125</v>
      </c>
      <c r="G243" s="10"/>
      <c r="H243" s="7" t="s">
        <v>93</v>
      </c>
      <c r="I243" s="7"/>
      <c r="J243" s="10"/>
      <c r="K243" s="6" t="s">
        <v>90</v>
      </c>
      <c r="L243" s="7"/>
      <c r="M243" s="14"/>
      <c r="N243" s="7" t="s">
        <v>93</v>
      </c>
      <c r="O243" s="10"/>
      <c r="P243" s="7" t="s">
        <v>90</v>
      </c>
      <c r="Q243" s="15">
        <f>IF(P243="oui",MIN(Parametres!$B$4,MAX(Parametres!$B$3,IF(M243="",Parametres!$B$3,ROUND(M243*10%,0)))),"")</f>
        <v>0</v>
      </c>
      <c r="R243" s="7" t="s">
        <v>134</v>
      </c>
      <c r="S243" s="7" t="s">
        <v>90</v>
      </c>
      <c r="T243" s="15">
        <f>IF(S243="oui",Parametres!$B$5,"")</f>
        <v>500</v>
      </c>
      <c r="U243" s="7" t="s">
        <v>134</v>
      </c>
      <c r="V243" s="15">
        <f t="shared" si="12"/>
        <v>500</v>
      </c>
      <c r="W243" s="15" t="str">
        <f t="shared" si="13"/>
        <v/>
      </c>
      <c r="X243" s="6" t="s">
        <v>90</v>
      </c>
      <c r="Y243" s="7" t="s">
        <v>133</v>
      </c>
      <c r="Z243" s="10"/>
      <c r="AA243" s="6" t="s">
        <v>93</v>
      </c>
      <c r="AB243" s="7" t="s">
        <v>160</v>
      </c>
      <c r="AC243" s="10"/>
      <c r="AD243" s="9" t="str">
        <f t="shared" si="14"/>
        <v>oui</v>
      </c>
      <c r="AE243" s="9" t="str">
        <f t="shared" si="15"/>
        <v>TAE manquant</v>
      </c>
      <c r="AF243" s="7"/>
      <c r="AG243" s="10"/>
      <c r="AH243" s="10"/>
      <c r="AI243" s="7" t="s">
        <v>160</v>
      </c>
      <c r="AJ243" s="10"/>
      <c r="AK243" s="10"/>
      <c r="AL243" s="10"/>
      <c r="AM243" s="11" t="s">
        <v>131</v>
      </c>
      <c r="AN243" s="11" t="s">
        <v>131</v>
      </c>
      <c r="AO243" s="11" t="s">
        <v>131</v>
      </c>
      <c r="AP243" s="11" t="s">
        <v>131</v>
      </c>
      <c r="AQ243" s="11"/>
      <c r="AR243" s="7"/>
    </row>
    <row r="244" spans="1:44" ht="14.4" x14ac:dyDescent="0.3">
      <c r="A244" s="6" t="s">
        <v>202</v>
      </c>
      <c r="B244" s="6" t="s">
        <v>1288</v>
      </c>
      <c r="C244" s="6" t="s">
        <v>1436</v>
      </c>
      <c r="D244" s="6" t="s">
        <v>1290</v>
      </c>
      <c r="E244" s="6" t="s">
        <v>1437</v>
      </c>
      <c r="F244" s="7" t="s">
        <v>125</v>
      </c>
      <c r="G244" s="10"/>
      <c r="H244" s="7" t="s">
        <v>93</v>
      </c>
      <c r="I244" s="7"/>
      <c r="J244" s="10"/>
      <c r="K244" s="6" t="s">
        <v>90</v>
      </c>
      <c r="L244" s="7"/>
      <c r="M244" s="14"/>
      <c r="N244" s="7" t="s">
        <v>93</v>
      </c>
      <c r="O244" s="10"/>
      <c r="P244" s="7" t="s">
        <v>90</v>
      </c>
      <c r="Q244" s="15">
        <f>IF(P244="oui",MIN(Parametres!$B$4,MAX(Parametres!$B$3,IF(M244="",Parametres!$B$3,ROUND(M244*10%,0)))),"")</f>
        <v>0</v>
      </c>
      <c r="R244" s="7" t="s">
        <v>134</v>
      </c>
      <c r="S244" s="7" t="s">
        <v>90</v>
      </c>
      <c r="T244" s="15">
        <f>IF(S244="oui",Parametres!$B$5,"")</f>
        <v>500</v>
      </c>
      <c r="U244" s="7" t="s">
        <v>134</v>
      </c>
      <c r="V244" s="15">
        <f t="shared" si="12"/>
        <v>500</v>
      </c>
      <c r="W244" s="15" t="str">
        <f t="shared" si="13"/>
        <v/>
      </c>
      <c r="X244" s="6" t="s">
        <v>90</v>
      </c>
      <c r="Y244" s="7" t="s">
        <v>133</v>
      </c>
      <c r="Z244" s="10"/>
      <c r="AA244" s="6" t="s">
        <v>93</v>
      </c>
      <c r="AB244" s="7" t="s">
        <v>160</v>
      </c>
      <c r="AC244" s="10"/>
      <c r="AD244" s="9" t="str">
        <f t="shared" si="14"/>
        <v>oui</v>
      </c>
      <c r="AE244" s="9" t="str">
        <f t="shared" si="15"/>
        <v>TAE manquant</v>
      </c>
      <c r="AF244" s="7"/>
      <c r="AG244" s="10"/>
      <c r="AH244" s="10"/>
      <c r="AI244" s="7" t="s">
        <v>160</v>
      </c>
      <c r="AJ244" s="10"/>
      <c r="AK244" s="10"/>
      <c r="AL244" s="10"/>
      <c r="AM244" s="11" t="s">
        <v>131</v>
      </c>
      <c r="AN244" s="11" t="s">
        <v>131</v>
      </c>
      <c r="AO244" s="11" t="s">
        <v>131</v>
      </c>
      <c r="AP244" s="11" t="s">
        <v>131</v>
      </c>
      <c r="AQ244" s="11"/>
      <c r="AR244" s="7"/>
    </row>
    <row r="245" spans="1:44" ht="14.4" x14ac:dyDescent="0.3">
      <c r="A245" s="6" t="s">
        <v>202</v>
      </c>
      <c r="B245" s="6" t="s">
        <v>1288</v>
      </c>
      <c r="C245" s="6" t="s">
        <v>1441</v>
      </c>
      <c r="D245" s="6" t="s">
        <v>1290</v>
      </c>
      <c r="E245" s="6" t="s">
        <v>1442</v>
      </c>
      <c r="F245" s="7" t="s">
        <v>125</v>
      </c>
      <c r="G245" s="10"/>
      <c r="H245" s="7" t="s">
        <v>93</v>
      </c>
      <c r="I245" s="7"/>
      <c r="J245" s="10"/>
      <c r="K245" s="6" t="s">
        <v>90</v>
      </c>
      <c r="L245" s="7"/>
      <c r="M245" s="14"/>
      <c r="N245" s="7" t="s">
        <v>93</v>
      </c>
      <c r="O245" s="10"/>
      <c r="P245" s="7" t="s">
        <v>90</v>
      </c>
      <c r="Q245" s="15">
        <f>IF(P245="oui",MIN(Parametres!$B$4,MAX(Parametres!$B$3,IF(M245="",Parametres!$B$3,ROUND(M245*10%,0)))),"")</f>
        <v>0</v>
      </c>
      <c r="R245" s="7" t="s">
        <v>134</v>
      </c>
      <c r="S245" s="7" t="s">
        <v>90</v>
      </c>
      <c r="T245" s="15">
        <f>IF(S245="oui",Parametres!$B$5,"")</f>
        <v>500</v>
      </c>
      <c r="U245" s="7" t="s">
        <v>134</v>
      </c>
      <c r="V245" s="15">
        <f t="shared" si="12"/>
        <v>500</v>
      </c>
      <c r="W245" s="15" t="str">
        <f t="shared" si="13"/>
        <v/>
      </c>
      <c r="X245" s="6" t="s">
        <v>90</v>
      </c>
      <c r="Y245" s="7" t="s">
        <v>133</v>
      </c>
      <c r="Z245" s="10"/>
      <c r="AA245" s="6" t="s">
        <v>93</v>
      </c>
      <c r="AB245" s="7" t="s">
        <v>160</v>
      </c>
      <c r="AC245" s="10"/>
      <c r="AD245" s="9" t="str">
        <f t="shared" si="14"/>
        <v>oui</v>
      </c>
      <c r="AE245" s="9" t="str">
        <f t="shared" si="15"/>
        <v>TAE manquant</v>
      </c>
      <c r="AF245" s="7"/>
      <c r="AG245" s="10"/>
      <c r="AH245" s="10"/>
      <c r="AI245" s="7" t="s">
        <v>160</v>
      </c>
      <c r="AJ245" s="10"/>
      <c r="AK245" s="10"/>
      <c r="AL245" s="10"/>
      <c r="AM245" s="11" t="s">
        <v>131</v>
      </c>
      <c r="AN245" s="11" t="s">
        <v>131</v>
      </c>
      <c r="AO245" s="11" t="s">
        <v>131</v>
      </c>
      <c r="AP245" s="11" t="s">
        <v>131</v>
      </c>
      <c r="AQ245" s="11"/>
      <c r="AR245" s="7"/>
    </row>
    <row r="246" spans="1:44" ht="14.4" x14ac:dyDescent="0.3">
      <c r="A246" s="6" t="s">
        <v>202</v>
      </c>
      <c r="B246" s="6" t="s">
        <v>1288</v>
      </c>
      <c r="C246" s="6" t="s">
        <v>1445</v>
      </c>
      <c r="D246" s="6" t="s">
        <v>1290</v>
      </c>
      <c r="E246" s="6" t="s">
        <v>1446</v>
      </c>
      <c r="F246" s="7" t="s">
        <v>125</v>
      </c>
      <c r="G246" s="10"/>
      <c r="H246" s="7" t="s">
        <v>93</v>
      </c>
      <c r="I246" s="7"/>
      <c r="J246" s="10"/>
      <c r="K246" s="6" t="s">
        <v>90</v>
      </c>
      <c r="L246" s="7"/>
      <c r="M246" s="14"/>
      <c r="N246" s="7" t="s">
        <v>93</v>
      </c>
      <c r="O246" s="10"/>
      <c r="P246" s="7" t="s">
        <v>90</v>
      </c>
      <c r="Q246" s="15">
        <f>IF(P246="oui",MIN(Parametres!$B$4,MAX(Parametres!$B$3,IF(M246="",Parametres!$B$3,ROUND(M246*10%,0)))),"")</f>
        <v>0</v>
      </c>
      <c r="R246" s="7" t="s">
        <v>134</v>
      </c>
      <c r="S246" s="7" t="s">
        <v>90</v>
      </c>
      <c r="T246" s="15">
        <f>IF(S246="oui",Parametres!$B$5,"")</f>
        <v>500</v>
      </c>
      <c r="U246" s="7" t="s">
        <v>134</v>
      </c>
      <c r="V246" s="15">
        <f t="shared" si="12"/>
        <v>500</v>
      </c>
      <c r="W246" s="15" t="str">
        <f t="shared" si="13"/>
        <v/>
      </c>
      <c r="X246" s="6" t="s">
        <v>90</v>
      </c>
      <c r="Y246" s="7" t="s">
        <v>133</v>
      </c>
      <c r="Z246" s="10"/>
      <c r="AA246" s="6" t="s">
        <v>93</v>
      </c>
      <c r="AB246" s="7" t="s">
        <v>160</v>
      </c>
      <c r="AC246" s="10"/>
      <c r="AD246" s="9" t="str">
        <f t="shared" si="14"/>
        <v>oui</v>
      </c>
      <c r="AE246" s="9" t="str">
        <f t="shared" si="15"/>
        <v>TAE manquant</v>
      </c>
      <c r="AF246" s="7"/>
      <c r="AG246" s="10"/>
      <c r="AH246" s="10"/>
      <c r="AI246" s="7" t="s">
        <v>160</v>
      </c>
      <c r="AJ246" s="10"/>
      <c r="AK246" s="10"/>
      <c r="AL246" s="10"/>
      <c r="AM246" s="11" t="s">
        <v>131</v>
      </c>
      <c r="AN246" s="11" t="s">
        <v>131</v>
      </c>
      <c r="AO246" s="11" t="s">
        <v>131</v>
      </c>
      <c r="AP246" s="11" t="s">
        <v>131</v>
      </c>
      <c r="AQ246" s="11"/>
      <c r="AR246" s="7"/>
    </row>
    <row r="247" spans="1:44" ht="14.4" x14ac:dyDescent="0.3">
      <c r="A247" s="6" t="s">
        <v>202</v>
      </c>
      <c r="B247" s="6" t="s">
        <v>1288</v>
      </c>
      <c r="C247" s="6" t="s">
        <v>1450</v>
      </c>
      <c r="D247" s="6" t="s">
        <v>1290</v>
      </c>
      <c r="E247" s="6" t="s">
        <v>1451</v>
      </c>
      <c r="F247" s="7" t="s">
        <v>125</v>
      </c>
      <c r="G247" s="10"/>
      <c r="H247" s="7" t="s">
        <v>93</v>
      </c>
      <c r="I247" s="7"/>
      <c r="J247" s="10"/>
      <c r="K247" s="6" t="s">
        <v>90</v>
      </c>
      <c r="L247" s="7"/>
      <c r="M247" s="14"/>
      <c r="N247" s="7" t="s">
        <v>93</v>
      </c>
      <c r="O247" s="10"/>
      <c r="P247" s="7" t="s">
        <v>90</v>
      </c>
      <c r="Q247" s="15">
        <f>IF(P247="oui",MIN(Parametres!$B$4,MAX(Parametres!$B$3,IF(M247="",Parametres!$B$3,ROUND(M247*10%,0)))),"")</f>
        <v>0</v>
      </c>
      <c r="R247" s="7" t="s">
        <v>134</v>
      </c>
      <c r="S247" s="7" t="s">
        <v>90</v>
      </c>
      <c r="T247" s="15">
        <f>IF(S247="oui",Parametres!$B$5,"")</f>
        <v>500</v>
      </c>
      <c r="U247" s="7" t="s">
        <v>134</v>
      </c>
      <c r="V247" s="15">
        <f t="shared" si="12"/>
        <v>500</v>
      </c>
      <c r="W247" s="15" t="str">
        <f t="shared" si="13"/>
        <v/>
      </c>
      <c r="X247" s="6" t="s">
        <v>90</v>
      </c>
      <c r="Y247" s="7" t="s">
        <v>133</v>
      </c>
      <c r="Z247" s="10"/>
      <c r="AA247" s="6" t="s">
        <v>93</v>
      </c>
      <c r="AB247" s="7" t="s">
        <v>160</v>
      </c>
      <c r="AC247" s="10"/>
      <c r="AD247" s="9" t="str">
        <f t="shared" si="14"/>
        <v>oui</v>
      </c>
      <c r="AE247" s="9" t="str">
        <f t="shared" si="15"/>
        <v>TAE manquant</v>
      </c>
      <c r="AF247" s="7"/>
      <c r="AG247" s="10"/>
      <c r="AH247" s="10"/>
      <c r="AI247" s="7" t="s">
        <v>160</v>
      </c>
      <c r="AJ247" s="10"/>
      <c r="AK247" s="10"/>
      <c r="AL247" s="10"/>
      <c r="AM247" s="11" t="s">
        <v>131</v>
      </c>
      <c r="AN247" s="11" t="s">
        <v>131</v>
      </c>
      <c r="AO247" s="11" t="s">
        <v>131</v>
      </c>
      <c r="AP247" s="11" t="s">
        <v>131</v>
      </c>
      <c r="AQ247" s="11"/>
      <c r="AR247" s="7"/>
    </row>
    <row r="248" spans="1:44" ht="14.4" x14ac:dyDescent="0.3">
      <c r="A248" s="6" t="s">
        <v>202</v>
      </c>
      <c r="B248" s="6" t="s">
        <v>1288</v>
      </c>
      <c r="C248" s="6" t="s">
        <v>1454</v>
      </c>
      <c r="D248" s="6" t="s">
        <v>1290</v>
      </c>
      <c r="E248" s="6" t="s">
        <v>1455</v>
      </c>
      <c r="F248" s="7" t="s">
        <v>125</v>
      </c>
      <c r="G248" s="10"/>
      <c r="H248" s="7" t="s">
        <v>93</v>
      </c>
      <c r="I248" s="7"/>
      <c r="J248" s="10"/>
      <c r="K248" s="6" t="s">
        <v>90</v>
      </c>
      <c r="L248" s="7"/>
      <c r="M248" s="14"/>
      <c r="N248" s="7" t="s">
        <v>93</v>
      </c>
      <c r="O248" s="10"/>
      <c r="P248" s="7" t="s">
        <v>90</v>
      </c>
      <c r="Q248" s="15">
        <f>IF(P248="oui",MIN(Parametres!$B$4,MAX(Parametres!$B$3,IF(M248="",Parametres!$B$3,ROUND(M248*10%,0)))),"")</f>
        <v>0</v>
      </c>
      <c r="R248" s="7" t="s">
        <v>134</v>
      </c>
      <c r="S248" s="7" t="s">
        <v>90</v>
      </c>
      <c r="T248" s="15">
        <f>IF(S248="oui",Parametres!$B$5,"")</f>
        <v>500</v>
      </c>
      <c r="U248" s="7" t="s">
        <v>134</v>
      </c>
      <c r="V248" s="15">
        <f t="shared" si="12"/>
        <v>500</v>
      </c>
      <c r="W248" s="15" t="str">
        <f t="shared" si="13"/>
        <v/>
      </c>
      <c r="X248" s="6" t="s">
        <v>90</v>
      </c>
      <c r="Y248" s="7" t="s">
        <v>133</v>
      </c>
      <c r="Z248" s="10"/>
      <c r="AA248" s="6" t="s">
        <v>93</v>
      </c>
      <c r="AB248" s="7" t="s">
        <v>160</v>
      </c>
      <c r="AC248" s="10"/>
      <c r="AD248" s="9" t="str">
        <f t="shared" si="14"/>
        <v>oui</v>
      </c>
      <c r="AE248" s="9" t="str">
        <f t="shared" si="15"/>
        <v>TAE manquant</v>
      </c>
      <c r="AF248" s="7"/>
      <c r="AG248" s="10"/>
      <c r="AH248" s="10"/>
      <c r="AI248" s="7" t="s">
        <v>160</v>
      </c>
      <c r="AJ248" s="10"/>
      <c r="AK248" s="10"/>
      <c r="AL248" s="10"/>
      <c r="AM248" s="11" t="s">
        <v>131</v>
      </c>
      <c r="AN248" s="11" t="s">
        <v>131</v>
      </c>
      <c r="AO248" s="11" t="s">
        <v>131</v>
      </c>
      <c r="AP248" s="11" t="s">
        <v>131</v>
      </c>
      <c r="AQ248" s="11"/>
      <c r="AR248" s="7"/>
    </row>
    <row r="249" spans="1:44" ht="14.4" x14ac:dyDescent="0.3">
      <c r="A249" s="6" t="s">
        <v>202</v>
      </c>
      <c r="B249" s="6" t="s">
        <v>1288</v>
      </c>
      <c r="C249" s="6" t="s">
        <v>1459</v>
      </c>
      <c r="D249" s="6" t="s">
        <v>1290</v>
      </c>
      <c r="E249" s="6" t="s">
        <v>1460</v>
      </c>
      <c r="F249" s="7" t="s">
        <v>125</v>
      </c>
      <c r="G249" s="10"/>
      <c r="H249" s="7" t="s">
        <v>93</v>
      </c>
      <c r="I249" s="7"/>
      <c r="J249" s="10"/>
      <c r="K249" s="6" t="s">
        <v>90</v>
      </c>
      <c r="L249" s="7"/>
      <c r="M249" s="14"/>
      <c r="N249" s="7" t="s">
        <v>93</v>
      </c>
      <c r="O249" s="10"/>
      <c r="P249" s="7" t="s">
        <v>90</v>
      </c>
      <c r="Q249" s="15">
        <f>IF(P249="oui",MIN(Parametres!$B$4,MAX(Parametres!$B$3,IF(M249="",Parametres!$B$3,ROUND(M249*10%,0)))),"")</f>
        <v>0</v>
      </c>
      <c r="R249" s="7" t="s">
        <v>134</v>
      </c>
      <c r="S249" s="7" t="s">
        <v>90</v>
      </c>
      <c r="T249" s="15">
        <f>IF(S249="oui",Parametres!$B$5,"")</f>
        <v>500</v>
      </c>
      <c r="U249" s="7" t="s">
        <v>134</v>
      </c>
      <c r="V249" s="15">
        <f t="shared" si="12"/>
        <v>500</v>
      </c>
      <c r="W249" s="15" t="str">
        <f t="shared" si="13"/>
        <v/>
      </c>
      <c r="X249" s="6" t="s">
        <v>90</v>
      </c>
      <c r="Y249" s="7" t="s">
        <v>133</v>
      </c>
      <c r="Z249" s="10"/>
      <c r="AA249" s="6" t="s">
        <v>93</v>
      </c>
      <c r="AB249" s="7" t="s">
        <v>160</v>
      </c>
      <c r="AC249" s="10"/>
      <c r="AD249" s="9" t="str">
        <f t="shared" si="14"/>
        <v>oui</v>
      </c>
      <c r="AE249" s="9" t="str">
        <f t="shared" si="15"/>
        <v>TAE manquant</v>
      </c>
      <c r="AF249" s="7"/>
      <c r="AG249" s="10"/>
      <c r="AH249" s="10"/>
      <c r="AI249" s="7" t="s">
        <v>160</v>
      </c>
      <c r="AJ249" s="10"/>
      <c r="AK249" s="10"/>
      <c r="AL249" s="10"/>
      <c r="AM249" s="11" t="s">
        <v>131</v>
      </c>
      <c r="AN249" s="11" t="s">
        <v>131</v>
      </c>
      <c r="AO249" s="11" t="s">
        <v>131</v>
      </c>
      <c r="AP249" s="11" t="s">
        <v>131</v>
      </c>
      <c r="AQ249" s="11"/>
      <c r="AR249" s="7"/>
    </row>
    <row r="250" spans="1:44" ht="14.4" x14ac:dyDescent="0.3">
      <c r="A250" s="6" t="s">
        <v>202</v>
      </c>
      <c r="B250" s="6" t="s">
        <v>1288</v>
      </c>
      <c r="C250" s="6" t="s">
        <v>1464</v>
      </c>
      <c r="D250" s="6" t="s">
        <v>1290</v>
      </c>
      <c r="E250" s="6" t="s">
        <v>1465</v>
      </c>
      <c r="F250" s="7" t="s">
        <v>125</v>
      </c>
      <c r="G250" s="10"/>
      <c r="H250" s="7" t="s">
        <v>93</v>
      </c>
      <c r="I250" s="7"/>
      <c r="J250" s="10"/>
      <c r="K250" s="6" t="s">
        <v>90</v>
      </c>
      <c r="L250" s="7"/>
      <c r="M250" s="14"/>
      <c r="N250" s="7" t="s">
        <v>93</v>
      </c>
      <c r="O250" s="10"/>
      <c r="P250" s="7" t="s">
        <v>90</v>
      </c>
      <c r="Q250" s="15">
        <f>IF(P250="oui",MIN(Parametres!$B$4,MAX(Parametres!$B$3,IF(M250="",Parametres!$B$3,ROUND(M250*10%,0)))),"")</f>
        <v>0</v>
      </c>
      <c r="R250" s="7" t="s">
        <v>134</v>
      </c>
      <c r="S250" s="7" t="s">
        <v>90</v>
      </c>
      <c r="T250" s="15">
        <f>IF(S250="oui",Parametres!$B$5,"")</f>
        <v>500</v>
      </c>
      <c r="U250" s="7" t="s">
        <v>134</v>
      </c>
      <c r="V250" s="15">
        <f t="shared" si="12"/>
        <v>500</v>
      </c>
      <c r="W250" s="15" t="str">
        <f t="shared" si="13"/>
        <v/>
      </c>
      <c r="X250" s="6" t="s">
        <v>90</v>
      </c>
      <c r="Y250" s="7" t="s">
        <v>133</v>
      </c>
      <c r="Z250" s="10"/>
      <c r="AA250" s="6" t="s">
        <v>93</v>
      </c>
      <c r="AB250" s="7" t="s">
        <v>160</v>
      </c>
      <c r="AC250" s="10"/>
      <c r="AD250" s="9" t="str">
        <f t="shared" si="14"/>
        <v>oui</v>
      </c>
      <c r="AE250" s="9" t="str">
        <f t="shared" si="15"/>
        <v>TAE manquant</v>
      </c>
      <c r="AF250" s="7"/>
      <c r="AG250" s="10"/>
      <c r="AH250" s="10"/>
      <c r="AI250" s="7" t="s">
        <v>160</v>
      </c>
      <c r="AJ250" s="10"/>
      <c r="AK250" s="10"/>
      <c r="AL250" s="10"/>
      <c r="AM250" s="11" t="s">
        <v>131</v>
      </c>
      <c r="AN250" s="11" t="s">
        <v>131</v>
      </c>
      <c r="AO250" s="11" t="s">
        <v>131</v>
      </c>
      <c r="AP250" s="11" t="s">
        <v>131</v>
      </c>
      <c r="AQ250" s="11"/>
      <c r="AR250" s="7"/>
    </row>
    <row r="251" spans="1:44" ht="14.4" x14ac:dyDescent="0.3">
      <c r="A251" s="6" t="s">
        <v>202</v>
      </c>
      <c r="B251" s="6" t="s">
        <v>1288</v>
      </c>
      <c r="C251" s="6" t="s">
        <v>1469</v>
      </c>
      <c r="D251" s="6" t="s">
        <v>1290</v>
      </c>
      <c r="E251" s="6" t="s">
        <v>1470</v>
      </c>
      <c r="F251" s="7" t="s">
        <v>125</v>
      </c>
      <c r="G251" s="10"/>
      <c r="H251" s="7" t="s">
        <v>93</v>
      </c>
      <c r="I251" s="7"/>
      <c r="J251" s="10"/>
      <c r="K251" s="6" t="s">
        <v>90</v>
      </c>
      <c r="L251" s="7"/>
      <c r="M251" s="14"/>
      <c r="N251" s="7" t="s">
        <v>93</v>
      </c>
      <c r="O251" s="10"/>
      <c r="P251" s="7" t="s">
        <v>90</v>
      </c>
      <c r="Q251" s="15">
        <f>IF(P251="oui",MIN(Parametres!$B$4,MAX(Parametres!$B$3,IF(M251="",Parametres!$B$3,ROUND(M251*10%,0)))),"")</f>
        <v>0</v>
      </c>
      <c r="R251" s="7" t="s">
        <v>134</v>
      </c>
      <c r="S251" s="7" t="s">
        <v>90</v>
      </c>
      <c r="T251" s="15">
        <f>IF(S251="oui",Parametres!$B$5,"")</f>
        <v>500</v>
      </c>
      <c r="U251" s="7" t="s">
        <v>134</v>
      </c>
      <c r="V251" s="15">
        <f t="shared" si="12"/>
        <v>500</v>
      </c>
      <c r="W251" s="15" t="str">
        <f t="shared" si="13"/>
        <v/>
      </c>
      <c r="X251" s="6" t="s">
        <v>90</v>
      </c>
      <c r="Y251" s="7" t="s">
        <v>133</v>
      </c>
      <c r="Z251" s="10"/>
      <c r="AA251" s="6" t="s">
        <v>93</v>
      </c>
      <c r="AB251" s="7" t="s">
        <v>160</v>
      </c>
      <c r="AC251" s="10"/>
      <c r="AD251" s="9" t="str">
        <f t="shared" si="14"/>
        <v>oui</v>
      </c>
      <c r="AE251" s="9" t="str">
        <f t="shared" si="15"/>
        <v>TAE manquant</v>
      </c>
      <c r="AF251" s="7"/>
      <c r="AG251" s="10"/>
      <c r="AH251" s="10"/>
      <c r="AI251" s="7" t="s">
        <v>160</v>
      </c>
      <c r="AJ251" s="10"/>
      <c r="AK251" s="10"/>
      <c r="AL251" s="10"/>
      <c r="AM251" s="11" t="s">
        <v>131</v>
      </c>
      <c r="AN251" s="11" t="s">
        <v>131</v>
      </c>
      <c r="AO251" s="11" t="s">
        <v>131</v>
      </c>
      <c r="AP251" s="11" t="s">
        <v>131</v>
      </c>
      <c r="AQ251" s="11"/>
      <c r="AR251" s="7"/>
    </row>
    <row r="252" spans="1:44" ht="14.4" x14ac:dyDescent="0.3">
      <c r="A252" s="6" t="s">
        <v>202</v>
      </c>
      <c r="B252" s="6" t="s">
        <v>1472</v>
      </c>
      <c r="C252" s="6" t="s">
        <v>1473</v>
      </c>
      <c r="D252" s="6" t="s">
        <v>1474</v>
      </c>
      <c r="E252" s="6" t="s">
        <v>1475</v>
      </c>
      <c r="F252" s="7" t="s">
        <v>125</v>
      </c>
      <c r="G252" s="10"/>
      <c r="H252" s="7" t="s">
        <v>93</v>
      </c>
      <c r="I252" s="7"/>
      <c r="J252" s="10"/>
      <c r="K252" s="6" t="s">
        <v>90</v>
      </c>
      <c r="L252" s="7"/>
      <c r="M252" s="14"/>
      <c r="N252" s="7" t="s">
        <v>93</v>
      </c>
      <c r="O252" s="10"/>
      <c r="P252" s="7" t="s">
        <v>90</v>
      </c>
      <c r="Q252" s="15">
        <f>IF(P252="oui",MIN(Parametres!$B$4,MAX(Parametres!$B$3,IF(M252="",Parametres!$B$3,ROUND(M252*10%,0)))),"")</f>
        <v>0</v>
      </c>
      <c r="R252" s="7" t="s">
        <v>134</v>
      </c>
      <c r="S252" s="7" t="s">
        <v>90</v>
      </c>
      <c r="T252" s="15">
        <f>IF(S252="oui",Parametres!$B$5,"")</f>
        <v>500</v>
      </c>
      <c r="U252" s="7" t="s">
        <v>134</v>
      </c>
      <c r="V252" s="15">
        <f t="shared" si="12"/>
        <v>500</v>
      </c>
      <c r="W252" s="15" t="str">
        <f t="shared" si="13"/>
        <v/>
      </c>
      <c r="X252" s="6" t="s">
        <v>90</v>
      </c>
      <c r="Y252" s="7" t="s">
        <v>133</v>
      </c>
      <c r="Z252" s="10"/>
      <c r="AA252" s="6" t="s">
        <v>93</v>
      </c>
      <c r="AB252" s="7" t="s">
        <v>160</v>
      </c>
      <c r="AC252" s="10"/>
      <c r="AD252" s="9" t="str">
        <f t="shared" si="14"/>
        <v>oui</v>
      </c>
      <c r="AE252" s="9" t="str">
        <f t="shared" si="15"/>
        <v>TAE manquant</v>
      </c>
      <c r="AF252" s="7"/>
      <c r="AG252" s="10"/>
      <c r="AH252" s="10"/>
      <c r="AI252" s="7" t="s">
        <v>160</v>
      </c>
      <c r="AJ252" s="10"/>
      <c r="AK252" s="10"/>
      <c r="AL252" s="10"/>
      <c r="AM252" s="11" t="s">
        <v>131</v>
      </c>
      <c r="AN252" s="11" t="s">
        <v>131</v>
      </c>
      <c r="AO252" s="11" t="s">
        <v>131</v>
      </c>
      <c r="AP252" s="11" t="s">
        <v>131</v>
      </c>
      <c r="AQ252" s="11"/>
      <c r="AR252" s="7"/>
    </row>
    <row r="253" spans="1:44" ht="14.4" x14ac:dyDescent="0.3">
      <c r="A253" s="6" t="s">
        <v>202</v>
      </c>
      <c r="B253" s="6" t="s">
        <v>1472</v>
      </c>
      <c r="C253" s="6" t="s">
        <v>1481</v>
      </c>
      <c r="D253" s="6" t="s">
        <v>1474</v>
      </c>
      <c r="E253" s="6" t="s">
        <v>1482</v>
      </c>
      <c r="F253" s="7" t="s">
        <v>125</v>
      </c>
      <c r="G253" s="10"/>
      <c r="H253" s="7" t="s">
        <v>93</v>
      </c>
      <c r="I253" s="7"/>
      <c r="J253" s="10"/>
      <c r="K253" s="6" t="s">
        <v>90</v>
      </c>
      <c r="L253" s="7"/>
      <c r="M253" s="14"/>
      <c r="N253" s="7" t="s">
        <v>93</v>
      </c>
      <c r="O253" s="10"/>
      <c r="P253" s="7" t="s">
        <v>90</v>
      </c>
      <c r="Q253" s="15">
        <f>IF(P253="oui",MIN(Parametres!$B$4,MAX(Parametres!$B$3,IF(M253="",Parametres!$B$3,ROUND(M253*10%,0)))),"")</f>
        <v>0</v>
      </c>
      <c r="R253" s="7" t="s">
        <v>134</v>
      </c>
      <c r="S253" s="7" t="s">
        <v>90</v>
      </c>
      <c r="T253" s="15">
        <f>IF(S253="oui",Parametres!$B$5,"")</f>
        <v>500</v>
      </c>
      <c r="U253" s="7" t="s">
        <v>134</v>
      </c>
      <c r="V253" s="15">
        <f t="shared" si="12"/>
        <v>500</v>
      </c>
      <c r="W253" s="15" t="str">
        <f t="shared" si="13"/>
        <v/>
      </c>
      <c r="X253" s="6" t="s">
        <v>90</v>
      </c>
      <c r="Y253" s="7" t="s">
        <v>133</v>
      </c>
      <c r="Z253" s="10"/>
      <c r="AA253" s="6" t="s">
        <v>93</v>
      </c>
      <c r="AB253" s="7" t="s">
        <v>160</v>
      </c>
      <c r="AC253" s="10"/>
      <c r="AD253" s="9" t="str">
        <f t="shared" si="14"/>
        <v>oui</v>
      </c>
      <c r="AE253" s="9" t="str">
        <f t="shared" si="15"/>
        <v>TAE manquant</v>
      </c>
      <c r="AF253" s="7"/>
      <c r="AG253" s="10"/>
      <c r="AH253" s="10"/>
      <c r="AI253" s="7" t="s">
        <v>160</v>
      </c>
      <c r="AJ253" s="10"/>
      <c r="AK253" s="10"/>
      <c r="AL253" s="10"/>
      <c r="AM253" s="11" t="s">
        <v>131</v>
      </c>
      <c r="AN253" s="11" t="s">
        <v>131</v>
      </c>
      <c r="AO253" s="11" t="s">
        <v>131</v>
      </c>
      <c r="AP253" s="11" t="s">
        <v>131</v>
      </c>
      <c r="AQ253" s="11"/>
      <c r="AR253" s="7"/>
    </row>
    <row r="254" spans="1:44" ht="14.4" x14ac:dyDescent="0.3">
      <c r="A254" s="6" t="s">
        <v>202</v>
      </c>
      <c r="B254" s="6" t="s">
        <v>1472</v>
      </c>
      <c r="C254" s="6" t="s">
        <v>1486</v>
      </c>
      <c r="D254" s="6" t="s">
        <v>1474</v>
      </c>
      <c r="E254" s="6" t="s">
        <v>1487</v>
      </c>
      <c r="F254" s="7" t="s">
        <v>125</v>
      </c>
      <c r="G254" s="10"/>
      <c r="H254" s="7" t="s">
        <v>93</v>
      </c>
      <c r="I254" s="7"/>
      <c r="J254" s="10"/>
      <c r="K254" s="6" t="s">
        <v>90</v>
      </c>
      <c r="L254" s="7"/>
      <c r="M254" s="14"/>
      <c r="N254" s="7" t="s">
        <v>93</v>
      </c>
      <c r="O254" s="10"/>
      <c r="P254" s="7" t="s">
        <v>90</v>
      </c>
      <c r="Q254" s="15">
        <f>IF(P254="oui",MIN(Parametres!$B$4,MAX(Parametres!$B$3,IF(M254="",Parametres!$B$3,ROUND(M254*10%,0)))),"")</f>
        <v>0</v>
      </c>
      <c r="R254" s="7" t="s">
        <v>134</v>
      </c>
      <c r="S254" s="7" t="s">
        <v>90</v>
      </c>
      <c r="T254" s="15">
        <f>IF(S254="oui",Parametres!$B$5,"")</f>
        <v>500</v>
      </c>
      <c r="U254" s="7" t="s">
        <v>134</v>
      </c>
      <c r="V254" s="15">
        <f t="shared" si="12"/>
        <v>500</v>
      </c>
      <c r="W254" s="15" t="str">
        <f t="shared" si="13"/>
        <v/>
      </c>
      <c r="X254" s="6" t="s">
        <v>90</v>
      </c>
      <c r="Y254" s="7" t="s">
        <v>133</v>
      </c>
      <c r="Z254" s="10"/>
      <c r="AA254" s="6" t="s">
        <v>93</v>
      </c>
      <c r="AB254" s="7" t="s">
        <v>160</v>
      </c>
      <c r="AC254" s="10"/>
      <c r="AD254" s="9" t="str">
        <f t="shared" si="14"/>
        <v>oui</v>
      </c>
      <c r="AE254" s="9" t="str">
        <f t="shared" si="15"/>
        <v>TAE manquant</v>
      </c>
      <c r="AF254" s="7"/>
      <c r="AG254" s="10"/>
      <c r="AH254" s="10"/>
      <c r="AI254" s="7" t="s">
        <v>160</v>
      </c>
      <c r="AJ254" s="10"/>
      <c r="AK254" s="10"/>
      <c r="AL254" s="10"/>
      <c r="AM254" s="11" t="s">
        <v>131</v>
      </c>
      <c r="AN254" s="11" t="s">
        <v>131</v>
      </c>
      <c r="AO254" s="11" t="s">
        <v>131</v>
      </c>
      <c r="AP254" s="11" t="s">
        <v>131</v>
      </c>
      <c r="AQ254" s="11"/>
      <c r="AR254" s="7"/>
    </row>
    <row r="255" spans="1:44" ht="14.4" x14ac:dyDescent="0.3">
      <c r="A255" s="6" t="s">
        <v>202</v>
      </c>
      <c r="B255" s="6" t="s">
        <v>1472</v>
      </c>
      <c r="C255" s="6" t="s">
        <v>1490</v>
      </c>
      <c r="D255" s="6" t="s">
        <v>1474</v>
      </c>
      <c r="E255" s="6" t="s">
        <v>1491</v>
      </c>
      <c r="F255" s="7" t="s">
        <v>125</v>
      </c>
      <c r="G255" s="10"/>
      <c r="H255" s="7" t="s">
        <v>93</v>
      </c>
      <c r="I255" s="7"/>
      <c r="J255" s="10"/>
      <c r="K255" s="6" t="s">
        <v>90</v>
      </c>
      <c r="L255" s="7"/>
      <c r="M255" s="14"/>
      <c r="N255" s="7" t="s">
        <v>93</v>
      </c>
      <c r="O255" s="10"/>
      <c r="P255" s="7" t="s">
        <v>90</v>
      </c>
      <c r="Q255" s="15">
        <f>IF(P255="oui",MIN(Parametres!$B$4,MAX(Parametres!$B$3,IF(M255="",Parametres!$B$3,ROUND(M255*10%,0)))),"")</f>
        <v>0</v>
      </c>
      <c r="R255" s="7" t="s">
        <v>134</v>
      </c>
      <c r="S255" s="7" t="s">
        <v>90</v>
      </c>
      <c r="T255" s="15">
        <f>IF(S255="oui",Parametres!$B$5,"")</f>
        <v>500</v>
      </c>
      <c r="U255" s="7" t="s">
        <v>134</v>
      </c>
      <c r="V255" s="15">
        <f t="shared" si="12"/>
        <v>500</v>
      </c>
      <c r="W255" s="15" t="str">
        <f t="shared" si="13"/>
        <v/>
      </c>
      <c r="X255" s="6" t="s">
        <v>90</v>
      </c>
      <c r="Y255" s="7" t="s">
        <v>133</v>
      </c>
      <c r="Z255" s="10"/>
      <c r="AA255" s="6" t="s">
        <v>93</v>
      </c>
      <c r="AB255" s="7" t="s">
        <v>160</v>
      </c>
      <c r="AC255" s="10"/>
      <c r="AD255" s="9" t="str">
        <f t="shared" si="14"/>
        <v>oui</v>
      </c>
      <c r="AE255" s="9" t="str">
        <f t="shared" si="15"/>
        <v>TAE manquant</v>
      </c>
      <c r="AF255" s="7"/>
      <c r="AG255" s="10"/>
      <c r="AH255" s="10"/>
      <c r="AI255" s="7" t="s">
        <v>160</v>
      </c>
      <c r="AJ255" s="10"/>
      <c r="AK255" s="10"/>
      <c r="AL255" s="10"/>
      <c r="AM255" s="11" t="s">
        <v>131</v>
      </c>
      <c r="AN255" s="11" t="s">
        <v>131</v>
      </c>
      <c r="AO255" s="11" t="s">
        <v>131</v>
      </c>
      <c r="AP255" s="11" t="s">
        <v>131</v>
      </c>
      <c r="AQ255" s="11"/>
      <c r="AR255" s="7"/>
    </row>
    <row r="256" spans="1:44" ht="14.4" x14ac:dyDescent="0.3">
      <c r="A256" s="6" t="s">
        <v>202</v>
      </c>
      <c r="B256" s="6" t="s">
        <v>1472</v>
      </c>
      <c r="C256" s="6" t="s">
        <v>1494</v>
      </c>
      <c r="D256" s="6" t="s">
        <v>1474</v>
      </c>
      <c r="E256" s="6" t="s">
        <v>1495</v>
      </c>
      <c r="F256" s="7" t="s">
        <v>125</v>
      </c>
      <c r="G256" s="10"/>
      <c r="H256" s="7" t="s">
        <v>93</v>
      </c>
      <c r="I256" s="7"/>
      <c r="J256" s="10"/>
      <c r="K256" s="6" t="s">
        <v>90</v>
      </c>
      <c r="L256" s="7"/>
      <c r="M256" s="14"/>
      <c r="N256" s="7" t="s">
        <v>93</v>
      </c>
      <c r="O256" s="10"/>
      <c r="P256" s="7" t="s">
        <v>90</v>
      </c>
      <c r="Q256" s="15">
        <f>IF(P256="oui",MIN(Parametres!$B$4,MAX(Parametres!$B$3,IF(M256="",Parametres!$B$3,ROUND(M256*10%,0)))),"")</f>
        <v>0</v>
      </c>
      <c r="R256" s="7" t="s">
        <v>134</v>
      </c>
      <c r="S256" s="7" t="s">
        <v>90</v>
      </c>
      <c r="T256" s="15">
        <f>IF(S256="oui",Parametres!$B$5,"")</f>
        <v>500</v>
      </c>
      <c r="U256" s="7" t="s">
        <v>134</v>
      </c>
      <c r="V256" s="15">
        <f t="shared" si="12"/>
        <v>500</v>
      </c>
      <c r="W256" s="15" t="str">
        <f t="shared" si="13"/>
        <v/>
      </c>
      <c r="X256" s="6" t="s">
        <v>90</v>
      </c>
      <c r="Y256" s="7" t="s">
        <v>133</v>
      </c>
      <c r="Z256" s="10"/>
      <c r="AA256" s="6" t="s">
        <v>93</v>
      </c>
      <c r="AB256" s="7" t="s">
        <v>160</v>
      </c>
      <c r="AC256" s="10"/>
      <c r="AD256" s="9" t="str">
        <f t="shared" si="14"/>
        <v>oui</v>
      </c>
      <c r="AE256" s="9" t="str">
        <f t="shared" si="15"/>
        <v>TAE manquant</v>
      </c>
      <c r="AF256" s="7"/>
      <c r="AG256" s="10"/>
      <c r="AH256" s="10"/>
      <c r="AI256" s="7" t="s">
        <v>160</v>
      </c>
      <c r="AJ256" s="10"/>
      <c r="AK256" s="10"/>
      <c r="AL256" s="10"/>
      <c r="AM256" s="11" t="s">
        <v>131</v>
      </c>
      <c r="AN256" s="11" t="s">
        <v>131</v>
      </c>
      <c r="AO256" s="11" t="s">
        <v>131</v>
      </c>
      <c r="AP256" s="11" t="s">
        <v>131</v>
      </c>
      <c r="AQ256" s="11"/>
      <c r="AR256" s="7"/>
    </row>
    <row r="257" spans="1:44" ht="14.4" x14ac:dyDescent="0.3">
      <c r="A257" s="6" t="s">
        <v>202</v>
      </c>
      <c r="B257" s="6" t="s">
        <v>1472</v>
      </c>
      <c r="C257" s="6" t="s">
        <v>1497</v>
      </c>
      <c r="D257" s="6" t="s">
        <v>1474</v>
      </c>
      <c r="E257" s="6" t="s">
        <v>1498</v>
      </c>
      <c r="F257" s="7" t="s">
        <v>125</v>
      </c>
      <c r="G257" s="10"/>
      <c r="H257" s="7" t="s">
        <v>93</v>
      </c>
      <c r="I257" s="7"/>
      <c r="J257" s="10"/>
      <c r="K257" s="6" t="s">
        <v>90</v>
      </c>
      <c r="L257" s="7"/>
      <c r="M257" s="14"/>
      <c r="N257" s="7" t="s">
        <v>93</v>
      </c>
      <c r="O257" s="10"/>
      <c r="P257" s="7" t="s">
        <v>90</v>
      </c>
      <c r="Q257" s="15">
        <f>IF(P257="oui",MIN(Parametres!$B$4,MAX(Parametres!$B$3,IF(M257="",Parametres!$B$3,ROUND(M257*10%,0)))),"")</f>
        <v>0</v>
      </c>
      <c r="R257" s="7" t="s">
        <v>134</v>
      </c>
      <c r="S257" s="7" t="s">
        <v>90</v>
      </c>
      <c r="T257" s="15">
        <f>IF(S257="oui",Parametres!$B$5,"")</f>
        <v>500</v>
      </c>
      <c r="U257" s="7" t="s">
        <v>134</v>
      </c>
      <c r="V257" s="15">
        <f t="shared" si="12"/>
        <v>500</v>
      </c>
      <c r="W257" s="15" t="str">
        <f t="shared" si="13"/>
        <v/>
      </c>
      <c r="X257" s="6" t="s">
        <v>90</v>
      </c>
      <c r="Y257" s="7" t="s">
        <v>133</v>
      </c>
      <c r="Z257" s="10"/>
      <c r="AA257" s="6" t="s">
        <v>93</v>
      </c>
      <c r="AB257" s="7" t="s">
        <v>160</v>
      </c>
      <c r="AC257" s="10"/>
      <c r="AD257" s="9" t="str">
        <f t="shared" si="14"/>
        <v>oui</v>
      </c>
      <c r="AE257" s="9" t="str">
        <f t="shared" si="15"/>
        <v>TAE manquant</v>
      </c>
      <c r="AF257" s="7"/>
      <c r="AG257" s="10"/>
      <c r="AH257" s="10"/>
      <c r="AI257" s="7" t="s">
        <v>160</v>
      </c>
      <c r="AJ257" s="10"/>
      <c r="AK257" s="10"/>
      <c r="AL257" s="10"/>
      <c r="AM257" s="11" t="s">
        <v>131</v>
      </c>
      <c r="AN257" s="11" t="s">
        <v>131</v>
      </c>
      <c r="AO257" s="11" t="s">
        <v>131</v>
      </c>
      <c r="AP257" s="11" t="s">
        <v>131</v>
      </c>
      <c r="AQ257" s="11"/>
      <c r="AR257" s="7"/>
    </row>
    <row r="258" spans="1:44" ht="14.4" x14ac:dyDescent="0.3">
      <c r="A258" s="6" t="s">
        <v>202</v>
      </c>
      <c r="B258" s="6" t="s">
        <v>1472</v>
      </c>
      <c r="C258" s="6" t="s">
        <v>1502</v>
      </c>
      <c r="D258" s="6" t="s">
        <v>1474</v>
      </c>
      <c r="E258" s="6" t="s">
        <v>1503</v>
      </c>
      <c r="F258" s="7" t="s">
        <v>125</v>
      </c>
      <c r="G258" s="10"/>
      <c r="H258" s="7" t="s">
        <v>93</v>
      </c>
      <c r="I258" s="7"/>
      <c r="J258" s="10"/>
      <c r="K258" s="6" t="s">
        <v>90</v>
      </c>
      <c r="L258" s="7"/>
      <c r="M258" s="14"/>
      <c r="N258" s="7" t="s">
        <v>93</v>
      </c>
      <c r="O258" s="10"/>
      <c r="P258" s="7" t="s">
        <v>90</v>
      </c>
      <c r="Q258" s="15">
        <f>IF(P258="oui",MIN(Parametres!$B$4,MAX(Parametres!$B$3,IF(M258="",Parametres!$B$3,ROUND(M258*10%,0)))),"")</f>
        <v>0</v>
      </c>
      <c r="R258" s="7" t="s">
        <v>134</v>
      </c>
      <c r="S258" s="7" t="s">
        <v>90</v>
      </c>
      <c r="T258" s="15">
        <f>IF(S258="oui",Parametres!$B$5,"")</f>
        <v>500</v>
      </c>
      <c r="U258" s="7" t="s">
        <v>134</v>
      </c>
      <c r="V258" s="15">
        <f t="shared" ref="V258:V321" si="16">SUM(Q258,T258)</f>
        <v>500</v>
      </c>
      <c r="W258" s="15" t="str">
        <f t="shared" ref="W258:W321" si="17">IF(M258="","",M258-V258)</f>
        <v/>
      </c>
      <c r="X258" s="6" t="s">
        <v>90</v>
      </c>
      <c r="Y258" s="7" t="s">
        <v>133</v>
      </c>
      <c r="Z258" s="10"/>
      <c r="AA258" s="6" t="s">
        <v>93</v>
      </c>
      <c r="AB258" s="7" t="s">
        <v>160</v>
      </c>
      <c r="AC258" s="10"/>
      <c r="AD258" s="9" t="str">
        <f t="shared" ref="AD258:AD321" si="18">IF(K258&lt;&gt;"oui","oui",IF(OR(AND(X258="oui",Y258&lt;&gt;"fait"),AND(AA258="oui",AB258&lt;&gt;"fait"),AND(P258="oui",R258&lt;&gt;"valide"),AND(S258="oui",U258&lt;&gt;"valide"),N258&lt;&gt;"oui"),"oui","non"))</f>
        <v>oui</v>
      </c>
      <c r="AE258" s="9" t="str">
        <f t="shared" ref="AE258:AE321" si="19">IF(K258&lt;&gt;"oui","Résidence ou logement non vendable",IF(AND(X258="oui",Y258&lt;&gt;"fait"),"TAE manquant",IF(AND(AA258="oui",AB258&lt;&gt;"fait"),"SPANC manquant",IF(AND(P258="oui",R258&lt;&gt;"valide"),"Chèque primo non validé",IF(AND(S258="oui",U258&lt;&gt;"valide"),"Chèque CINOR non validé",IF(N258&lt;&gt;"oui","Prix non confirmé",""))))))</f>
        <v>TAE manquant</v>
      </c>
      <c r="AF258" s="7"/>
      <c r="AG258" s="10"/>
      <c r="AH258" s="10"/>
      <c r="AI258" s="7" t="s">
        <v>160</v>
      </c>
      <c r="AJ258" s="10"/>
      <c r="AK258" s="10"/>
      <c r="AL258" s="10"/>
      <c r="AM258" s="11" t="s">
        <v>131</v>
      </c>
      <c r="AN258" s="11" t="s">
        <v>131</v>
      </c>
      <c r="AO258" s="11" t="s">
        <v>131</v>
      </c>
      <c r="AP258" s="11" t="s">
        <v>131</v>
      </c>
      <c r="AQ258" s="11"/>
      <c r="AR258" s="7"/>
    </row>
    <row r="259" spans="1:44" ht="14.4" x14ac:dyDescent="0.3">
      <c r="A259" s="6" t="s">
        <v>202</v>
      </c>
      <c r="B259" s="6" t="s">
        <v>1472</v>
      </c>
      <c r="C259" s="6" t="s">
        <v>1507</v>
      </c>
      <c r="D259" s="6" t="s">
        <v>1474</v>
      </c>
      <c r="E259" s="6" t="s">
        <v>1508</v>
      </c>
      <c r="F259" s="7" t="s">
        <v>125</v>
      </c>
      <c r="G259" s="10"/>
      <c r="H259" s="7" t="s">
        <v>93</v>
      </c>
      <c r="I259" s="7"/>
      <c r="J259" s="10"/>
      <c r="K259" s="6" t="s">
        <v>90</v>
      </c>
      <c r="L259" s="7"/>
      <c r="M259" s="14"/>
      <c r="N259" s="7" t="s">
        <v>93</v>
      </c>
      <c r="O259" s="10"/>
      <c r="P259" s="7" t="s">
        <v>90</v>
      </c>
      <c r="Q259" s="15">
        <f>IF(P259="oui",MIN(Parametres!$B$4,MAX(Parametres!$B$3,IF(M259="",Parametres!$B$3,ROUND(M259*10%,0)))),"")</f>
        <v>0</v>
      </c>
      <c r="R259" s="7" t="s">
        <v>134</v>
      </c>
      <c r="S259" s="7" t="s">
        <v>90</v>
      </c>
      <c r="T259" s="15">
        <f>IF(S259="oui",Parametres!$B$5,"")</f>
        <v>500</v>
      </c>
      <c r="U259" s="7" t="s">
        <v>134</v>
      </c>
      <c r="V259" s="15">
        <f t="shared" si="16"/>
        <v>500</v>
      </c>
      <c r="W259" s="15" t="str">
        <f t="shared" si="17"/>
        <v/>
      </c>
      <c r="X259" s="6" t="s">
        <v>90</v>
      </c>
      <c r="Y259" s="7" t="s">
        <v>133</v>
      </c>
      <c r="Z259" s="10"/>
      <c r="AA259" s="6" t="s">
        <v>93</v>
      </c>
      <c r="AB259" s="7" t="s">
        <v>160</v>
      </c>
      <c r="AC259" s="10"/>
      <c r="AD259" s="9" t="str">
        <f t="shared" si="18"/>
        <v>oui</v>
      </c>
      <c r="AE259" s="9" t="str">
        <f t="shared" si="19"/>
        <v>TAE manquant</v>
      </c>
      <c r="AF259" s="7"/>
      <c r="AG259" s="10"/>
      <c r="AH259" s="10"/>
      <c r="AI259" s="7" t="s">
        <v>160</v>
      </c>
      <c r="AJ259" s="10"/>
      <c r="AK259" s="10"/>
      <c r="AL259" s="10"/>
      <c r="AM259" s="11" t="s">
        <v>131</v>
      </c>
      <c r="AN259" s="11" t="s">
        <v>131</v>
      </c>
      <c r="AO259" s="11" t="s">
        <v>131</v>
      </c>
      <c r="AP259" s="11" t="s">
        <v>131</v>
      </c>
      <c r="AQ259" s="11"/>
      <c r="AR259" s="7"/>
    </row>
    <row r="260" spans="1:44" ht="14.4" x14ac:dyDescent="0.3">
      <c r="A260" s="6" t="s">
        <v>202</v>
      </c>
      <c r="B260" s="6" t="s">
        <v>1472</v>
      </c>
      <c r="C260" s="6" t="s">
        <v>1512</v>
      </c>
      <c r="D260" s="6" t="s">
        <v>1474</v>
      </c>
      <c r="E260" s="6" t="s">
        <v>1513</v>
      </c>
      <c r="F260" s="7" t="s">
        <v>125</v>
      </c>
      <c r="G260" s="10"/>
      <c r="H260" s="7" t="s">
        <v>93</v>
      </c>
      <c r="I260" s="7"/>
      <c r="J260" s="10"/>
      <c r="K260" s="6" t="s">
        <v>90</v>
      </c>
      <c r="L260" s="7"/>
      <c r="M260" s="14"/>
      <c r="N260" s="7" t="s">
        <v>93</v>
      </c>
      <c r="O260" s="10"/>
      <c r="P260" s="7" t="s">
        <v>90</v>
      </c>
      <c r="Q260" s="15">
        <f>IF(P260="oui",MIN(Parametres!$B$4,MAX(Parametres!$B$3,IF(M260="",Parametres!$B$3,ROUND(M260*10%,0)))),"")</f>
        <v>0</v>
      </c>
      <c r="R260" s="7" t="s">
        <v>134</v>
      </c>
      <c r="S260" s="7" t="s">
        <v>90</v>
      </c>
      <c r="T260" s="15">
        <f>IF(S260="oui",Parametres!$B$5,"")</f>
        <v>500</v>
      </c>
      <c r="U260" s="7" t="s">
        <v>134</v>
      </c>
      <c r="V260" s="15">
        <f t="shared" si="16"/>
        <v>500</v>
      </c>
      <c r="W260" s="15" t="str">
        <f t="shared" si="17"/>
        <v/>
      </c>
      <c r="X260" s="6" t="s">
        <v>90</v>
      </c>
      <c r="Y260" s="7" t="s">
        <v>133</v>
      </c>
      <c r="Z260" s="10"/>
      <c r="AA260" s="6" t="s">
        <v>93</v>
      </c>
      <c r="AB260" s="7" t="s">
        <v>160</v>
      </c>
      <c r="AC260" s="10"/>
      <c r="AD260" s="9" t="str">
        <f t="shared" si="18"/>
        <v>oui</v>
      </c>
      <c r="AE260" s="9" t="str">
        <f t="shared" si="19"/>
        <v>TAE manquant</v>
      </c>
      <c r="AF260" s="7"/>
      <c r="AG260" s="10"/>
      <c r="AH260" s="10"/>
      <c r="AI260" s="7" t="s">
        <v>160</v>
      </c>
      <c r="AJ260" s="10"/>
      <c r="AK260" s="10"/>
      <c r="AL260" s="10"/>
      <c r="AM260" s="11" t="s">
        <v>131</v>
      </c>
      <c r="AN260" s="11" t="s">
        <v>131</v>
      </c>
      <c r="AO260" s="11" t="s">
        <v>131</v>
      </c>
      <c r="AP260" s="11" t="s">
        <v>131</v>
      </c>
      <c r="AQ260" s="11"/>
      <c r="AR260" s="7"/>
    </row>
    <row r="261" spans="1:44" ht="14.4" x14ac:dyDescent="0.3">
      <c r="A261" s="6" t="s">
        <v>202</v>
      </c>
      <c r="B261" s="6" t="s">
        <v>1472</v>
      </c>
      <c r="C261" s="6" t="s">
        <v>1517</v>
      </c>
      <c r="D261" s="6" t="s">
        <v>1474</v>
      </c>
      <c r="E261" s="6" t="s">
        <v>1518</v>
      </c>
      <c r="F261" s="7" t="s">
        <v>125</v>
      </c>
      <c r="G261" s="10"/>
      <c r="H261" s="7" t="s">
        <v>93</v>
      </c>
      <c r="I261" s="7"/>
      <c r="J261" s="10"/>
      <c r="K261" s="6" t="s">
        <v>90</v>
      </c>
      <c r="L261" s="7"/>
      <c r="M261" s="14"/>
      <c r="N261" s="7" t="s">
        <v>93</v>
      </c>
      <c r="O261" s="10"/>
      <c r="P261" s="7" t="s">
        <v>90</v>
      </c>
      <c r="Q261" s="15">
        <f>IF(P261="oui",MIN(Parametres!$B$4,MAX(Parametres!$B$3,IF(M261="",Parametres!$B$3,ROUND(M261*10%,0)))),"")</f>
        <v>0</v>
      </c>
      <c r="R261" s="7" t="s">
        <v>134</v>
      </c>
      <c r="S261" s="7" t="s">
        <v>90</v>
      </c>
      <c r="T261" s="15">
        <f>IF(S261="oui",Parametres!$B$5,"")</f>
        <v>500</v>
      </c>
      <c r="U261" s="7" t="s">
        <v>134</v>
      </c>
      <c r="V261" s="15">
        <f t="shared" si="16"/>
        <v>500</v>
      </c>
      <c r="W261" s="15" t="str">
        <f t="shared" si="17"/>
        <v/>
      </c>
      <c r="X261" s="6" t="s">
        <v>90</v>
      </c>
      <c r="Y261" s="7" t="s">
        <v>133</v>
      </c>
      <c r="Z261" s="10"/>
      <c r="AA261" s="6" t="s">
        <v>93</v>
      </c>
      <c r="AB261" s="7" t="s">
        <v>160</v>
      </c>
      <c r="AC261" s="10"/>
      <c r="AD261" s="9" t="str">
        <f t="shared" si="18"/>
        <v>oui</v>
      </c>
      <c r="AE261" s="9" t="str">
        <f t="shared" si="19"/>
        <v>TAE manquant</v>
      </c>
      <c r="AF261" s="7"/>
      <c r="AG261" s="10"/>
      <c r="AH261" s="10"/>
      <c r="AI261" s="7" t="s">
        <v>160</v>
      </c>
      <c r="AJ261" s="10"/>
      <c r="AK261" s="10"/>
      <c r="AL261" s="10"/>
      <c r="AM261" s="11" t="s">
        <v>131</v>
      </c>
      <c r="AN261" s="11" t="s">
        <v>131</v>
      </c>
      <c r="AO261" s="11" t="s">
        <v>131</v>
      </c>
      <c r="AP261" s="11" t="s">
        <v>131</v>
      </c>
      <c r="AQ261" s="11"/>
      <c r="AR261" s="7"/>
    </row>
    <row r="262" spans="1:44" ht="14.4" x14ac:dyDescent="0.3">
      <c r="A262" s="6" t="s">
        <v>202</v>
      </c>
      <c r="B262" s="6" t="s">
        <v>1472</v>
      </c>
      <c r="C262" s="6" t="s">
        <v>1521</v>
      </c>
      <c r="D262" s="6" t="s">
        <v>1474</v>
      </c>
      <c r="E262" s="6" t="s">
        <v>1522</v>
      </c>
      <c r="F262" s="7" t="s">
        <v>125</v>
      </c>
      <c r="G262" s="10"/>
      <c r="H262" s="7" t="s">
        <v>93</v>
      </c>
      <c r="I262" s="7"/>
      <c r="J262" s="10"/>
      <c r="K262" s="6" t="s">
        <v>90</v>
      </c>
      <c r="L262" s="7"/>
      <c r="M262" s="14"/>
      <c r="N262" s="7" t="s">
        <v>93</v>
      </c>
      <c r="O262" s="10"/>
      <c r="P262" s="7" t="s">
        <v>90</v>
      </c>
      <c r="Q262" s="15">
        <f>IF(P262="oui",MIN(Parametres!$B$4,MAX(Parametres!$B$3,IF(M262="",Parametres!$B$3,ROUND(M262*10%,0)))),"")</f>
        <v>0</v>
      </c>
      <c r="R262" s="7" t="s">
        <v>134</v>
      </c>
      <c r="S262" s="7" t="s">
        <v>90</v>
      </c>
      <c r="T262" s="15">
        <f>IF(S262="oui",Parametres!$B$5,"")</f>
        <v>500</v>
      </c>
      <c r="U262" s="7" t="s">
        <v>134</v>
      </c>
      <c r="V262" s="15">
        <f t="shared" si="16"/>
        <v>500</v>
      </c>
      <c r="W262" s="15" t="str">
        <f t="shared" si="17"/>
        <v/>
      </c>
      <c r="X262" s="6" t="s">
        <v>90</v>
      </c>
      <c r="Y262" s="7" t="s">
        <v>133</v>
      </c>
      <c r="Z262" s="10"/>
      <c r="AA262" s="6" t="s">
        <v>93</v>
      </c>
      <c r="AB262" s="7" t="s">
        <v>160</v>
      </c>
      <c r="AC262" s="10"/>
      <c r="AD262" s="9" t="str">
        <f t="shared" si="18"/>
        <v>oui</v>
      </c>
      <c r="AE262" s="9" t="str">
        <f t="shared" si="19"/>
        <v>TAE manquant</v>
      </c>
      <c r="AF262" s="7"/>
      <c r="AG262" s="10"/>
      <c r="AH262" s="10"/>
      <c r="AI262" s="7" t="s">
        <v>160</v>
      </c>
      <c r="AJ262" s="10"/>
      <c r="AK262" s="10"/>
      <c r="AL262" s="10"/>
      <c r="AM262" s="11" t="s">
        <v>131</v>
      </c>
      <c r="AN262" s="11" t="s">
        <v>131</v>
      </c>
      <c r="AO262" s="11" t="s">
        <v>131</v>
      </c>
      <c r="AP262" s="11" t="s">
        <v>131</v>
      </c>
      <c r="AQ262" s="11"/>
      <c r="AR262" s="7"/>
    </row>
    <row r="263" spans="1:44" ht="14.4" x14ac:dyDescent="0.3">
      <c r="A263" s="6" t="s">
        <v>202</v>
      </c>
      <c r="B263" s="6" t="s">
        <v>1472</v>
      </c>
      <c r="C263" s="6" t="s">
        <v>1527</v>
      </c>
      <c r="D263" s="6" t="s">
        <v>1474</v>
      </c>
      <c r="E263" s="6" t="s">
        <v>1528</v>
      </c>
      <c r="F263" s="7" t="s">
        <v>125</v>
      </c>
      <c r="G263" s="10"/>
      <c r="H263" s="7" t="s">
        <v>93</v>
      </c>
      <c r="I263" s="7"/>
      <c r="J263" s="10"/>
      <c r="K263" s="6" t="s">
        <v>90</v>
      </c>
      <c r="L263" s="7"/>
      <c r="M263" s="14"/>
      <c r="N263" s="7" t="s">
        <v>93</v>
      </c>
      <c r="O263" s="10"/>
      <c r="P263" s="7" t="s">
        <v>90</v>
      </c>
      <c r="Q263" s="15">
        <f>IF(P263="oui",MIN(Parametres!$B$4,MAX(Parametres!$B$3,IF(M263="",Parametres!$B$3,ROUND(M263*10%,0)))),"")</f>
        <v>0</v>
      </c>
      <c r="R263" s="7" t="s">
        <v>134</v>
      </c>
      <c r="S263" s="7" t="s">
        <v>90</v>
      </c>
      <c r="T263" s="15">
        <f>IF(S263="oui",Parametres!$B$5,"")</f>
        <v>500</v>
      </c>
      <c r="U263" s="7" t="s">
        <v>134</v>
      </c>
      <c r="V263" s="15">
        <f t="shared" si="16"/>
        <v>500</v>
      </c>
      <c r="W263" s="15" t="str">
        <f t="shared" si="17"/>
        <v/>
      </c>
      <c r="X263" s="6" t="s">
        <v>90</v>
      </c>
      <c r="Y263" s="7" t="s">
        <v>133</v>
      </c>
      <c r="Z263" s="10"/>
      <c r="AA263" s="6" t="s">
        <v>93</v>
      </c>
      <c r="AB263" s="7" t="s">
        <v>160</v>
      </c>
      <c r="AC263" s="10"/>
      <c r="AD263" s="9" t="str">
        <f t="shared" si="18"/>
        <v>oui</v>
      </c>
      <c r="AE263" s="9" t="str">
        <f t="shared" si="19"/>
        <v>TAE manquant</v>
      </c>
      <c r="AF263" s="7"/>
      <c r="AG263" s="10"/>
      <c r="AH263" s="10"/>
      <c r="AI263" s="7" t="s">
        <v>160</v>
      </c>
      <c r="AJ263" s="10"/>
      <c r="AK263" s="10"/>
      <c r="AL263" s="10"/>
      <c r="AM263" s="11" t="s">
        <v>131</v>
      </c>
      <c r="AN263" s="11" t="s">
        <v>131</v>
      </c>
      <c r="AO263" s="11" t="s">
        <v>131</v>
      </c>
      <c r="AP263" s="11" t="s">
        <v>131</v>
      </c>
      <c r="AQ263" s="11"/>
      <c r="AR263" s="7"/>
    </row>
    <row r="264" spans="1:44" ht="14.4" x14ac:dyDescent="0.3">
      <c r="A264" s="6" t="s">
        <v>202</v>
      </c>
      <c r="B264" s="6" t="s">
        <v>1472</v>
      </c>
      <c r="C264" s="6" t="s">
        <v>1530</v>
      </c>
      <c r="D264" s="6" t="s">
        <v>1474</v>
      </c>
      <c r="E264" s="6" t="s">
        <v>1531</v>
      </c>
      <c r="F264" s="7" t="s">
        <v>125</v>
      </c>
      <c r="G264" s="10"/>
      <c r="H264" s="7" t="s">
        <v>93</v>
      </c>
      <c r="I264" s="7"/>
      <c r="J264" s="10"/>
      <c r="K264" s="6" t="s">
        <v>90</v>
      </c>
      <c r="L264" s="7"/>
      <c r="M264" s="14"/>
      <c r="N264" s="7" t="s">
        <v>93</v>
      </c>
      <c r="O264" s="10"/>
      <c r="P264" s="7" t="s">
        <v>90</v>
      </c>
      <c r="Q264" s="15">
        <f>IF(P264="oui",MIN(Parametres!$B$4,MAX(Parametres!$B$3,IF(M264="",Parametres!$B$3,ROUND(M264*10%,0)))),"")</f>
        <v>0</v>
      </c>
      <c r="R264" s="7" t="s">
        <v>134</v>
      </c>
      <c r="S264" s="7" t="s">
        <v>90</v>
      </c>
      <c r="T264" s="15">
        <f>IF(S264="oui",Parametres!$B$5,"")</f>
        <v>500</v>
      </c>
      <c r="U264" s="7" t="s">
        <v>134</v>
      </c>
      <c r="V264" s="15">
        <f t="shared" si="16"/>
        <v>500</v>
      </c>
      <c r="W264" s="15" t="str">
        <f t="shared" si="17"/>
        <v/>
      </c>
      <c r="X264" s="6" t="s">
        <v>90</v>
      </c>
      <c r="Y264" s="7" t="s">
        <v>133</v>
      </c>
      <c r="Z264" s="10"/>
      <c r="AA264" s="6" t="s">
        <v>93</v>
      </c>
      <c r="AB264" s="7" t="s">
        <v>160</v>
      </c>
      <c r="AC264" s="10"/>
      <c r="AD264" s="9" t="str">
        <f t="shared" si="18"/>
        <v>oui</v>
      </c>
      <c r="AE264" s="9" t="str">
        <f t="shared" si="19"/>
        <v>TAE manquant</v>
      </c>
      <c r="AF264" s="7"/>
      <c r="AG264" s="10"/>
      <c r="AH264" s="10"/>
      <c r="AI264" s="7" t="s">
        <v>160</v>
      </c>
      <c r="AJ264" s="10"/>
      <c r="AK264" s="10"/>
      <c r="AL264" s="10"/>
      <c r="AM264" s="11" t="s">
        <v>131</v>
      </c>
      <c r="AN264" s="11" t="s">
        <v>131</v>
      </c>
      <c r="AO264" s="11" t="s">
        <v>131</v>
      </c>
      <c r="AP264" s="11" t="s">
        <v>131</v>
      </c>
      <c r="AQ264" s="11"/>
      <c r="AR264" s="7"/>
    </row>
    <row r="265" spans="1:44" ht="14.4" x14ac:dyDescent="0.3">
      <c r="A265" s="6" t="s">
        <v>202</v>
      </c>
      <c r="B265" s="6" t="s">
        <v>1472</v>
      </c>
      <c r="C265" s="6" t="s">
        <v>1535</v>
      </c>
      <c r="D265" s="6" t="s">
        <v>1474</v>
      </c>
      <c r="E265" s="6" t="s">
        <v>1536</v>
      </c>
      <c r="F265" s="7" t="s">
        <v>125</v>
      </c>
      <c r="G265" s="10"/>
      <c r="H265" s="7" t="s">
        <v>93</v>
      </c>
      <c r="I265" s="7"/>
      <c r="J265" s="10"/>
      <c r="K265" s="6" t="s">
        <v>90</v>
      </c>
      <c r="L265" s="7"/>
      <c r="M265" s="14"/>
      <c r="N265" s="7" t="s">
        <v>93</v>
      </c>
      <c r="O265" s="10"/>
      <c r="P265" s="7" t="s">
        <v>90</v>
      </c>
      <c r="Q265" s="15">
        <f>IF(P265="oui",MIN(Parametres!$B$4,MAX(Parametres!$B$3,IF(M265="",Parametres!$B$3,ROUND(M265*10%,0)))),"")</f>
        <v>0</v>
      </c>
      <c r="R265" s="7" t="s">
        <v>134</v>
      </c>
      <c r="S265" s="7" t="s">
        <v>90</v>
      </c>
      <c r="T265" s="15">
        <f>IF(S265="oui",Parametres!$B$5,"")</f>
        <v>500</v>
      </c>
      <c r="U265" s="7" t="s">
        <v>134</v>
      </c>
      <c r="V265" s="15">
        <f t="shared" si="16"/>
        <v>500</v>
      </c>
      <c r="W265" s="15" t="str">
        <f t="shared" si="17"/>
        <v/>
      </c>
      <c r="X265" s="6" t="s">
        <v>90</v>
      </c>
      <c r="Y265" s="7" t="s">
        <v>133</v>
      </c>
      <c r="Z265" s="10"/>
      <c r="AA265" s="6" t="s">
        <v>93</v>
      </c>
      <c r="AB265" s="7" t="s">
        <v>160</v>
      </c>
      <c r="AC265" s="10"/>
      <c r="AD265" s="9" t="str">
        <f t="shared" si="18"/>
        <v>oui</v>
      </c>
      <c r="AE265" s="9" t="str">
        <f t="shared" si="19"/>
        <v>TAE manquant</v>
      </c>
      <c r="AF265" s="7"/>
      <c r="AG265" s="10"/>
      <c r="AH265" s="10"/>
      <c r="AI265" s="7" t="s">
        <v>160</v>
      </c>
      <c r="AJ265" s="10"/>
      <c r="AK265" s="10"/>
      <c r="AL265" s="10"/>
      <c r="AM265" s="11" t="s">
        <v>131</v>
      </c>
      <c r="AN265" s="11" t="s">
        <v>131</v>
      </c>
      <c r="AO265" s="11" t="s">
        <v>131</v>
      </c>
      <c r="AP265" s="11" t="s">
        <v>131</v>
      </c>
      <c r="AQ265" s="11"/>
      <c r="AR265" s="7"/>
    </row>
    <row r="266" spans="1:44" ht="14.4" x14ac:dyDescent="0.3">
      <c r="A266" s="6" t="s">
        <v>202</v>
      </c>
      <c r="B266" s="6" t="s">
        <v>1472</v>
      </c>
      <c r="C266" s="6" t="s">
        <v>1540</v>
      </c>
      <c r="D266" s="6" t="s">
        <v>1474</v>
      </c>
      <c r="E266" s="6" t="s">
        <v>1541</v>
      </c>
      <c r="F266" s="7" t="s">
        <v>125</v>
      </c>
      <c r="G266" s="10"/>
      <c r="H266" s="7" t="s">
        <v>93</v>
      </c>
      <c r="I266" s="7"/>
      <c r="J266" s="10"/>
      <c r="K266" s="6" t="s">
        <v>90</v>
      </c>
      <c r="L266" s="7"/>
      <c r="M266" s="14"/>
      <c r="N266" s="7" t="s">
        <v>93</v>
      </c>
      <c r="O266" s="10"/>
      <c r="P266" s="7" t="s">
        <v>90</v>
      </c>
      <c r="Q266" s="15">
        <f>IF(P266="oui",MIN(Parametres!$B$4,MAX(Parametres!$B$3,IF(M266="",Parametres!$B$3,ROUND(M266*10%,0)))),"")</f>
        <v>0</v>
      </c>
      <c r="R266" s="7" t="s">
        <v>134</v>
      </c>
      <c r="S266" s="7" t="s">
        <v>90</v>
      </c>
      <c r="T266" s="15">
        <f>IF(S266="oui",Parametres!$B$5,"")</f>
        <v>500</v>
      </c>
      <c r="U266" s="7" t="s">
        <v>134</v>
      </c>
      <c r="V266" s="15">
        <f t="shared" si="16"/>
        <v>500</v>
      </c>
      <c r="W266" s="15" t="str">
        <f t="shared" si="17"/>
        <v/>
      </c>
      <c r="X266" s="6" t="s">
        <v>90</v>
      </c>
      <c r="Y266" s="7" t="s">
        <v>133</v>
      </c>
      <c r="Z266" s="10"/>
      <c r="AA266" s="6" t="s">
        <v>93</v>
      </c>
      <c r="AB266" s="7" t="s">
        <v>160</v>
      </c>
      <c r="AC266" s="10"/>
      <c r="AD266" s="9" t="str">
        <f t="shared" si="18"/>
        <v>oui</v>
      </c>
      <c r="AE266" s="9" t="str">
        <f t="shared" si="19"/>
        <v>TAE manquant</v>
      </c>
      <c r="AF266" s="7"/>
      <c r="AG266" s="10"/>
      <c r="AH266" s="10"/>
      <c r="AI266" s="7" t="s">
        <v>160</v>
      </c>
      <c r="AJ266" s="10"/>
      <c r="AK266" s="10"/>
      <c r="AL266" s="10"/>
      <c r="AM266" s="11" t="s">
        <v>131</v>
      </c>
      <c r="AN266" s="11" t="s">
        <v>131</v>
      </c>
      <c r="AO266" s="11" t="s">
        <v>131</v>
      </c>
      <c r="AP266" s="11" t="s">
        <v>131</v>
      </c>
      <c r="AQ266" s="11"/>
      <c r="AR266" s="7"/>
    </row>
    <row r="267" spans="1:44" ht="14.4" x14ac:dyDescent="0.3">
      <c r="A267" s="6" t="s">
        <v>202</v>
      </c>
      <c r="B267" s="6" t="s">
        <v>1472</v>
      </c>
      <c r="C267" s="6" t="s">
        <v>1544</v>
      </c>
      <c r="D267" s="6" t="s">
        <v>1474</v>
      </c>
      <c r="E267" s="6" t="s">
        <v>1545</v>
      </c>
      <c r="F267" s="7" t="s">
        <v>125</v>
      </c>
      <c r="G267" s="10"/>
      <c r="H267" s="7" t="s">
        <v>93</v>
      </c>
      <c r="I267" s="7"/>
      <c r="J267" s="10"/>
      <c r="K267" s="6" t="s">
        <v>90</v>
      </c>
      <c r="L267" s="7"/>
      <c r="M267" s="14"/>
      <c r="N267" s="7" t="s">
        <v>93</v>
      </c>
      <c r="O267" s="10"/>
      <c r="P267" s="7" t="s">
        <v>90</v>
      </c>
      <c r="Q267" s="15">
        <f>IF(P267="oui",MIN(Parametres!$B$4,MAX(Parametres!$B$3,IF(M267="",Parametres!$B$3,ROUND(M267*10%,0)))),"")</f>
        <v>0</v>
      </c>
      <c r="R267" s="7" t="s">
        <v>134</v>
      </c>
      <c r="S267" s="7" t="s">
        <v>90</v>
      </c>
      <c r="T267" s="15">
        <f>IF(S267="oui",Parametres!$B$5,"")</f>
        <v>500</v>
      </c>
      <c r="U267" s="7" t="s">
        <v>134</v>
      </c>
      <c r="V267" s="15">
        <f t="shared" si="16"/>
        <v>500</v>
      </c>
      <c r="W267" s="15" t="str">
        <f t="shared" si="17"/>
        <v/>
      </c>
      <c r="X267" s="6" t="s">
        <v>90</v>
      </c>
      <c r="Y267" s="7" t="s">
        <v>133</v>
      </c>
      <c r="Z267" s="10"/>
      <c r="AA267" s="6" t="s">
        <v>93</v>
      </c>
      <c r="AB267" s="7" t="s">
        <v>160</v>
      </c>
      <c r="AC267" s="10"/>
      <c r="AD267" s="9" t="str">
        <f t="shared" si="18"/>
        <v>oui</v>
      </c>
      <c r="AE267" s="9" t="str">
        <f t="shared" si="19"/>
        <v>TAE manquant</v>
      </c>
      <c r="AF267" s="7"/>
      <c r="AG267" s="10"/>
      <c r="AH267" s="10"/>
      <c r="AI267" s="7" t="s">
        <v>160</v>
      </c>
      <c r="AJ267" s="10"/>
      <c r="AK267" s="10"/>
      <c r="AL267" s="10"/>
      <c r="AM267" s="11" t="s">
        <v>131</v>
      </c>
      <c r="AN267" s="11" t="s">
        <v>131</v>
      </c>
      <c r="AO267" s="11" t="s">
        <v>131</v>
      </c>
      <c r="AP267" s="11" t="s">
        <v>131</v>
      </c>
      <c r="AQ267" s="11"/>
      <c r="AR267" s="7"/>
    </row>
    <row r="268" spans="1:44" ht="14.4" x14ac:dyDescent="0.3">
      <c r="A268" s="6" t="s">
        <v>202</v>
      </c>
      <c r="B268" s="6" t="s">
        <v>1472</v>
      </c>
      <c r="C268" s="6" t="s">
        <v>1550</v>
      </c>
      <c r="D268" s="6" t="s">
        <v>1474</v>
      </c>
      <c r="E268" s="6" t="s">
        <v>1551</v>
      </c>
      <c r="F268" s="7" t="s">
        <v>125</v>
      </c>
      <c r="G268" s="10"/>
      <c r="H268" s="7" t="s">
        <v>93</v>
      </c>
      <c r="I268" s="7"/>
      <c r="J268" s="10"/>
      <c r="K268" s="6" t="s">
        <v>90</v>
      </c>
      <c r="L268" s="7"/>
      <c r="M268" s="14"/>
      <c r="N268" s="7" t="s">
        <v>93</v>
      </c>
      <c r="O268" s="10"/>
      <c r="P268" s="7" t="s">
        <v>90</v>
      </c>
      <c r="Q268" s="15">
        <f>IF(P268="oui",MIN(Parametres!$B$4,MAX(Parametres!$B$3,IF(M268="",Parametres!$B$3,ROUND(M268*10%,0)))),"")</f>
        <v>0</v>
      </c>
      <c r="R268" s="7" t="s">
        <v>134</v>
      </c>
      <c r="S268" s="7" t="s">
        <v>90</v>
      </c>
      <c r="T268" s="15">
        <f>IF(S268="oui",Parametres!$B$5,"")</f>
        <v>500</v>
      </c>
      <c r="U268" s="7" t="s">
        <v>134</v>
      </c>
      <c r="V268" s="15">
        <f t="shared" si="16"/>
        <v>500</v>
      </c>
      <c r="W268" s="15" t="str">
        <f t="shared" si="17"/>
        <v/>
      </c>
      <c r="X268" s="6" t="s">
        <v>90</v>
      </c>
      <c r="Y268" s="7" t="s">
        <v>133</v>
      </c>
      <c r="Z268" s="10"/>
      <c r="AA268" s="6" t="s">
        <v>93</v>
      </c>
      <c r="AB268" s="7" t="s">
        <v>160</v>
      </c>
      <c r="AC268" s="10"/>
      <c r="AD268" s="9" t="str">
        <f t="shared" si="18"/>
        <v>oui</v>
      </c>
      <c r="AE268" s="9" t="str">
        <f t="shared" si="19"/>
        <v>TAE manquant</v>
      </c>
      <c r="AF268" s="7"/>
      <c r="AG268" s="10"/>
      <c r="AH268" s="10"/>
      <c r="AI268" s="7" t="s">
        <v>160</v>
      </c>
      <c r="AJ268" s="10"/>
      <c r="AK268" s="10"/>
      <c r="AL268" s="10"/>
      <c r="AM268" s="11" t="s">
        <v>131</v>
      </c>
      <c r="AN268" s="11" t="s">
        <v>131</v>
      </c>
      <c r="AO268" s="11" t="s">
        <v>131</v>
      </c>
      <c r="AP268" s="11" t="s">
        <v>131</v>
      </c>
      <c r="AQ268" s="11"/>
      <c r="AR268" s="7"/>
    </row>
    <row r="269" spans="1:44" ht="14.4" x14ac:dyDescent="0.3">
      <c r="A269" s="6" t="s">
        <v>202</v>
      </c>
      <c r="B269" s="6" t="s">
        <v>1472</v>
      </c>
      <c r="C269" s="6" t="s">
        <v>1554</v>
      </c>
      <c r="D269" s="6" t="s">
        <v>1474</v>
      </c>
      <c r="E269" s="6" t="s">
        <v>1555</v>
      </c>
      <c r="F269" s="7" t="s">
        <v>125</v>
      </c>
      <c r="G269" s="10"/>
      <c r="H269" s="7" t="s">
        <v>93</v>
      </c>
      <c r="I269" s="7"/>
      <c r="J269" s="10"/>
      <c r="K269" s="6" t="s">
        <v>90</v>
      </c>
      <c r="L269" s="7"/>
      <c r="M269" s="14"/>
      <c r="N269" s="7" t="s">
        <v>93</v>
      </c>
      <c r="O269" s="10"/>
      <c r="P269" s="7" t="s">
        <v>90</v>
      </c>
      <c r="Q269" s="15">
        <f>IF(P269="oui",MIN(Parametres!$B$4,MAX(Parametres!$B$3,IF(M269="",Parametres!$B$3,ROUND(M269*10%,0)))),"")</f>
        <v>0</v>
      </c>
      <c r="R269" s="7" t="s">
        <v>134</v>
      </c>
      <c r="S269" s="7" t="s">
        <v>90</v>
      </c>
      <c r="T269" s="15">
        <f>IF(S269="oui",Parametres!$B$5,"")</f>
        <v>500</v>
      </c>
      <c r="U269" s="7" t="s">
        <v>134</v>
      </c>
      <c r="V269" s="15">
        <f t="shared" si="16"/>
        <v>500</v>
      </c>
      <c r="W269" s="15" t="str">
        <f t="shared" si="17"/>
        <v/>
      </c>
      <c r="X269" s="6" t="s">
        <v>90</v>
      </c>
      <c r="Y269" s="7" t="s">
        <v>133</v>
      </c>
      <c r="Z269" s="10"/>
      <c r="AA269" s="6" t="s">
        <v>93</v>
      </c>
      <c r="AB269" s="7" t="s">
        <v>160</v>
      </c>
      <c r="AC269" s="10"/>
      <c r="AD269" s="9" t="str">
        <f t="shared" si="18"/>
        <v>oui</v>
      </c>
      <c r="AE269" s="9" t="str">
        <f t="shared" si="19"/>
        <v>TAE manquant</v>
      </c>
      <c r="AF269" s="7"/>
      <c r="AG269" s="10"/>
      <c r="AH269" s="10"/>
      <c r="AI269" s="7" t="s">
        <v>160</v>
      </c>
      <c r="AJ269" s="10"/>
      <c r="AK269" s="10"/>
      <c r="AL269" s="10"/>
      <c r="AM269" s="11" t="s">
        <v>131</v>
      </c>
      <c r="AN269" s="11" t="s">
        <v>131</v>
      </c>
      <c r="AO269" s="11" t="s">
        <v>131</v>
      </c>
      <c r="AP269" s="11" t="s">
        <v>131</v>
      </c>
      <c r="AQ269" s="11"/>
      <c r="AR269" s="7"/>
    </row>
    <row r="270" spans="1:44" ht="14.4" x14ac:dyDescent="0.3">
      <c r="A270" s="6" t="s">
        <v>202</v>
      </c>
      <c r="B270" s="6" t="s">
        <v>1472</v>
      </c>
      <c r="C270" s="6" t="s">
        <v>1558</v>
      </c>
      <c r="D270" s="6" t="s">
        <v>1474</v>
      </c>
      <c r="E270" s="6" t="s">
        <v>1559</v>
      </c>
      <c r="F270" s="7" t="s">
        <v>125</v>
      </c>
      <c r="G270" s="10"/>
      <c r="H270" s="7" t="s">
        <v>93</v>
      </c>
      <c r="I270" s="7"/>
      <c r="J270" s="10"/>
      <c r="K270" s="6" t="s">
        <v>90</v>
      </c>
      <c r="L270" s="7"/>
      <c r="M270" s="14"/>
      <c r="N270" s="7" t="s">
        <v>93</v>
      </c>
      <c r="O270" s="10"/>
      <c r="P270" s="7" t="s">
        <v>90</v>
      </c>
      <c r="Q270" s="15">
        <f>IF(P270="oui",MIN(Parametres!$B$4,MAX(Parametres!$B$3,IF(M270="",Parametres!$B$3,ROUND(M270*10%,0)))),"")</f>
        <v>0</v>
      </c>
      <c r="R270" s="7" t="s">
        <v>134</v>
      </c>
      <c r="S270" s="7" t="s">
        <v>90</v>
      </c>
      <c r="T270" s="15">
        <f>IF(S270="oui",Parametres!$B$5,"")</f>
        <v>500</v>
      </c>
      <c r="U270" s="7" t="s">
        <v>134</v>
      </c>
      <c r="V270" s="15">
        <f t="shared" si="16"/>
        <v>500</v>
      </c>
      <c r="W270" s="15" t="str">
        <f t="shared" si="17"/>
        <v/>
      </c>
      <c r="X270" s="6" t="s">
        <v>90</v>
      </c>
      <c r="Y270" s="7" t="s">
        <v>133</v>
      </c>
      <c r="Z270" s="10"/>
      <c r="AA270" s="6" t="s">
        <v>93</v>
      </c>
      <c r="AB270" s="7" t="s">
        <v>160</v>
      </c>
      <c r="AC270" s="10"/>
      <c r="AD270" s="9" t="str">
        <f t="shared" si="18"/>
        <v>oui</v>
      </c>
      <c r="AE270" s="9" t="str">
        <f t="shared" si="19"/>
        <v>TAE manquant</v>
      </c>
      <c r="AF270" s="7"/>
      <c r="AG270" s="10"/>
      <c r="AH270" s="10"/>
      <c r="AI270" s="7" t="s">
        <v>160</v>
      </c>
      <c r="AJ270" s="10"/>
      <c r="AK270" s="10"/>
      <c r="AL270" s="10"/>
      <c r="AM270" s="11" t="s">
        <v>131</v>
      </c>
      <c r="AN270" s="11" t="s">
        <v>131</v>
      </c>
      <c r="AO270" s="11" t="s">
        <v>131</v>
      </c>
      <c r="AP270" s="11" t="s">
        <v>131</v>
      </c>
      <c r="AQ270" s="11"/>
      <c r="AR270" s="7"/>
    </row>
    <row r="271" spans="1:44" ht="14.4" x14ac:dyDescent="0.3">
      <c r="A271" s="6" t="s">
        <v>202</v>
      </c>
      <c r="B271" s="6" t="s">
        <v>1472</v>
      </c>
      <c r="C271" s="6" t="s">
        <v>1560</v>
      </c>
      <c r="D271" s="6" t="s">
        <v>1474</v>
      </c>
      <c r="E271" s="6" t="s">
        <v>1561</v>
      </c>
      <c r="F271" s="7" t="s">
        <v>125</v>
      </c>
      <c r="G271" s="10"/>
      <c r="H271" s="7" t="s">
        <v>93</v>
      </c>
      <c r="I271" s="7"/>
      <c r="J271" s="10"/>
      <c r="K271" s="6" t="s">
        <v>90</v>
      </c>
      <c r="L271" s="7"/>
      <c r="M271" s="14"/>
      <c r="N271" s="7" t="s">
        <v>93</v>
      </c>
      <c r="O271" s="10"/>
      <c r="P271" s="7" t="s">
        <v>90</v>
      </c>
      <c r="Q271" s="15">
        <f>IF(P271="oui",MIN(Parametres!$B$4,MAX(Parametres!$B$3,IF(M271="",Parametres!$B$3,ROUND(M271*10%,0)))),"")</f>
        <v>0</v>
      </c>
      <c r="R271" s="7" t="s">
        <v>134</v>
      </c>
      <c r="S271" s="7" t="s">
        <v>90</v>
      </c>
      <c r="T271" s="15">
        <f>IF(S271="oui",Parametres!$B$5,"")</f>
        <v>500</v>
      </c>
      <c r="U271" s="7" t="s">
        <v>134</v>
      </c>
      <c r="V271" s="15">
        <f t="shared" si="16"/>
        <v>500</v>
      </c>
      <c r="W271" s="15" t="str">
        <f t="shared" si="17"/>
        <v/>
      </c>
      <c r="X271" s="6" t="s">
        <v>90</v>
      </c>
      <c r="Y271" s="7" t="s">
        <v>133</v>
      </c>
      <c r="Z271" s="10"/>
      <c r="AA271" s="6" t="s">
        <v>93</v>
      </c>
      <c r="AB271" s="7" t="s">
        <v>160</v>
      </c>
      <c r="AC271" s="10"/>
      <c r="AD271" s="9" t="str">
        <f t="shared" si="18"/>
        <v>oui</v>
      </c>
      <c r="AE271" s="9" t="str">
        <f t="shared" si="19"/>
        <v>TAE manquant</v>
      </c>
      <c r="AF271" s="7"/>
      <c r="AG271" s="10"/>
      <c r="AH271" s="10"/>
      <c r="AI271" s="7" t="s">
        <v>160</v>
      </c>
      <c r="AJ271" s="10"/>
      <c r="AK271" s="10"/>
      <c r="AL271" s="10"/>
      <c r="AM271" s="11" t="s">
        <v>131</v>
      </c>
      <c r="AN271" s="11" t="s">
        <v>131</v>
      </c>
      <c r="AO271" s="11" t="s">
        <v>131</v>
      </c>
      <c r="AP271" s="11" t="s">
        <v>131</v>
      </c>
      <c r="AQ271" s="11"/>
      <c r="AR271" s="7"/>
    </row>
    <row r="272" spans="1:44" ht="14.4" x14ac:dyDescent="0.3">
      <c r="A272" s="6" t="s">
        <v>202</v>
      </c>
      <c r="B272" s="6" t="s">
        <v>1564</v>
      </c>
      <c r="C272" s="6" t="s">
        <v>1565</v>
      </c>
      <c r="D272" s="6" t="s">
        <v>1566</v>
      </c>
      <c r="E272" s="6" t="s">
        <v>1567</v>
      </c>
      <c r="F272" s="7" t="s">
        <v>125</v>
      </c>
      <c r="G272" s="10"/>
      <c r="H272" s="7" t="s">
        <v>93</v>
      </c>
      <c r="I272" s="7"/>
      <c r="J272" s="10"/>
      <c r="K272" s="6" t="s">
        <v>90</v>
      </c>
      <c r="L272" s="7"/>
      <c r="M272" s="14"/>
      <c r="N272" s="7" t="s">
        <v>93</v>
      </c>
      <c r="O272" s="10"/>
      <c r="P272" s="7" t="s">
        <v>90</v>
      </c>
      <c r="Q272" s="15">
        <f>IF(P272="oui",MIN(Parametres!$B$4,MAX(Parametres!$B$3,IF(M272="",Parametres!$B$3,ROUND(M272*10%,0)))),"")</f>
        <v>0</v>
      </c>
      <c r="R272" s="7" t="s">
        <v>134</v>
      </c>
      <c r="S272" s="7" t="s">
        <v>90</v>
      </c>
      <c r="T272" s="15">
        <f>IF(S272="oui",Parametres!$B$5,"")</f>
        <v>500</v>
      </c>
      <c r="U272" s="7" t="s">
        <v>134</v>
      </c>
      <c r="V272" s="15">
        <f t="shared" si="16"/>
        <v>500</v>
      </c>
      <c r="W272" s="15" t="str">
        <f t="shared" si="17"/>
        <v/>
      </c>
      <c r="X272" s="6" t="s">
        <v>90</v>
      </c>
      <c r="Y272" s="7" t="s">
        <v>133</v>
      </c>
      <c r="Z272" s="10"/>
      <c r="AA272" s="6" t="s">
        <v>93</v>
      </c>
      <c r="AB272" s="7" t="s">
        <v>160</v>
      </c>
      <c r="AC272" s="10"/>
      <c r="AD272" s="9" t="str">
        <f t="shared" si="18"/>
        <v>oui</v>
      </c>
      <c r="AE272" s="9" t="str">
        <f t="shared" si="19"/>
        <v>TAE manquant</v>
      </c>
      <c r="AF272" s="7"/>
      <c r="AG272" s="10"/>
      <c r="AH272" s="10"/>
      <c r="AI272" s="7" t="s">
        <v>160</v>
      </c>
      <c r="AJ272" s="10"/>
      <c r="AK272" s="10"/>
      <c r="AL272" s="10"/>
      <c r="AM272" s="11" t="s">
        <v>131</v>
      </c>
      <c r="AN272" s="11" t="s">
        <v>131</v>
      </c>
      <c r="AO272" s="11" t="s">
        <v>131</v>
      </c>
      <c r="AP272" s="11" t="s">
        <v>131</v>
      </c>
      <c r="AQ272" s="11"/>
      <c r="AR272" s="7"/>
    </row>
    <row r="273" spans="1:44" ht="14.4" x14ac:dyDescent="0.3">
      <c r="A273" s="6" t="s">
        <v>202</v>
      </c>
      <c r="B273" s="6" t="s">
        <v>1564</v>
      </c>
      <c r="C273" s="6" t="s">
        <v>1571</v>
      </c>
      <c r="D273" s="6" t="s">
        <v>1566</v>
      </c>
      <c r="E273" s="6" t="s">
        <v>1572</v>
      </c>
      <c r="F273" s="7" t="s">
        <v>125</v>
      </c>
      <c r="G273" s="10"/>
      <c r="H273" s="7" t="s">
        <v>93</v>
      </c>
      <c r="I273" s="7"/>
      <c r="J273" s="10"/>
      <c r="K273" s="6" t="s">
        <v>90</v>
      </c>
      <c r="L273" s="7"/>
      <c r="M273" s="14"/>
      <c r="N273" s="7" t="s">
        <v>93</v>
      </c>
      <c r="O273" s="10"/>
      <c r="P273" s="7" t="s">
        <v>90</v>
      </c>
      <c r="Q273" s="15">
        <f>IF(P273="oui",MIN(Parametres!$B$4,MAX(Parametres!$B$3,IF(M273="",Parametres!$B$3,ROUND(M273*10%,0)))),"")</f>
        <v>0</v>
      </c>
      <c r="R273" s="7" t="s">
        <v>134</v>
      </c>
      <c r="S273" s="7" t="s">
        <v>90</v>
      </c>
      <c r="T273" s="15">
        <f>IF(S273="oui",Parametres!$B$5,"")</f>
        <v>500</v>
      </c>
      <c r="U273" s="7" t="s">
        <v>134</v>
      </c>
      <c r="V273" s="15">
        <f t="shared" si="16"/>
        <v>500</v>
      </c>
      <c r="W273" s="15" t="str">
        <f t="shared" si="17"/>
        <v/>
      </c>
      <c r="X273" s="6" t="s">
        <v>90</v>
      </c>
      <c r="Y273" s="7" t="s">
        <v>133</v>
      </c>
      <c r="Z273" s="10"/>
      <c r="AA273" s="6" t="s">
        <v>93</v>
      </c>
      <c r="AB273" s="7" t="s">
        <v>160</v>
      </c>
      <c r="AC273" s="10"/>
      <c r="AD273" s="9" t="str">
        <f t="shared" si="18"/>
        <v>oui</v>
      </c>
      <c r="AE273" s="9" t="str">
        <f t="shared" si="19"/>
        <v>TAE manquant</v>
      </c>
      <c r="AF273" s="7"/>
      <c r="AG273" s="10"/>
      <c r="AH273" s="10"/>
      <c r="AI273" s="7" t="s">
        <v>160</v>
      </c>
      <c r="AJ273" s="10"/>
      <c r="AK273" s="10"/>
      <c r="AL273" s="10"/>
      <c r="AM273" s="11" t="s">
        <v>131</v>
      </c>
      <c r="AN273" s="11" t="s">
        <v>131</v>
      </c>
      <c r="AO273" s="11" t="s">
        <v>131</v>
      </c>
      <c r="AP273" s="11" t="s">
        <v>131</v>
      </c>
      <c r="AQ273" s="11"/>
      <c r="AR273" s="7"/>
    </row>
    <row r="274" spans="1:44" ht="14.4" x14ac:dyDescent="0.3">
      <c r="A274" s="6" t="s">
        <v>202</v>
      </c>
      <c r="B274" s="6" t="s">
        <v>1564</v>
      </c>
      <c r="C274" s="6" t="s">
        <v>1576</v>
      </c>
      <c r="D274" s="6" t="s">
        <v>1566</v>
      </c>
      <c r="E274" s="6" t="s">
        <v>1577</v>
      </c>
      <c r="F274" s="7" t="s">
        <v>125</v>
      </c>
      <c r="G274" s="10"/>
      <c r="H274" s="7" t="s">
        <v>93</v>
      </c>
      <c r="I274" s="7"/>
      <c r="J274" s="10"/>
      <c r="K274" s="6" t="s">
        <v>90</v>
      </c>
      <c r="L274" s="7"/>
      <c r="M274" s="14"/>
      <c r="N274" s="7" t="s">
        <v>93</v>
      </c>
      <c r="O274" s="10"/>
      <c r="P274" s="7" t="s">
        <v>90</v>
      </c>
      <c r="Q274" s="15">
        <f>IF(P274="oui",MIN(Parametres!$B$4,MAX(Parametres!$B$3,IF(M274="",Parametres!$B$3,ROUND(M274*10%,0)))),"")</f>
        <v>0</v>
      </c>
      <c r="R274" s="7" t="s">
        <v>134</v>
      </c>
      <c r="S274" s="7" t="s">
        <v>90</v>
      </c>
      <c r="T274" s="15">
        <f>IF(S274="oui",Parametres!$B$5,"")</f>
        <v>500</v>
      </c>
      <c r="U274" s="7" t="s">
        <v>134</v>
      </c>
      <c r="V274" s="15">
        <f t="shared" si="16"/>
        <v>500</v>
      </c>
      <c r="W274" s="15" t="str">
        <f t="shared" si="17"/>
        <v/>
      </c>
      <c r="X274" s="6" t="s">
        <v>90</v>
      </c>
      <c r="Y274" s="7" t="s">
        <v>133</v>
      </c>
      <c r="Z274" s="10"/>
      <c r="AA274" s="6" t="s">
        <v>93</v>
      </c>
      <c r="AB274" s="7" t="s">
        <v>160</v>
      </c>
      <c r="AC274" s="10"/>
      <c r="AD274" s="9" t="str">
        <f t="shared" si="18"/>
        <v>oui</v>
      </c>
      <c r="AE274" s="9" t="str">
        <f t="shared" si="19"/>
        <v>TAE manquant</v>
      </c>
      <c r="AF274" s="7"/>
      <c r="AG274" s="10"/>
      <c r="AH274" s="10"/>
      <c r="AI274" s="7" t="s">
        <v>160</v>
      </c>
      <c r="AJ274" s="10"/>
      <c r="AK274" s="10"/>
      <c r="AL274" s="10"/>
      <c r="AM274" s="11" t="s">
        <v>131</v>
      </c>
      <c r="AN274" s="11" t="s">
        <v>131</v>
      </c>
      <c r="AO274" s="11" t="s">
        <v>131</v>
      </c>
      <c r="AP274" s="11" t="s">
        <v>131</v>
      </c>
      <c r="AQ274" s="11"/>
      <c r="AR274" s="7"/>
    </row>
    <row r="275" spans="1:44" ht="14.4" x14ac:dyDescent="0.3">
      <c r="A275" s="6" t="s">
        <v>202</v>
      </c>
      <c r="B275" s="6" t="s">
        <v>1564</v>
      </c>
      <c r="C275" s="6" t="s">
        <v>1581</v>
      </c>
      <c r="D275" s="6" t="s">
        <v>1566</v>
      </c>
      <c r="E275" s="6" t="s">
        <v>1582</v>
      </c>
      <c r="F275" s="7" t="s">
        <v>125</v>
      </c>
      <c r="G275" s="10"/>
      <c r="H275" s="7" t="s">
        <v>93</v>
      </c>
      <c r="I275" s="7"/>
      <c r="J275" s="10"/>
      <c r="K275" s="6" t="s">
        <v>90</v>
      </c>
      <c r="L275" s="7"/>
      <c r="M275" s="14"/>
      <c r="N275" s="7" t="s">
        <v>93</v>
      </c>
      <c r="O275" s="10"/>
      <c r="P275" s="7" t="s">
        <v>90</v>
      </c>
      <c r="Q275" s="15">
        <f>IF(P275="oui",MIN(Parametres!$B$4,MAX(Parametres!$B$3,IF(M275="",Parametres!$B$3,ROUND(M275*10%,0)))),"")</f>
        <v>0</v>
      </c>
      <c r="R275" s="7" t="s">
        <v>134</v>
      </c>
      <c r="S275" s="7" t="s">
        <v>90</v>
      </c>
      <c r="T275" s="15">
        <f>IF(S275="oui",Parametres!$B$5,"")</f>
        <v>500</v>
      </c>
      <c r="U275" s="7" t="s">
        <v>134</v>
      </c>
      <c r="V275" s="15">
        <f t="shared" si="16"/>
        <v>500</v>
      </c>
      <c r="W275" s="15" t="str">
        <f t="shared" si="17"/>
        <v/>
      </c>
      <c r="X275" s="6" t="s">
        <v>90</v>
      </c>
      <c r="Y275" s="7" t="s">
        <v>133</v>
      </c>
      <c r="Z275" s="10"/>
      <c r="AA275" s="6" t="s">
        <v>93</v>
      </c>
      <c r="AB275" s="7" t="s">
        <v>160</v>
      </c>
      <c r="AC275" s="10"/>
      <c r="AD275" s="9" t="str">
        <f t="shared" si="18"/>
        <v>oui</v>
      </c>
      <c r="AE275" s="9" t="str">
        <f t="shared" si="19"/>
        <v>TAE manquant</v>
      </c>
      <c r="AF275" s="7"/>
      <c r="AG275" s="10"/>
      <c r="AH275" s="10"/>
      <c r="AI275" s="7" t="s">
        <v>160</v>
      </c>
      <c r="AJ275" s="10"/>
      <c r="AK275" s="10"/>
      <c r="AL275" s="10"/>
      <c r="AM275" s="11" t="s">
        <v>131</v>
      </c>
      <c r="AN275" s="11" t="s">
        <v>131</v>
      </c>
      <c r="AO275" s="11" t="s">
        <v>131</v>
      </c>
      <c r="AP275" s="11" t="s">
        <v>131</v>
      </c>
      <c r="AQ275" s="11"/>
      <c r="AR275" s="7"/>
    </row>
    <row r="276" spans="1:44" ht="14.4" x14ac:dyDescent="0.3">
      <c r="A276" s="6" t="s">
        <v>202</v>
      </c>
      <c r="B276" s="6" t="s">
        <v>1564</v>
      </c>
      <c r="C276" s="6" t="s">
        <v>1585</v>
      </c>
      <c r="D276" s="6" t="s">
        <v>1566</v>
      </c>
      <c r="E276" s="6" t="s">
        <v>1586</v>
      </c>
      <c r="F276" s="7" t="s">
        <v>125</v>
      </c>
      <c r="G276" s="10"/>
      <c r="H276" s="7" t="s">
        <v>93</v>
      </c>
      <c r="I276" s="7"/>
      <c r="J276" s="10"/>
      <c r="K276" s="6" t="s">
        <v>90</v>
      </c>
      <c r="L276" s="7"/>
      <c r="M276" s="14"/>
      <c r="N276" s="7" t="s">
        <v>93</v>
      </c>
      <c r="O276" s="10"/>
      <c r="P276" s="7" t="s">
        <v>90</v>
      </c>
      <c r="Q276" s="15">
        <f>IF(P276="oui",MIN(Parametres!$B$4,MAX(Parametres!$B$3,IF(M276="",Parametres!$B$3,ROUND(M276*10%,0)))),"")</f>
        <v>0</v>
      </c>
      <c r="R276" s="7" t="s">
        <v>134</v>
      </c>
      <c r="S276" s="7" t="s">
        <v>90</v>
      </c>
      <c r="T276" s="15">
        <f>IF(S276="oui",Parametres!$B$5,"")</f>
        <v>500</v>
      </c>
      <c r="U276" s="7" t="s">
        <v>134</v>
      </c>
      <c r="V276" s="15">
        <f t="shared" si="16"/>
        <v>500</v>
      </c>
      <c r="W276" s="15" t="str">
        <f t="shared" si="17"/>
        <v/>
      </c>
      <c r="X276" s="6" t="s">
        <v>90</v>
      </c>
      <c r="Y276" s="7" t="s">
        <v>133</v>
      </c>
      <c r="Z276" s="10"/>
      <c r="AA276" s="6" t="s">
        <v>93</v>
      </c>
      <c r="AB276" s="7" t="s">
        <v>160</v>
      </c>
      <c r="AC276" s="10"/>
      <c r="AD276" s="9" t="str">
        <f t="shared" si="18"/>
        <v>oui</v>
      </c>
      <c r="AE276" s="9" t="str">
        <f t="shared" si="19"/>
        <v>TAE manquant</v>
      </c>
      <c r="AF276" s="7"/>
      <c r="AG276" s="10"/>
      <c r="AH276" s="10"/>
      <c r="AI276" s="7" t="s">
        <v>160</v>
      </c>
      <c r="AJ276" s="10"/>
      <c r="AK276" s="10"/>
      <c r="AL276" s="10"/>
      <c r="AM276" s="11" t="s">
        <v>131</v>
      </c>
      <c r="AN276" s="11" t="s">
        <v>131</v>
      </c>
      <c r="AO276" s="11" t="s">
        <v>131</v>
      </c>
      <c r="AP276" s="11" t="s">
        <v>131</v>
      </c>
      <c r="AQ276" s="11"/>
      <c r="AR276" s="7"/>
    </row>
    <row r="277" spans="1:44" ht="14.4" x14ac:dyDescent="0.3">
      <c r="A277" s="6" t="s">
        <v>202</v>
      </c>
      <c r="B277" s="6" t="s">
        <v>1564</v>
      </c>
      <c r="C277" s="6" t="s">
        <v>1589</v>
      </c>
      <c r="D277" s="6" t="s">
        <v>1566</v>
      </c>
      <c r="E277" s="6" t="s">
        <v>1590</v>
      </c>
      <c r="F277" s="7" t="s">
        <v>125</v>
      </c>
      <c r="G277" s="10"/>
      <c r="H277" s="7" t="s">
        <v>93</v>
      </c>
      <c r="I277" s="7"/>
      <c r="J277" s="10"/>
      <c r="K277" s="6" t="s">
        <v>90</v>
      </c>
      <c r="L277" s="7"/>
      <c r="M277" s="14"/>
      <c r="N277" s="7" t="s">
        <v>93</v>
      </c>
      <c r="O277" s="10"/>
      <c r="P277" s="7" t="s">
        <v>90</v>
      </c>
      <c r="Q277" s="15">
        <f>IF(P277="oui",MIN(Parametres!$B$4,MAX(Parametres!$B$3,IF(M277="",Parametres!$B$3,ROUND(M277*10%,0)))),"")</f>
        <v>0</v>
      </c>
      <c r="R277" s="7" t="s">
        <v>134</v>
      </c>
      <c r="S277" s="7" t="s">
        <v>90</v>
      </c>
      <c r="T277" s="15">
        <f>IF(S277="oui",Parametres!$B$5,"")</f>
        <v>500</v>
      </c>
      <c r="U277" s="7" t="s">
        <v>134</v>
      </c>
      <c r="V277" s="15">
        <f t="shared" si="16"/>
        <v>500</v>
      </c>
      <c r="W277" s="15" t="str">
        <f t="shared" si="17"/>
        <v/>
      </c>
      <c r="X277" s="6" t="s">
        <v>90</v>
      </c>
      <c r="Y277" s="7" t="s">
        <v>133</v>
      </c>
      <c r="Z277" s="10"/>
      <c r="AA277" s="6" t="s">
        <v>93</v>
      </c>
      <c r="AB277" s="7" t="s">
        <v>160</v>
      </c>
      <c r="AC277" s="10"/>
      <c r="AD277" s="9" t="str">
        <f t="shared" si="18"/>
        <v>oui</v>
      </c>
      <c r="AE277" s="9" t="str">
        <f t="shared" si="19"/>
        <v>TAE manquant</v>
      </c>
      <c r="AF277" s="7"/>
      <c r="AG277" s="10"/>
      <c r="AH277" s="10"/>
      <c r="AI277" s="7" t="s">
        <v>160</v>
      </c>
      <c r="AJ277" s="10"/>
      <c r="AK277" s="10"/>
      <c r="AL277" s="10"/>
      <c r="AM277" s="11" t="s">
        <v>131</v>
      </c>
      <c r="AN277" s="11" t="s">
        <v>131</v>
      </c>
      <c r="AO277" s="11" t="s">
        <v>131</v>
      </c>
      <c r="AP277" s="11" t="s">
        <v>131</v>
      </c>
      <c r="AQ277" s="11"/>
      <c r="AR277" s="7"/>
    </row>
    <row r="278" spans="1:44" ht="14.4" x14ac:dyDescent="0.3">
      <c r="A278" s="6" t="s">
        <v>202</v>
      </c>
      <c r="B278" s="6" t="s">
        <v>1564</v>
      </c>
      <c r="C278" s="6" t="s">
        <v>1593</v>
      </c>
      <c r="D278" s="6" t="s">
        <v>1566</v>
      </c>
      <c r="E278" s="6" t="s">
        <v>1594</v>
      </c>
      <c r="F278" s="7" t="s">
        <v>125</v>
      </c>
      <c r="G278" s="10"/>
      <c r="H278" s="7" t="s">
        <v>93</v>
      </c>
      <c r="I278" s="7"/>
      <c r="J278" s="10"/>
      <c r="K278" s="6" t="s">
        <v>90</v>
      </c>
      <c r="L278" s="7"/>
      <c r="M278" s="14"/>
      <c r="N278" s="7" t="s">
        <v>93</v>
      </c>
      <c r="O278" s="10"/>
      <c r="P278" s="7" t="s">
        <v>90</v>
      </c>
      <c r="Q278" s="15">
        <f>IF(P278="oui",MIN(Parametres!$B$4,MAX(Parametres!$B$3,IF(M278="",Parametres!$B$3,ROUND(M278*10%,0)))),"")</f>
        <v>0</v>
      </c>
      <c r="R278" s="7" t="s">
        <v>134</v>
      </c>
      <c r="S278" s="7" t="s">
        <v>90</v>
      </c>
      <c r="T278" s="15">
        <f>IF(S278="oui",Parametres!$B$5,"")</f>
        <v>500</v>
      </c>
      <c r="U278" s="7" t="s">
        <v>134</v>
      </c>
      <c r="V278" s="15">
        <f t="shared" si="16"/>
        <v>500</v>
      </c>
      <c r="W278" s="15" t="str">
        <f t="shared" si="17"/>
        <v/>
      </c>
      <c r="X278" s="6" t="s">
        <v>90</v>
      </c>
      <c r="Y278" s="7" t="s">
        <v>133</v>
      </c>
      <c r="Z278" s="10"/>
      <c r="AA278" s="6" t="s">
        <v>93</v>
      </c>
      <c r="AB278" s="7" t="s">
        <v>160</v>
      </c>
      <c r="AC278" s="10"/>
      <c r="AD278" s="9" t="str">
        <f t="shared" si="18"/>
        <v>oui</v>
      </c>
      <c r="AE278" s="9" t="str">
        <f t="shared" si="19"/>
        <v>TAE manquant</v>
      </c>
      <c r="AF278" s="7"/>
      <c r="AG278" s="10"/>
      <c r="AH278" s="10"/>
      <c r="AI278" s="7" t="s">
        <v>160</v>
      </c>
      <c r="AJ278" s="10"/>
      <c r="AK278" s="10"/>
      <c r="AL278" s="10"/>
      <c r="AM278" s="11" t="s">
        <v>131</v>
      </c>
      <c r="AN278" s="11" t="s">
        <v>131</v>
      </c>
      <c r="AO278" s="11" t="s">
        <v>131</v>
      </c>
      <c r="AP278" s="11" t="s">
        <v>131</v>
      </c>
      <c r="AQ278" s="11"/>
      <c r="AR278" s="7"/>
    </row>
    <row r="279" spans="1:44" ht="14.4" x14ac:dyDescent="0.3">
      <c r="A279" s="6" t="s">
        <v>202</v>
      </c>
      <c r="B279" s="6" t="s">
        <v>1564</v>
      </c>
      <c r="C279" s="6" t="s">
        <v>1597</v>
      </c>
      <c r="D279" s="6" t="s">
        <v>1566</v>
      </c>
      <c r="E279" s="6" t="s">
        <v>1598</v>
      </c>
      <c r="F279" s="7" t="s">
        <v>125</v>
      </c>
      <c r="G279" s="10"/>
      <c r="H279" s="7" t="s">
        <v>93</v>
      </c>
      <c r="I279" s="7"/>
      <c r="J279" s="10"/>
      <c r="K279" s="6" t="s">
        <v>90</v>
      </c>
      <c r="L279" s="7"/>
      <c r="M279" s="14"/>
      <c r="N279" s="7" t="s">
        <v>93</v>
      </c>
      <c r="O279" s="10"/>
      <c r="P279" s="7" t="s">
        <v>90</v>
      </c>
      <c r="Q279" s="15">
        <f>IF(P279="oui",MIN(Parametres!$B$4,MAX(Parametres!$B$3,IF(M279="",Parametres!$B$3,ROUND(M279*10%,0)))),"")</f>
        <v>0</v>
      </c>
      <c r="R279" s="7" t="s">
        <v>134</v>
      </c>
      <c r="S279" s="7" t="s">
        <v>90</v>
      </c>
      <c r="T279" s="15">
        <f>IF(S279="oui",Parametres!$B$5,"")</f>
        <v>500</v>
      </c>
      <c r="U279" s="7" t="s">
        <v>134</v>
      </c>
      <c r="V279" s="15">
        <f t="shared" si="16"/>
        <v>500</v>
      </c>
      <c r="W279" s="15" t="str">
        <f t="shared" si="17"/>
        <v/>
      </c>
      <c r="X279" s="6" t="s">
        <v>90</v>
      </c>
      <c r="Y279" s="7" t="s">
        <v>133</v>
      </c>
      <c r="Z279" s="10"/>
      <c r="AA279" s="6" t="s">
        <v>93</v>
      </c>
      <c r="AB279" s="7" t="s">
        <v>160</v>
      </c>
      <c r="AC279" s="10"/>
      <c r="AD279" s="9" t="str">
        <f t="shared" si="18"/>
        <v>oui</v>
      </c>
      <c r="AE279" s="9" t="str">
        <f t="shared" si="19"/>
        <v>TAE manquant</v>
      </c>
      <c r="AF279" s="7"/>
      <c r="AG279" s="10"/>
      <c r="AH279" s="10"/>
      <c r="AI279" s="7" t="s">
        <v>160</v>
      </c>
      <c r="AJ279" s="10"/>
      <c r="AK279" s="10"/>
      <c r="AL279" s="10"/>
      <c r="AM279" s="11" t="s">
        <v>131</v>
      </c>
      <c r="AN279" s="11" t="s">
        <v>131</v>
      </c>
      <c r="AO279" s="11" t="s">
        <v>131</v>
      </c>
      <c r="AP279" s="11" t="s">
        <v>131</v>
      </c>
      <c r="AQ279" s="11"/>
      <c r="AR279" s="7"/>
    </row>
    <row r="280" spans="1:44" ht="14.4" x14ac:dyDescent="0.3">
      <c r="A280" s="6" t="s">
        <v>202</v>
      </c>
      <c r="B280" s="6" t="s">
        <v>1564</v>
      </c>
      <c r="C280" s="6" t="s">
        <v>1602</v>
      </c>
      <c r="D280" s="6" t="s">
        <v>1566</v>
      </c>
      <c r="E280" s="6" t="s">
        <v>1603</v>
      </c>
      <c r="F280" s="7" t="s">
        <v>125</v>
      </c>
      <c r="G280" s="10"/>
      <c r="H280" s="7" t="s">
        <v>93</v>
      </c>
      <c r="I280" s="7"/>
      <c r="J280" s="10"/>
      <c r="K280" s="6" t="s">
        <v>90</v>
      </c>
      <c r="L280" s="7"/>
      <c r="M280" s="14"/>
      <c r="N280" s="7" t="s">
        <v>93</v>
      </c>
      <c r="O280" s="10"/>
      <c r="P280" s="7" t="s">
        <v>90</v>
      </c>
      <c r="Q280" s="15">
        <f>IF(P280="oui",MIN(Parametres!$B$4,MAX(Parametres!$B$3,IF(M280="",Parametres!$B$3,ROUND(M280*10%,0)))),"")</f>
        <v>0</v>
      </c>
      <c r="R280" s="7" t="s">
        <v>134</v>
      </c>
      <c r="S280" s="7" t="s">
        <v>90</v>
      </c>
      <c r="T280" s="15">
        <f>IF(S280="oui",Parametres!$B$5,"")</f>
        <v>500</v>
      </c>
      <c r="U280" s="7" t="s">
        <v>134</v>
      </c>
      <c r="V280" s="15">
        <f t="shared" si="16"/>
        <v>500</v>
      </c>
      <c r="W280" s="15" t="str">
        <f t="shared" si="17"/>
        <v/>
      </c>
      <c r="X280" s="6" t="s">
        <v>90</v>
      </c>
      <c r="Y280" s="7" t="s">
        <v>133</v>
      </c>
      <c r="Z280" s="10"/>
      <c r="AA280" s="6" t="s">
        <v>93</v>
      </c>
      <c r="AB280" s="7" t="s">
        <v>160</v>
      </c>
      <c r="AC280" s="10"/>
      <c r="AD280" s="9" t="str">
        <f t="shared" si="18"/>
        <v>oui</v>
      </c>
      <c r="AE280" s="9" t="str">
        <f t="shared" si="19"/>
        <v>TAE manquant</v>
      </c>
      <c r="AF280" s="7"/>
      <c r="AG280" s="10"/>
      <c r="AH280" s="10"/>
      <c r="AI280" s="7" t="s">
        <v>160</v>
      </c>
      <c r="AJ280" s="10"/>
      <c r="AK280" s="10"/>
      <c r="AL280" s="10"/>
      <c r="AM280" s="11" t="s">
        <v>131</v>
      </c>
      <c r="AN280" s="11" t="s">
        <v>131</v>
      </c>
      <c r="AO280" s="11" t="s">
        <v>131</v>
      </c>
      <c r="AP280" s="11" t="s">
        <v>131</v>
      </c>
      <c r="AQ280" s="11"/>
      <c r="AR280" s="7"/>
    </row>
    <row r="281" spans="1:44" ht="14.4" x14ac:dyDescent="0.3">
      <c r="A281" s="6" t="s">
        <v>202</v>
      </c>
      <c r="B281" s="6" t="s">
        <v>1564</v>
      </c>
      <c r="C281" s="6" t="s">
        <v>1605</v>
      </c>
      <c r="D281" s="6" t="s">
        <v>1566</v>
      </c>
      <c r="E281" s="6" t="s">
        <v>1606</v>
      </c>
      <c r="F281" s="7" t="s">
        <v>125</v>
      </c>
      <c r="G281" s="10"/>
      <c r="H281" s="7" t="s">
        <v>93</v>
      </c>
      <c r="I281" s="7"/>
      <c r="J281" s="10"/>
      <c r="K281" s="6" t="s">
        <v>90</v>
      </c>
      <c r="L281" s="7"/>
      <c r="M281" s="14"/>
      <c r="N281" s="7" t="s">
        <v>93</v>
      </c>
      <c r="O281" s="10"/>
      <c r="P281" s="7" t="s">
        <v>90</v>
      </c>
      <c r="Q281" s="15">
        <f>IF(P281="oui",MIN(Parametres!$B$4,MAX(Parametres!$B$3,IF(M281="",Parametres!$B$3,ROUND(M281*10%,0)))),"")</f>
        <v>0</v>
      </c>
      <c r="R281" s="7" t="s">
        <v>134</v>
      </c>
      <c r="S281" s="7" t="s">
        <v>90</v>
      </c>
      <c r="T281" s="15">
        <f>IF(S281="oui",Parametres!$B$5,"")</f>
        <v>500</v>
      </c>
      <c r="U281" s="7" t="s">
        <v>134</v>
      </c>
      <c r="V281" s="15">
        <f t="shared" si="16"/>
        <v>500</v>
      </c>
      <c r="W281" s="15" t="str">
        <f t="shared" si="17"/>
        <v/>
      </c>
      <c r="X281" s="6" t="s">
        <v>90</v>
      </c>
      <c r="Y281" s="7" t="s">
        <v>133</v>
      </c>
      <c r="Z281" s="10"/>
      <c r="AA281" s="6" t="s">
        <v>93</v>
      </c>
      <c r="AB281" s="7" t="s">
        <v>160</v>
      </c>
      <c r="AC281" s="10"/>
      <c r="AD281" s="9" t="str">
        <f t="shared" si="18"/>
        <v>oui</v>
      </c>
      <c r="AE281" s="9" t="str">
        <f t="shared" si="19"/>
        <v>TAE manquant</v>
      </c>
      <c r="AF281" s="7"/>
      <c r="AG281" s="10"/>
      <c r="AH281" s="10"/>
      <c r="AI281" s="7" t="s">
        <v>160</v>
      </c>
      <c r="AJ281" s="10"/>
      <c r="AK281" s="10"/>
      <c r="AL281" s="10"/>
      <c r="AM281" s="11" t="s">
        <v>131</v>
      </c>
      <c r="AN281" s="11" t="s">
        <v>131</v>
      </c>
      <c r="AO281" s="11" t="s">
        <v>131</v>
      </c>
      <c r="AP281" s="11" t="s">
        <v>131</v>
      </c>
      <c r="AQ281" s="11"/>
      <c r="AR281" s="7"/>
    </row>
    <row r="282" spans="1:44" ht="14.4" x14ac:dyDescent="0.3">
      <c r="A282" s="6" t="s">
        <v>202</v>
      </c>
      <c r="B282" s="6" t="s">
        <v>1564</v>
      </c>
      <c r="C282" s="6" t="s">
        <v>1610</v>
      </c>
      <c r="D282" s="6" t="s">
        <v>1566</v>
      </c>
      <c r="E282" s="6" t="s">
        <v>1611</v>
      </c>
      <c r="F282" s="7" t="s">
        <v>125</v>
      </c>
      <c r="G282" s="10"/>
      <c r="H282" s="7" t="s">
        <v>93</v>
      </c>
      <c r="I282" s="7"/>
      <c r="J282" s="10"/>
      <c r="K282" s="6" t="s">
        <v>90</v>
      </c>
      <c r="L282" s="7"/>
      <c r="M282" s="14"/>
      <c r="N282" s="7" t="s">
        <v>93</v>
      </c>
      <c r="O282" s="10"/>
      <c r="P282" s="7" t="s">
        <v>90</v>
      </c>
      <c r="Q282" s="15">
        <f>IF(P282="oui",MIN(Parametres!$B$4,MAX(Parametres!$B$3,IF(M282="",Parametres!$B$3,ROUND(M282*10%,0)))),"")</f>
        <v>0</v>
      </c>
      <c r="R282" s="7" t="s">
        <v>134</v>
      </c>
      <c r="S282" s="7" t="s">
        <v>90</v>
      </c>
      <c r="T282" s="15">
        <f>IF(S282="oui",Parametres!$B$5,"")</f>
        <v>500</v>
      </c>
      <c r="U282" s="7" t="s">
        <v>134</v>
      </c>
      <c r="V282" s="15">
        <f t="shared" si="16"/>
        <v>500</v>
      </c>
      <c r="W282" s="15" t="str">
        <f t="shared" si="17"/>
        <v/>
      </c>
      <c r="X282" s="6" t="s">
        <v>90</v>
      </c>
      <c r="Y282" s="7" t="s">
        <v>133</v>
      </c>
      <c r="Z282" s="10"/>
      <c r="AA282" s="6" t="s">
        <v>93</v>
      </c>
      <c r="AB282" s="7" t="s">
        <v>160</v>
      </c>
      <c r="AC282" s="10"/>
      <c r="AD282" s="9" t="str">
        <f t="shared" si="18"/>
        <v>oui</v>
      </c>
      <c r="AE282" s="9" t="str">
        <f t="shared" si="19"/>
        <v>TAE manquant</v>
      </c>
      <c r="AF282" s="7"/>
      <c r="AG282" s="10"/>
      <c r="AH282" s="10"/>
      <c r="AI282" s="7" t="s">
        <v>160</v>
      </c>
      <c r="AJ282" s="10"/>
      <c r="AK282" s="10"/>
      <c r="AL282" s="10"/>
      <c r="AM282" s="11" t="s">
        <v>131</v>
      </c>
      <c r="AN282" s="11" t="s">
        <v>131</v>
      </c>
      <c r="AO282" s="11" t="s">
        <v>131</v>
      </c>
      <c r="AP282" s="11" t="s">
        <v>131</v>
      </c>
      <c r="AQ282" s="11"/>
      <c r="AR282" s="7"/>
    </row>
    <row r="283" spans="1:44" ht="14.4" x14ac:dyDescent="0.3">
      <c r="A283" s="6" t="s">
        <v>202</v>
      </c>
      <c r="B283" s="6" t="s">
        <v>1564</v>
      </c>
      <c r="C283" s="6" t="s">
        <v>1614</v>
      </c>
      <c r="D283" s="6" t="s">
        <v>1566</v>
      </c>
      <c r="E283" s="6" t="s">
        <v>1615</v>
      </c>
      <c r="F283" s="7" t="s">
        <v>125</v>
      </c>
      <c r="G283" s="10"/>
      <c r="H283" s="7" t="s">
        <v>93</v>
      </c>
      <c r="I283" s="7"/>
      <c r="J283" s="10"/>
      <c r="K283" s="6" t="s">
        <v>90</v>
      </c>
      <c r="L283" s="7"/>
      <c r="M283" s="14"/>
      <c r="N283" s="7" t="s">
        <v>93</v>
      </c>
      <c r="O283" s="10"/>
      <c r="P283" s="7" t="s">
        <v>90</v>
      </c>
      <c r="Q283" s="15">
        <f>IF(P283="oui",MIN(Parametres!$B$4,MAX(Parametres!$B$3,IF(M283="",Parametres!$B$3,ROUND(M283*10%,0)))),"")</f>
        <v>0</v>
      </c>
      <c r="R283" s="7" t="s">
        <v>134</v>
      </c>
      <c r="S283" s="7" t="s">
        <v>90</v>
      </c>
      <c r="T283" s="15">
        <f>IF(S283="oui",Parametres!$B$5,"")</f>
        <v>500</v>
      </c>
      <c r="U283" s="7" t="s">
        <v>134</v>
      </c>
      <c r="V283" s="15">
        <f t="shared" si="16"/>
        <v>500</v>
      </c>
      <c r="W283" s="15" t="str">
        <f t="shared" si="17"/>
        <v/>
      </c>
      <c r="X283" s="6" t="s">
        <v>90</v>
      </c>
      <c r="Y283" s="7" t="s">
        <v>133</v>
      </c>
      <c r="Z283" s="10"/>
      <c r="AA283" s="6" t="s">
        <v>93</v>
      </c>
      <c r="AB283" s="7" t="s">
        <v>160</v>
      </c>
      <c r="AC283" s="10"/>
      <c r="AD283" s="9" t="str">
        <f t="shared" si="18"/>
        <v>oui</v>
      </c>
      <c r="AE283" s="9" t="str">
        <f t="shared" si="19"/>
        <v>TAE manquant</v>
      </c>
      <c r="AF283" s="7"/>
      <c r="AG283" s="10"/>
      <c r="AH283" s="10"/>
      <c r="AI283" s="7" t="s">
        <v>160</v>
      </c>
      <c r="AJ283" s="10"/>
      <c r="AK283" s="10"/>
      <c r="AL283" s="10"/>
      <c r="AM283" s="11" t="s">
        <v>131</v>
      </c>
      <c r="AN283" s="11" t="s">
        <v>131</v>
      </c>
      <c r="AO283" s="11" t="s">
        <v>131</v>
      </c>
      <c r="AP283" s="11" t="s">
        <v>131</v>
      </c>
      <c r="AQ283" s="11"/>
      <c r="AR283" s="7"/>
    </row>
    <row r="284" spans="1:44" ht="14.4" x14ac:dyDescent="0.3">
      <c r="A284" s="6" t="s">
        <v>202</v>
      </c>
      <c r="B284" s="6" t="s">
        <v>1564</v>
      </c>
      <c r="C284" s="6" t="s">
        <v>1617</v>
      </c>
      <c r="D284" s="6" t="s">
        <v>1566</v>
      </c>
      <c r="E284" s="6" t="s">
        <v>1618</v>
      </c>
      <c r="F284" s="7" t="s">
        <v>125</v>
      </c>
      <c r="G284" s="10"/>
      <c r="H284" s="7" t="s">
        <v>93</v>
      </c>
      <c r="I284" s="7"/>
      <c r="J284" s="10"/>
      <c r="K284" s="6" t="s">
        <v>90</v>
      </c>
      <c r="L284" s="7"/>
      <c r="M284" s="14"/>
      <c r="N284" s="7" t="s">
        <v>93</v>
      </c>
      <c r="O284" s="10"/>
      <c r="P284" s="7" t="s">
        <v>90</v>
      </c>
      <c r="Q284" s="15">
        <f>IF(P284="oui",MIN(Parametres!$B$4,MAX(Parametres!$B$3,IF(M284="",Parametres!$B$3,ROUND(M284*10%,0)))),"")</f>
        <v>0</v>
      </c>
      <c r="R284" s="7" t="s">
        <v>134</v>
      </c>
      <c r="S284" s="7" t="s">
        <v>90</v>
      </c>
      <c r="T284" s="15">
        <f>IF(S284="oui",Parametres!$B$5,"")</f>
        <v>500</v>
      </c>
      <c r="U284" s="7" t="s">
        <v>134</v>
      </c>
      <c r="V284" s="15">
        <f t="shared" si="16"/>
        <v>500</v>
      </c>
      <c r="W284" s="15" t="str">
        <f t="shared" si="17"/>
        <v/>
      </c>
      <c r="X284" s="6" t="s">
        <v>90</v>
      </c>
      <c r="Y284" s="7" t="s">
        <v>133</v>
      </c>
      <c r="Z284" s="10"/>
      <c r="AA284" s="6" t="s">
        <v>93</v>
      </c>
      <c r="AB284" s="7" t="s">
        <v>160</v>
      </c>
      <c r="AC284" s="10"/>
      <c r="AD284" s="9" t="str">
        <f t="shared" si="18"/>
        <v>oui</v>
      </c>
      <c r="AE284" s="9" t="str">
        <f t="shared" si="19"/>
        <v>TAE manquant</v>
      </c>
      <c r="AF284" s="7"/>
      <c r="AG284" s="10"/>
      <c r="AH284" s="10"/>
      <c r="AI284" s="7" t="s">
        <v>160</v>
      </c>
      <c r="AJ284" s="10"/>
      <c r="AK284" s="10"/>
      <c r="AL284" s="10"/>
      <c r="AM284" s="11" t="s">
        <v>131</v>
      </c>
      <c r="AN284" s="11" t="s">
        <v>131</v>
      </c>
      <c r="AO284" s="11" t="s">
        <v>131</v>
      </c>
      <c r="AP284" s="11" t="s">
        <v>131</v>
      </c>
      <c r="AQ284" s="11"/>
      <c r="AR284" s="7"/>
    </row>
    <row r="285" spans="1:44" ht="14.4" x14ac:dyDescent="0.3">
      <c r="A285" s="6" t="s">
        <v>202</v>
      </c>
      <c r="B285" s="6" t="s">
        <v>1564</v>
      </c>
      <c r="C285" s="6" t="s">
        <v>1623</v>
      </c>
      <c r="D285" s="6" t="s">
        <v>1566</v>
      </c>
      <c r="E285" s="6" t="s">
        <v>1624</v>
      </c>
      <c r="F285" s="7" t="s">
        <v>125</v>
      </c>
      <c r="G285" s="10"/>
      <c r="H285" s="7" t="s">
        <v>93</v>
      </c>
      <c r="I285" s="7"/>
      <c r="J285" s="10"/>
      <c r="K285" s="6" t="s">
        <v>90</v>
      </c>
      <c r="L285" s="7"/>
      <c r="M285" s="14"/>
      <c r="N285" s="7" t="s">
        <v>93</v>
      </c>
      <c r="O285" s="10"/>
      <c r="P285" s="7" t="s">
        <v>90</v>
      </c>
      <c r="Q285" s="15">
        <f>IF(P285="oui",MIN(Parametres!$B$4,MAX(Parametres!$B$3,IF(M285="",Parametres!$B$3,ROUND(M285*10%,0)))),"")</f>
        <v>0</v>
      </c>
      <c r="R285" s="7" t="s">
        <v>134</v>
      </c>
      <c r="S285" s="7" t="s">
        <v>90</v>
      </c>
      <c r="T285" s="15">
        <f>IF(S285="oui",Parametres!$B$5,"")</f>
        <v>500</v>
      </c>
      <c r="U285" s="7" t="s">
        <v>134</v>
      </c>
      <c r="V285" s="15">
        <f t="shared" si="16"/>
        <v>500</v>
      </c>
      <c r="W285" s="15" t="str">
        <f t="shared" si="17"/>
        <v/>
      </c>
      <c r="X285" s="6" t="s">
        <v>90</v>
      </c>
      <c r="Y285" s="7" t="s">
        <v>133</v>
      </c>
      <c r="Z285" s="10"/>
      <c r="AA285" s="6" t="s">
        <v>93</v>
      </c>
      <c r="AB285" s="7" t="s">
        <v>160</v>
      </c>
      <c r="AC285" s="10"/>
      <c r="AD285" s="9" t="str">
        <f t="shared" si="18"/>
        <v>oui</v>
      </c>
      <c r="AE285" s="9" t="str">
        <f t="shared" si="19"/>
        <v>TAE manquant</v>
      </c>
      <c r="AF285" s="7"/>
      <c r="AG285" s="10"/>
      <c r="AH285" s="10"/>
      <c r="AI285" s="7" t="s">
        <v>160</v>
      </c>
      <c r="AJ285" s="10"/>
      <c r="AK285" s="10"/>
      <c r="AL285" s="10"/>
      <c r="AM285" s="11" t="s">
        <v>131</v>
      </c>
      <c r="AN285" s="11" t="s">
        <v>131</v>
      </c>
      <c r="AO285" s="11" t="s">
        <v>131</v>
      </c>
      <c r="AP285" s="11" t="s">
        <v>131</v>
      </c>
      <c r="AQ285" s="11"/>
      <c r="AR285" s="7"/>
    </row>
    <row r="286" spans="1:44" ht="14.4" x14ac:dyDescent="0.3">
      <c r="A286" s="6" t="s">
        <v>202</v>
      </c>
      <c r="B286" s="6" t="s">
        <v>1564</v>
      </c>
      <c r="C286" s="6" t="s">
        <v>1626</v>
      </c>
      <c r="D286" s="6" t="s">
        <v>1566</v>
      </c>
      <c r="E286" s="6" t="s">
        <v>1627</v>
      </c>
      <c r="F286" s="7" t="s">
        <v>125</v>
      </c>
      <c r="G286" s="10"/>
      <c r="H286" s="7" t="s">
        <v>93</v>
      </c>
      <c r="I286" s="7"/>
      <c r="J286" s="10"/>
      <c r="K286" s="6" t="s">
        <v>90</v>
      </c>
      <c r="L286" s="7"/>
      <c r="M286" s="14"/>
      <c r="N286" s="7" t="s">
        <v>93</v>
      </c>
      <c r="O286" s="10"/>
      <c r="P286" s="7" t="s">
        <v>90</v>
      </c>
      <c r="Q286" s="15">
        <f>IF(P286="oui",MIN(Parametres!$B$4,MAX(Parametres!$B$3,IF(M286="",Parametres!$B$3,ROUND(M286*10%,0)))),"")</f>
        <v>0</v>
      </c>
      <c r="R286" s="7" t="s">
        <v>134</v>
      </c>
      <c r="S286" s="7" t="s">
        <v>90</v>
      </c>
      <c r="T286" s="15">
        <f>IF(S286="oui",Parametres!$B$5,"")</f>
        <v>500</v>
      </c>
      <c r="U286" s="7" t="s">
        <v>134</v>
      </c>
      <c r="V286" s="15">
        <f t="shared" si="16"/>
        <v>500</v>
      </c>
      <c r="W286" s="15" t="str">
        <f t="shared" si="17"/>
        <v/>
      </c>
      <c r="X286" s="6" t="s">
        <v>90</v>
      </c>
      <c r="Y286" s="7" t="s">
        <v>133</v>
      </c>
      <c r="Z286" s="10"/>
      <c r="AA286" s="6" t="s">
        <v>93</v>
      </c>
      <c r="AB286" s="7" t="s">
        <v>160</v>
      </c>
      <c r="AC286" s="10"/>
      <c r="AD286" s="9" t="str">
        <f t="shared" si="18"/>
        <v>oui</v>
      </c>
      <c r="AE286" s="9" t="str">
        <f t="shared" si="19"/>
        <v>TAE manquant</v>
      </c>
      <c r="AF286" s="7"/>
      <c r="AG286" s="10"/>
      <c r="AH286" s="10"/>
      <c r="AI286" s="7" t="s">
        <v>160</v>
      </c>
      <c r="AJ286" s="10"/>
      <c r="AK286" s="10"/>
      <c r="AL286" s="10"/>
      <c r="AM286" s="11" t="s">
        <v>131</v>
      </c>
      <c r="AN286" s="11" t="s">
        <v>131</v>
      </c>
      <c r="AO286" s="11" t="s">
        <v>131</v>
      </c>
      <c r="AP286" s="11" t="s">
        <v>131</v>
      </c>
      <c r="AQ286" s="11"/>
      <c r="AR286" s="7"/>
    </row>
    <row r="287" spans="1:44" ht="14.4" x14ac:dyDescent="0.3">
      <c r="A287" s="6" t="s">
        <v>202</v>
      </c>
      <c r="B287" s="6" t="s">
        <v>1564</v>
      </c>
      <c r="C287" s="6" t="s">
        <v>1630</v>
      </c>
      <c r="D287" s="6" t="s">
        <v>1566</v>
      </c>
      <c r="E287" s="6" t="s">
        <v>1631</v>
      </c>
      <c r="F287" s="7" t="s">
        <v>125</v>
      </c>
      <c r="G287" s="10"/>
      <c r="H287" s="7" t="s">
        <v>93</v>
      </c>
      <c r="I287" s="7"/>
      <c r="J287" s="10"/>
      <c r="K287" s="6" t="s">
        <v>90</v>
      </c>
      <c r="L287" s="7"/>
      <c r="M287" s="14"/>
      <c r="N287" s="7" t="s">
        <v>93</v>
      </c>
      <c r="O287" s="10"/>
      <c r="P287" s="7" t="s">
        <v>90</v>
      </c>
      <c r="Q287" s="15">
        <f>IF(P287="oui",MIN(Parametres!$B$4,MAX(Parametres!$B$3,IF(M287="",Parametres!$B$3,ROUND(M287*10%,0)))),"")</f>
        <v>0</v>
      </c>
      <c r="R287" s="7" t="s">
        <v>134</v>
      </c>
      <c r="S287" s="7" t="s">
        <v>90</v>
      </c>
      <c r="T287" s="15">
        <f>IF(S287="oui",Parametres!$B$5,"")</f>
        <v>500</v>
      </c>
      <c r="U287" s="7" t="s">
        <v>134</v>
      </c>
      <c r="V287" s="15">
        <f t="shared" si="16"/>
        <v>500</v>
      </c>
      <c r="W287" s="15" t="str">
        <f t="shared" si="17"/>
        <v/>
      </c>
      <c r="X287" s="6" t="s">
        <v>90</v>
      </c>
      <c r="Y287" s="7" t="s">
        <v>133</v>
      </c>
      <c r="Z287" s="10"/>
      <c r="AA287" s="6" t="s">
        <v>93</v>
      </c>
      <c r="AB287" s="7" t="s">
        <v>160</v>
      </c>
      <c r="AC287" s="10"/>
      <c r="AD287" s="9" t="str">
        <f t="shared" si="18"/>
        <v>oui</v>
      </c>
      <c r="AE287" s="9" t="str">
        <f t="shared" si="19"/>
        <v>TAE manquant</v>
      </c>
      <c r="AF287" s="7"/>
      <c r="AG287" s="10"/>
      <c r="AH287" s="10"/>
      <c r="AI287" s="7" t="s">
        <v>160</v>
      </c>
      <c r="AJ287" s="10"/>
      <c r="AK287" s="10"/>
      <c r="AL287" s="10"/>
      <c r="AM287" s="11" t="s">
        <v>131</v>
      </c>
      <c r="AN287" s="11" t="s">
        <v>131</v>
      </c>
      <c r="AO287" s="11" t="s">
        <v>131</v>
      </c>
      <c r="AP287" s="11" t="s">
        <v>131</v>
      </c>
      <c r="AQ287" s="11"/>
      <c r="AR287" s="7"/>
    </row>
    <row r="288" spans="1:44" ht="14.4" x14ac:dyDescent="0.3">
      <c r="A288" s="6" t="s">
        <v>202</v>
      </c>
      <c r="B288" s="6" t="s">
        <v>1564</v>
      </c>
      <c r="C288" s="6" t="s">
        <v>1636</v>
      </c>
      <c r="D288" s="6" t="s">
        <v>1566</v>
      </c>
      <c r="E288" s="6" t="s">
        <v>1637</v>
      </c>
      <c r="F288" s="7" t="s">
        <v>125</v>
      </c>
      <c r="G288" s="10"/>
      <c r="H288" s="7" t="s">
        <v>93</v>
      </c>
      <c r="I288" s="7"/>
      <c r="J288" s="10"/>
      <c r="K288" s="6" t="s">
        <v>90</v>
      </c>
      <c r="L288" s="7"/>
      <c r="M288" s="14"/>
      <c r="N288" s="7" t="s">
        <v>93</v>
      </c>
      <c r="O288" s="10"/>
      <c r="P288" s="7" t="s">
        <v>90</v>
      </c>
      <c r="Q288" s="15">
        <f>IF(P288="oui",MIN(Parametres!$B$4,MAX(Parametres!$B$3,IF(M288="",Parametres!$B$3,ROUND(M288*10%,0)))),"")</f>
        <v>0</v>
      </c>
      <c r="R288" s="7" t="s">
        <v>134</v>
      </c>
      <c r="S288" s="7" t="s">
        <v>90</v>
      </c>
      <c r="T288" s="15">
        <f>IF(S288="oui",Parametres!$B$5,"")</f>
        <v>500</v>
      </c>
      <c r="U288" s="7" t="s">
        <v>134</v>
      </c>
      <c r="V288" s="15">
        <f t="shared" si="16"/>
        <v>500</v>
      </c>
      <c r="W288" s="15" t="str">
        <f t="shared" si="17"/>
        <v/>
      </c>
      <c r="X288" s="6" t="s">
        <v>90</v>
      </c>
      <c r="Y288" s="7" t="s">
        <v>133</v>
      </c>
      <c r="Z288" s="10"/>
      <c r="AA288" s="6" t="s">
        <v>93</v>
      </c>
      <c r="AB288" s="7" t="s">
        <v>160</v>
      </c>
      <c r="AC288" s="10"/>
      <c r="AD288" s="9" t="str">
        <f t="shared" si="18"/>
        <v>oui</v>
      </c>
      <c r="AE288" s="9" t="str">
        <f t="shared" si="19"/>
        <v>TAE manquant</v>
      </c>
      <c r="AF288" s="7"/>
      <c r="AG288" s="10"/>
      <c r="AH288" s="10"/>
      <c r="AI288" s="7" t="s">
        <v>160</v>
      </c>
      <c r="AJ288" s="10"/>
      <c r="AK288" s="10"/>
      <c r="AL288" s="10"/>
      <c r="AM288" s="11" t="s">
        <v>131</v>
      </c>
      <c r="AN288" s="11" t="s">
        <v>131</v>
      </c>
      <c r="AO288" s="11" t="s">
        <v>131</v>
      </c>
      <c r="AP288" s="11" t="s">
        <v>131</v>
      </c>
      <c r="AQ288" s="11"/>
      <c r="AR288" s="7"/>
    </row>
    <row r="289" spans="1:44" ht="14.4" x14ac:dyDescent="0.3">
      <c r="A289" s="6" t="s">
        <v>202</v>
      </c>
      <c r="B289" s="6" t="s">
        <v>1564</v>
      </c>
      <c r="C289" s="6" t="s">
        <v>1641</v>
      </c>
      <c r="D289" s="6" t="s">
        <v>1566</v>
      </c>
      <c r="E289" s="6" t="s">
        <v>1642</v>
      </c>
      <c r="F289" s="7" t="s">
        <v>125</v>
      </c>
      <c r="G289" s="10"/>
      <c r="H289" s="7" t="s">
        <v>93</v>
      </c>
      <c r="I289" s="7"/>
      <c r="J289" s="10"/>
      <c r="K289" s="6" t="s">
        <v>90</v>
      </c>
      <c r="L289" s="7"/>
      <c r="M289" s="14"/>
      <c r="N289" s="7" t="s">
        <v>93</v>
      </c>
      <c r="O289" s="10"/>
      <c r="P289" s="7" t="s">
        <v>90</v>
      </c>
      <c r="Q289" s="15">
        <f>IF(P289="oui",MIN(Parametres!$B$4,MAX(Parametres!$B$3,IF(M289="",Parametres!$B$3,ROUND(M289*10%,0)))),"")</f>
        <v>0</v>
      </c>
      <c r="R289" s="7" t="s">
        <v>134</v>
      </c>
      <c r="S289" s="7" t="s">
        <v>90</v>
      </c>
      <c r="T289" s="15">
        <f>IF(S289="oui",Parametres!$B$5,"")</f>
        <v>500</v>
      </c>
      <c r="U289" s="7" t="s">
        <v>134</v>
      </c>
      <c r="V289" s="15">
        <f t="shared" si="16"/>
        <v>500</v>
      </c>
      <c r="W289" s="15" t="str">
        <f t="shared" si="17"/>
        <v/>
      </c>
      <c r="X289" s="6" t="s">
        <v>90</v>
      </c>
      <c r="Y289" s="7" t="s">
        <v>133</v>
      </c>
      <c r="Z289" s="10"/>
      <c r="AA289" s="6" t="s">
        <v>93</v>
      </c>
      <c r="AB289" s="7" t="s">
        <v>160</v>
      </c>
      <c r="AC289" s="10"/>
      <c r="AD289" s="9" t="str">
        <f t="shared" si="18"/>
        <v>oui</v>
      </c>
      <c r="AE289" s="9" t="str">
        <f t="shared" si="19"/>
        <v>TAE manquant</v>
      </c>
      <c r="AF289" s="7"/>
      <c r="AG289" s="10"/>
      <c r="AH289" s="10"/>
      <c r="AI289" s="7" t="s">
        <v>160</v>
      </c>
      <c r="AJ289" s="10"/>
      <c r="AK289" s="10"/>
      <c r="AL289" s="10"/>
      <c r="AM289" s="11" t="s">
        <v>131</v>
      </c>
      <c r="AN289" s="11" t="s">
        <v>131</v>
      </c>
      <c r="AO289" s="11" t="s">
        <v>131</v>
      </c>
      <c r="AP289" s="11" t="s">
        <v>131</v>
      </c>
      <c r="AQ289" s="11"/>
      <c r="AR289" s="7"/>
    </row>
    <row r="290" spans="1:44" ht="14.4" x14ac:dyDescent="0.3">
      <c r="A290" s="6" t="s">
        <v>202</v>
      </c>
      <c r="B290" s="6" t="s">
        <v>1564</v>
      </c>
      <c r="C290" s="6" t="s">
        <v>1645</v>
      </c>
      <c r="D290" s="6" t="s">
        <v>1566</v>
      </c>
      <c r="E290" s="6" t="s">
        <v>1646</v>
      </c>
      <c r="F290" s="7" t="s">
        <v>125</v>
      </c>
      <c r="G290" s="10"/>
      <c r="H290" s="7" t="s">
        <v>93</v>
      </c>
      <c r="I290" s="7"/>
      <c r="J290" s="10"/>
      <c r="K290" s="6" t="s">
        <v>90</v>
      </c>
      <c r="L290" s="7"/>
      <c r="M290" s="14"/>
      <c r="N290" s="7" t="s">
        <v>93</v>
      </c>
      <c r="O290" s="10"/>
      <c r="P290" s="7" t="s">
        <v>90</v>
      </c>
      <c r="Q290" s="15">
        <f>IF(P290="oui",MIN(Parametres!$B$4,MAX(Parametres!$B$3,IF(M290="",Parametres!$B$3,ROUND(M290*10%,0)))),"")</f>
        <v>0</v>
      </c>
      <c r="R290" s="7" t="s">
        <v>134</v>
      </c>
      <c r="S290" s="7" t="s">
        <v>90</v>
      </c>
      <c r="T290" s="15">
        <f>IF(S290="oui",Parametres!$B$5,"")</f>
        <v>500</v>
      </c>
      <c r="U290" s="7" t="s">
        <v>134</v>
      </c>
      <c r="V290" s="15">
        <f t="shared" si="16"/>
        <v>500</v>
      </c>
      <c r="W290" s="15" t="str">
        <f t="shared" si="17"/>
        <v/>
      </c>
      <c r="X290" s="6" t="s">
        <v>90</v>
      </c>
      <c r="Y290" s="7" t="s">
        <v>133</v>
      </c>
      <c r="Z290" s="10"/>
      <c r="AA290" s="6" t="s">
        <v>93</v>
      </c>
      <c r="AB290" s="7" t="s">
        <v>160</v>
      </c>
      <c r="AC290" s="10"/>
      <c r="AD290" s="9" t="str">
        <f t="shared" si="18"/>
        <v>oui</v>
      </c>
      <c r="AE290" s="9" t="str">
        <f t="shared" si="19"/>
        <v>TAE manquant</v>
      </c>
      <c r="AF290" s="7"/>
      <c r="AG290" s="10"/>
      <c r="AH290" s="10"/>
      <c r="AI290" s="7" t="s">
        <v>160</v>
      </c>
      <c r="AJ290" s="10"/>
      <c r="AK290" s="10"/>
      <c r="AL290" s="10"/>
      <c r="AM290" s="11" t="s">
        <v>131</v>
      </c>
      <c r="AN290" s="11" t="s">
        <v>131</v>
      </c>
      <c r="AO290" s="11" t="s">
        <v>131</v>
      </c>
      <c r="AP290" s="11" t="s">
        <v>131</v>
      </c>
      <c r="AQ290" s="11"/>
      <c r="AR290" s="7"/>
    </row>
    <row r="291" spans="1:44" ht="14.4" x14ac:dyDescent="0.3">
      <c r="A291" s="6" t="s">
        <v>202</v>
      </c>
      <c r="B291" s="6" t="s">
        <v>1564</v>
      </c>
      <c r="C291" s="6" t="s">
        <v>1651</v>
      </c>
      <c r="D291" s="6" t="s">
        <v>1566</v>
      </c>
      <c r="E291" s="6" t="s">
        <v>1652</v>
      </c>
      <c r="F291" s="7" t="s">
        <v>125</v>
      </c>
      <c r="G291" s="10"/>
      <c r="H291" s="7" t="s">
        <v>93</v>
      </c>
      <c r="I291" s="7"/>
      <c r="J291" s="10"/>
      <c r="K291" s="6" t="s">
        <v>90</v>
      </c>
      <c r="L291" s="7"/>
      <c r="M291" s="14"/>
      <c r="N291" s="7" t="s">
        <v>93</v>
      </c>
      <c r="O291" s="10"/>
      <c r="P291" s="7" t="s">
        <v>90</v>
      </c>
      <c r="Q291" s="15">
        <f>IF(P291="oui",MIN(Parametres!$B$4,MAX(Parametres!$B$3,IF(M291="",Parametres!$B$3,ROUND(M291*10%,0)))),"")</f>
        <v>0</v>
      </c>
      <c r="R291" s="7" t="s">
        <v>134</v>
      </c>
      <c r="S291" s="7" t="s">
        <v>90</v>
      </c>
      <c r="T291" s="15">
        <f>IF(S291="oui",Parametres!$B$5,"")</f>
        <v>500</v>
      </c>
      <c r="U291" s="7" t="s">
        <v>134</v>
      </c>
      <c r="V291" s="15">
        <f t="shared" si="16"/>
        <v>500</v>
      </c>
      <c r="W291" s="15" t="str">
        <f t="shared" si="17"/>
        <v/>
      </c>
      <c r="X291" s="6" t="s">
        <v>90</v>
      </c>
      <c r="Y291" s="7" t="s">
        <v>133</v>
      </c>
      <c r="Z291" s="10"/>
      <c r="AA291" s="6" t="s">
        <v>93</v>
      </c>
      <c r="AB291" s="7" t="s">
        <v>160</v>
      </c>
      <c r="AC291" s="10"/>
      <c r="AD291" s="9" t="str">
        <f t="shared" si="18"/>
        <v>oui</v>
      </c>
      <c r="AE291" s="9" t="str">
        <f t="shared" si="19"/>
        <v>TAE manquant</v>
      </c>
      <c r="AF291" s="7"/>
      <c r="AG291" s="10"/>
      <c r="AH291" s="10"/>
      <c r="AI291" s="7" t="s">
        <v>160</v>
      </c>
      <c r="AJ291" s="10"/>
      <c r="AK291" s="10"/>
      <c r="AL291" s="10"/>
      <c r="AM291" s="11" t="s">
        <v>131</v>
      </c>
      <c r="AN291" s="11" t="s">
        <v>131</v>
      </c>
      <c r="AO291" s="11" t="s">
        <v>131</v>
      </c>
      <c r="AP291" s="11" t="s">
        <v>131</v>
      </c>
      <c r="AQ291" s="11"/>
      <c r="AR291" s="7"/>
    </row>
    <row r="292" spans="1:44" ht="14.4" x14ac:dyDescent="0.3">
      <c r="A292" s="6" t="s">
        <v>202</v>
      </c>
      <c r="B292" s="6" t="s">
        <v>1564</v>
      </c>
      <c r="C292" s="6" t="s">
        <v>1655</v>
      </c>
      <c r="D292" s="6" t="s">
        <v>1566</v>
      </c>
      <c r="E292" s="6" t="s">
        <v>1656</v>
      </c>
      <c r="F292" s="7" t="s">
        <v>125</v>
      </c>
      <c r="G292" s="10"/>
      <c r="H292" s="7" t="s">
        <v>93</v>
      </c>
      <c r="I292" s="7"/>
      <c r="J292" s="10"/>
      <c r="K292" s="6" t="s">
        <v>90</v>
      </c>
      <c r="L292" s="7"/>
      <c r="M292" s="14"/>
      <c r="N292" s="7" t="s">
        <v>93</v>
      </c>
      <c r="O292" s="10"/>
      <c r="P292" s="7" t="s">
        <v>90</v>
      </c>
      <c r="Q292" s="15">
        <f>IF(P292="oui",MIN(Parametres!$B$4,MAX(Parametres!$B$3,IF(M292="",Parametres!$B$3,ROUND(M292*10%,0)))),"")</f>
        <v>0</v>
      </c>
      <c r="R292" s="7" t="s">
        <v>134</v>
      </c>
      <c r="S292" s="7" t="s">
        <v>90</v>
      </c>
      <c r="T292" s="15">
        <f>IF(S292="oui",Parametres!$B$5,"")</f>
        <v>500</v>
      </c>
      <c r="U292" s="7" t="s">
        <v>134</v>
      </c>
      <c r="V292" s="15">
        <f t="shared" si="16"/>
        <v>500</v>
      </c>
      <c r="W292" s="15" t="str">
        <f t="shared" si="17"/>
        <v/>
      </c>
      <c r="X292" s="6" t="s">
        <v>90</v>
      </c>
      <c r="Y292" s="7" t="s">
        <v>133</v>
      </c>
      <c r="Z292" s="10"/>
      <c r="AA292" s="6" t="s">
        <v>93</v>
      </c>
      <c r="AB292" s="7" t="s">
        <v>160</v>
      </c>
      <c r="AC292" s="10"/>
      <c r="AD292" s="9" t="str">
        <f t="shared" si="18"/>
        <v>oui</v>
      </c>
      <c r="AE292" s="9" t="str">
        <f t="shared" si="19"/>
        <v>TAE manquant</v>
      </c>
      <c r="AF292" s="7"/>
      <c r="AG292" s="10"/>
      <c r="AH292" s="10"/>
      <c r="AI292" s="7" t="s">
        <v>160</v>
      </c>
      <c r="AJ292" s="10"/>
      <c r="AK292" s="10"/>
      <c r="AL292" s="10"/>
      <c r="AM292" s="11" t="s">
        <v>131</v>
      </c>
      <c r="AN292" s="11" t="s">
        <v>131</v>
      </c>
      <c r="AO292" s="11" t="s">
        <v>131</v>
      </c>
      <c r="AP292" s="11" t="s">
        <v>131</v>
      </c>
      <c r="AQ292" s="11"/>
      <c r="AR292" s="7"/>
    </row>
    <row r="293" spans="1:44" ht="14.4" x14ac:dyDescent="0.3">
      <c r="A293" s="6" t="s">
        <v>202</v>
      </c>
      <c r="B293" s="6" t="s">
        <v>1564</v>
      </c>
      <c r="C293" s="6" t="s">
        <v>1659</v>
      </c>
      <c r="D293" s="6" t="s">
        <v>1566</v>
      </c>
      <c r="E293" s="6" t="s">
        <v>1660</v>
      </c>
      <c r="F293" s="7" t="s">
        <v>125</v>
      </c>
      <c r="G293" s="10"/>
      <c r="H293" s="7" t="s">
        <v>93</v>
      </c>
      <c r="I293" s="7"/>
      <c r="J293" s="10"/>
      <c r="K293" s="6" t="s">
        <v>90</v>
      </c>
      <c r="L293" s="7"/>
      <c r="M293" s="14"/>
      <c r="N293" s="7" t="s">
        <v>93</v>
      </c>
      <c r="O293" s="10"/>
      <c r="P293" s="7" t="s">
        <v>90</v>
      </c>
      <c r="Q293" s="15">
        <f>IF(P293="oui",MIN(Parametres!$B$4,MAX(Parametres!$B$3,IF(M293="",Parametres!$B$3,ROUND(M293*10%,0)))),"")</f>
        <v>0</v>
      </c>
      <c r="R293" s="7" t="s">
        <v>134</v>
      </c>
      <c r="S293" s="7" t="s">
        <v>90</v>
      </c>
      <c r="T293" s="15">
        <f>IF(S293="oui",Parametres!$B$5,"")</f>
        <v>500</v>
      </c>
      <c r="U293" s="7" t="s">
        <v>134</v>
      </c>
      <c r="V293" s="15">
        <f t="shared" si="16"/>
        <v>500</v>
      </c>
      <c r="W293" s="15" t="str">
        <f t="shared" si="17"/>
        <v/>
      </c>
      <c r="X293" s="6" t="s">
        <v>90</v>
      </c>
      <c r="Y293" s="7" t="s">
        <v>133</v>
      </c>
      <c r="Z293" s="10"/>
      <c r="AA293" s="6" t="s">
        <v>93</v>
      </c>
      <c r="AB293" s="7" t="s">
        <v>160</v>
      </c>
      <c r="AC293" s="10"/>
      <c r="AD293" s="9" t="str">
        <f t="shared" si="18"/>
        <v>oui</v>
      </c>
      <c r="AE293" s="9" t="str">
        <f t="shared" si="19"/>
        <v>TAE manquant</v>
      </c>
      <c r="AF293" s="7"/>
      <c r="AG293" s="10"/>
      <c r="AH293" s="10"/>
      <c r="AI293" s="7" t="s">
        <v>160</v>
      </c>
      <c r="AJ293" s="10"/>
      <c r="AK293" s="10"/>
      <c r="AL293" s="10"/>
      <c r="AM293" s="11" t="s">
        <v>131</v>
      </c>
      <c r="AN293" s="11" t="s">
        <v>131</v>
      </c>
      <c r="AO293" s="11" t="s">
        <v>131</v>
      </c>
      <c r="AP293" s="11" t="s">
        <v>131</v>
      </c>
      <c r="AQ293" s="11"/>
      <c r="AR293" s="7"/>
    </row>
    <row r="294" spans="1:44" ht="14.4" x14ac:dyDescent="0.3">
      <c r="A294" s="6" t="s">
        <v>202</v>
      </c>
      <c r="B294" s="6" t="s">
        <v>1564</v>
      </c>
      <c r="C294" s="6" t="s">
        <v>1665</v>
      </c>
      <c r="D294" s="6" t="s">
        <v>1566</v>
      </c>
      <c r="E294" s="6" t="s">
        <v>1666</v>
      </c>
      <c r="F294" s="7" t="s">
        <v>125</v>
      </c>
      <c r="G294" s="10"/>
      <c r="H294" s="7" t="s">
        <v>93</v>
      </c>
      <c r="I294" s="7"/>
      <c r="J294" s="10"/>
      <c r="K294" s="6" t="s">
        <v>90</v>
      </c>
      <c r="L294" s="7"/>
      <c r="M294" s="14"/>
      <c r="N294" s="7" t="s">
        <v>93</v>
      </c>
      <c r="O294" s="10"/>
      <c r="P294" s="7" t="s">
        <v>90</v>
      </c>
      <c r="Q294" s="15">
        <f>IF(P294="oui",MIN(Parametres!$B$4,MAX(Parametres!$B$3,IF(M294="",Parametres!$B$3,ROUND(M294*10%,0)))),"")</f>
        <v>0</v>
      </c>
      <c r="R294" s="7" t="s">
        <v>134</v>
      </c>
      <c r="S294" s="7" t="s">
        <v>90</v>
      </c>
      <c r="T294" s="15">
        <f>IF(S294="oui",Parametres!$B$5,"")</f>
        <v>500</v>
      </c>
      <c r="U294" s="7" t="s">
        <v>134</v>
      </c>
      <c r="V294" s="15">
        <f t="shared" si="16"/>
        <v>500</v>
      </c>
      <c r="W294" s="15" t="str">
        <f t="shared" si="17"/>
        <v/>
      </c>
      <c r="X294" s="6" t="s">
        <v>90</v>
      </c>
      <c r="Y294" s="7" t="s">
        <v>133</v>
      </c>
      <c r="Z294" s="10"/>
      <c r="AA294" s="6" t="s">
        <v>93</v>
      </c>
      <c r="AB294" s="7" t="s">
        <v>160</v>
      </c>
      <c r="AC294" s="10"/>
      <c r="AD294" s="9" t="str">
        <f t="shared" si="18"/>
        <v>oui</v>
      </c>
      <c r="AE294" s="9" t="str">
        <f t="shared" si="19"/>
        <v>TAE manquant</v>
      </c>
      <c r="AF294" s="7"/>
      <c r="AG294" s="10"/>
      <c r="AH294" s="10"/>
      <c r="AI294" s="7" t="s">
        <v>160</v>
      </c>
      <c r="AJ294" s="10"/>
      <c r="AK294" s="10"/>
      <c r="AL294" s="10"/>
      <c r="AM294" s="11" t="s">
        <v>131</v>
      </c>
      <c r="AN294" s="11" t="s">
        <v>131</v>
      </c>
      <c r="AO294" s="11" t="s">
        <v>131</v>
      </c>
      <c r="AP294" s="11" t="s">
        <v>131</v>
      </c>
      <c r="AQ294" s="11"/>
      <c r="AR294" s="7"/>
    </row>
    <row r="295" spans="1:44" ht="14.4" x14ac:dyDescent="0.3">
      <c r="A295" s="6" t="s">
        <v>202</v>
      </c>
      <c r="B295" s="6" t="s">
        <v>1564</v>
      </c>
      <c r="C295" s="6" t="s">
        <v>1670</v>
      </c>
      <c r="D295" s="6" t="s">
        <v>1566</v>
      </c>
      <c r="E295" s="6" t="s">
        <v>1671</v>
      </c>
      <c r="F295" s="7" t="s">
        <v>125</v>
      </c>
      <c r="G295" s="10"/>
      <c r="H295" s="7" t="s">
        <v>93</v>
      </c>
      <c r="I295" s="7"/>
      <c r="J295" s="10"/>
      <c r="K295" s="6" t="s">
        <v>90</v>
      </c>
      <c r="L295" s="7"/>
      <c r="M295" s="14"/>
      <c r="N295" s="7" t="s">
        <v>93</v>
      </c>
      <c r="O295" s="10"/>
      <c r="P295" s="7" t="s">
        <v>90</v>
      </c>
      <c r="Q295" s="15">
        <f>IF(P295="oui",MIN(Parametres!$B$4,MAX(Parametres!$B$3,IF(M295="",Parametres!$B$3,ROUND(M295*10%,0)))),"")</f>
        <v>0</v>
      </c>
      <c r="R295" s="7" t="s">
        <v>134</v>
      </c>
      <c r="S295" s="7" t="s">
        <v>90</v>
      </c>
      <c r="T295" s="15">
        <f>IF(S295="oui",Parametres!$B$5,"")</f>
        <v>500</v>
      </c>
      <c r="U295" s="7" t="s">
        <v>134</v>
      </c>
      <c r="V295" s="15">
        <f t="shared" si="16"/>
        <v>500</v>
      </c>
      <c r="W295" s="15" t="str">
        <f t="shared" si="17"/>
        <v/>
      </c>
      <c r="X295" s="6" t="s">
        <v>90</v>
      </c>
      <c r="Y295" s="7" t="s">
        <v>133</v>
      </c>
      <c r="Z295" s="10"/>
      <c r="AA295" s="6" t="s">
        <v>93</v>
      </c>
      <c r="AB295" s="7" t="s">
        <v>160</v>
      </c>
      <c r="AC295" s="10"/>
      <c r="AD295" s="9" t="str">
        <f t="shared" si="18"/>
        <v>oui</v>
      </c>
      <c r="AE295" s="9" t="str">
        <f t="shared" si="19"/>
        <v>TAE manquant</v>
      </c>
      <c r="AF295" s="7"/>
      <c r="AG295" s="10"/>
      <c r="AH295" s="10"/>
      <c r="AI295" s="7" t="s">
        <v>160</v>
      </c>
      <c r="AJ295" s="10"/>
      <c r="AK295" s="10"/>
      <c r="AL295" s="10"/>
      <c r="AM295" s="11" t="s">
        <v>131</v>
      </c>
      <c r="AN295" s="11" t="s">
        <v>131</v>
      </c>
      <c r="AO295" s="11" t="s">
        <v>131</v>
      </c>
      <c r="AP295" s="11" t="s">
        <v>131</v>
      </c>
      <c r="AQ295" s="11"/>
      <c r="AR295" s="7"/>
    </row>
    <row r="296" spans="1:44" ht="14.4" x14ac:dyDescent="0.3">
      <c r="A296" s="6" t="s">
        <v>202</v>
      </c>
      <c r="B296" s="6" t="s">
        <v>1564</v>
      </c>
      <c r="C296" s="6" t="s">
        <v>1675</v>
      </c>
      <c r="D296" s="6" t="s">
        <v>1566</v>
      </c>
      <c r="E296" s="6" t="s">
        <v>1676</v>
      </c>
      <c r="F296" s="7" t="s">
        <v>125</v>
      </c>
      <c r="G296" s="10"/>
      <c r="H296" s="7" t="s">
        <v>93</v>
      </c>
      <c r="I296" s="7"/>
      <c r="J296" s="10"/>
      <c r="K296" s="6" t="s">
        <v>90</v>
      </c>
      <c r="L296" s="7"/>
      <c r="M296" s="14"/>
      <c r="N296" s="7" t="s">
        <v>93</v>
      </c>
      <c r="O296" s="10"/>
      <c r="P296" s="7" t="s">
        <v>90</v>
      </c>
      <c r="Q296" s="15">
        <f>IF(P296="oui",MIN(Parametres!$B$4,MAX(Parametres!$B$3,IF(M296="",Parametres!$B$3,ROUND(M296*10%,0)))),"")</f>
        <v>0</v>
      </c>
      <c r="R296" s="7" t="s">
        <v>134</v>
      </c>
      <c r="S296" s="7" t="s">
        <v>90</v>
      </c>
      <c r="T296" s="15">
        <f>IF(S296="oui",Parametres!$B$5,"")</f>
        <v>500</v>
      </c>
      <c r="U296" s="7" t="s">
        <v>134</v>
      </c>
      <c r="V296" s="15">
        <f t="shared" si="16"/>
        <v>500</v>
      </c>
      <c r="W296" s="15" t="str">
        <f t="shared" si="17"/>
        <v/>
      </c>
      <c r="X296" s="6" t="s">
        <v>90</v>
      </c>
      <c r="Y296" s="7" t="s">
        <v>133</v>
      </c>
      <c r="Z296" s="10"/>
      <c r="AA296" s="6" t="s">
        <v>93</v>
      </c>
      <c r="AB296" s="7" t="s">
        <v>160</v>
      </c>
      <c r="AC296" s="10"/>
      <c r="AD296" s="9" t="str">
        <f t="shared" si="18"/>
        <v>oui</v>
      </c>
      <c r="AE296" s="9" t="str">
        <f t="shared" si="19"/>
        <v>TAE manquant</v>
      </c>
      <c r="AF296" s="7"/>
      <c r="AG296" s="10"/>
      <c r="AH296" s="10"/>
      <c r="AI296" s="7" t="s">
        <v>160</v>
      </c>
      <c r="AJ296" s="10"/>
      <c r="AK296" s="10"/>
      <c r="AL296" s="10"/>
      <c r="AM296" s="11" t="s">
        <v>131</v>
      </c>
      <c r="AN296" s="11" t="s">
        <v>131</v>
      </c>
      <c r="AO296" s="11" t="s">
        <v>131</v>
      </c>
      <c r="AP296" s="11" t="s">
        <v>131</v>
      </c>
      <c r="AQ296" s="11"/>
      <c r="AR296" s="7"/>
    </row>
    <row r="297" spans="1:44" ht="14.4" x14ac:dyDescent="0.3">
      <c r="A297" s="6" t="s">
        <v>202</v>
      </c>
      <c r="B297" s="6" t="s">
        <v>1564</v>
      </c>
      <c r="C297" s="6" t="s">
        <v>1681</v>
      </c>
      <c r="D297" s="6" t="s">
        <v>1566</v>
      </c>
      <c r="E297" s="6" t="s">
        <v>1682</v>
      </c>
      <c r="F297" s="7" t="s">
        <v>125</v>
      </c>
      <c r="G297" s="10"/>
      <c r="H297" s="7" t="s">
        <v>93</v>
      </c>
      <c r="I297" s="7"/>
      <c r="J297" s="10"/>
      <c r="K297" s="6" t="s">
        <v>90</v>
      </c>
      <c r="L297" s="7"/>
      <c r="M297" s="14"/>
      <c r="N297" s="7" t="s">
        <v>93</v>
      </c>
      <c r="O297" s="10"/>
      <c r="P297" s="7" t="s">
        <v>90</v>
      </c>
      <c r="Q297" s="15">
        <f>IF(P297="oui",MIN(Parametres!$B$4,MAX(Parametres!$B$3,IF(M297="",Parametres!$B$3,ROUND(M297*10%,0)))),"")</f>
        <v>0</v>
      </c>
      <c r="R297" s="7" t="s">
        <v>134</v>
      </c>
      <c r="S297" s="7" t="s">
        <v>90</v>
      </c>
      <c r="T297" s="15">
        <f>IF(S297="oui",Parametres!$B$5,"")</f>
        <v>500</v>
      </c>
      <c r="U297" s="7" t="s">
        <v>134</v>
      </c>
      <c r="V297" s="15">
        <f t="shared" si="16"/>
        <v>500</v>
      </c>
      <c r="W297" s="15" t="str">
        <f t="shared" si="17"/>
        <v/>
      </c>
      <c r="X297" s="6" t="s">
        <v>90</v>
      </c>
      <c r="Y297" s="7" t="s">
        <v>133</v>
      </c>
      <c r="Z297" s="10"/>
      <c r="AA297" s="6" t="s">
        <v>93</v>
      </c>
      <c r="AB297" s="7" t="s">
        <v>160</v>
      </c>
      <c r="AC297" s="10"/>
      <c r="AD297" s="9" t="str">
        <f t="shared" si="18"/>
        <v>oui</v>
      </c>
      <c r="AE297" s="9" t="str">
        <f t="shared" si="19"/>
        <v>TAE manquant</v>
      </c>
      <c r="AF297" s="7"/>
      <c r="AG297" s="10"/>
      <c r="AH297" s="10"/>
      <c r="AI297" s="7" t="s">
        <v>160</v>
      </c>
      <c r="AJ297" s="10"/>
      <c r="AK297" s="10"/>
      <c r="AL297" s="10"/>
      <c r="AM297" s="11" t="s">
        <v>131</v>
      </c>
      <c r="AN297" s="11" t="s">
        <v>131</v>
      </c>
      <c r="AO297" s="11" t="s">
        <v>131</v>
      </c>
      <c r="AP297" s="11" t="s">
        <v>131</v>
      </c>
      <c r="AQ297" s="11"/>
      <c r="AR297" s="7"/>
    </row>
    <row r="298" spans="1:44" ht="14.4" x14ac:dyDescent="0.3">
      <c r="A298" s="6" t="s">
        <v>202</v>
      </c>
      <c r="B298" s="6" t="s">
        <v>1564</v>
      </c>
      <c r="C298" s="6" t="s">
        <v>1686</v>
      </c>
      <c r="D298" s="6" t="s">
        <v>1566</v>
      </c>
      <c r="E298" s="6" t="s">
        <v>1687</v>
      </c>
      <c r="F298" s="7" t="s">
        <v>125</v>
      </c>
      <c r="G298" s="10"/>
      <c r="H298" s="7" t="s">
        <v>93</v>
      </c>
      <c r="I298" s="7"/>
      <c r="J298" s="10"/>
      <c r="K298" s="6" t="s">
        <v>90</v>
      </c>
      <c r="L298" s="7"/>
      <c r="M298" s="14"/>
      <c r="N298" s="7" t="s">
        <v>93</v>
      </c>
      <c r="O298" s="10"/>
      <c r="P298" s="7" t="s">
        <v>90</v>
      </c>
      <c r="Q298" s="15">
        <f>IF(P298="oui",MIN(Parametres!$B$4,MAX(Parametres!$B$3,IF(M298="",Parametres!$B$3,ROUND(M298*10%,0)))),"")</f>
        <v>0</v>
      </c>
      <c r="R298" s="7" t="s">
        <v>134</v>
      </c>
      <c r="S298" s="7" t="s">
        <v>90</v>
      </c>
      <c r="T298" s="15">
        <f>IF(S298="oui",Parametres!$B$5,"")</f>
        <v>500</v>
      </c>
      <c r="U298" s="7" t="s">
        <v>134</v>
      </c>
      <c r="V298" s="15">
        <f t="shared" si="16"/>
        <v>500</v>
      </c>
      <c r="W298" s="15" t="str">
        <f t="shared" si="17"/>
        <v/>
      </c>
      <c r="X298" s="6" t="s">
        <v>90</v>
      </c>
      <c r="Y298" s="7" t="s">
        <v>133</v>
      </c>
      <c r="Z298" s="10"/>
      <c r="AA298" s="6" t="s">
        <v>93</v>
      </c>
      <c r="AB298" s="7" t="s">
        <v>160</v>
      </c>
      <c r="AC298" s="10"/>
      <c r="AD298" s="9" t="str">
        <f t="shared" si="18"/>
        <v>oui</v>
      </c>
      <c r="AE298" s="9" t="str">
        <f t="shared" si="19"/>
        <v>TAE manquant</v>
      </c>
      <c r="AF298" s="7"/>
      <c r="AG298" s="10"/>
      <c r="AH298" s="10"/>
      <c r="AI298" s="7" t="s">
        <v>160</v>
      </c>
      <c r="AJ298" s="10"/>
      <c r="AK298" s="10"/>
      <c r="AL298" s="10"/>
      <c r="AM298" s="11" t="s">
        <v>131</v>
      </c>
      <c r="AN298" s="11" t="s">
        <v>131</v>
      </c>
      <c r="AO298" s="11" t="s">
        <v>131</v>
      </c>
      <c r="AP298" s="11" t="s">
        <v>131</v>
      </c>
      <c r="AQ298" s="11"/>
      <c r="AR298" s="7"/>
    </row>
    <row r="299" spans="1:44" ht="14.4" x14ac:dyDescent="0.3">
      <c r="A299" s="6" t="s">
        <v>202</v>
      </c>
      <c r="B299" s="6" t="s">
        <v>1564</v>
      </c>
      <c r="C299" s="6" t="s">
        <v>1692</v>
      </c>
      <c r="D299" s="6" t="s">
        <v>1566</v>
      </c>
      <c r="E299" s="6" t="s">
        <v>1693</v>
      </c>
      <c r="F299" s="7" t="s">
        <v>125</v>
      </c>
      <c r="G299" s="10"/>
      <c r="H299" s="7" t="s">
        <v>93</v>
      </c>
      <c r="I299" s="7"/>
      <c r="J299" s="10"/>
      <c r="K299" s="6" t="s">
        <v>90</v>
      </c>
      <c r="L299" s="7"/>
      <c r="M299" s="14"/>
      <c r="N299" s="7" t="s">
        <v>93</v>
      </c>
      <c r="O299" s="10"/>
      <c r="P299" s="7" t="s">
        <v>90</v>
      </c>
      <c r="Q299" s="15">
        <f>IF(P299="oui",MIN(Parametres!$B$4,MAX(Parametres!$B$3,IF(M299="",Parametres!$B$3,ROUND(M299*10%,0)))),"")</f>
        <v>0</v>
      </c>
      <c r="R299" s="7" t="s">
        <v>134</v>
      </c>
      <c r="S299" s="7" t="s">
        <v>90</v>
      </c>
      <c r="T299" s="15">
        <f>IF(S299="oui",Parametres!$B$5,"")</f>
        <v>500</v>
      </c>
      <c r="U299" s="7" t="s">
        <v>134</v>
      </c>
      <c r="V299" s="15">
        <f t="shared" si="16"/>
        <v>500</v>
      </c>
      <c r="W299" s="15" t="str">
        <f t="shared" si="17"/>
        <v/>
      </c>
      <c r="X299" s="6" t="s">
        <v>90</v>
      </c>
      <c r="Y299" s="7" t="s">
        <v>133</v>
      </c>
      <c r="Z299" s="10"/>
      <c r="AA299" s="6" t="s">
        <v>93</v>
      </c>
      <c r="AB299" s="7" t="s">
        <v>160</v>
      </c>
      <c r="AC299" s="10"/>
      <c r="AD299" s="9" t="str">
        <f t="shared" si="18"/>
        <v>oui</v>
      </c>
      <c r="AE299" s="9" t="str">
        <f t="shared" si="19"/>
        <v>TAE manquant</v>
      </c>
      <c r="AF299" s="7"/>
      <c r="AG299" s="10"/>
      <c r="AH299" s="10"/>
      <c r="AI299" s="7" t="s">
        <v>160</v>
      </c>
      <c r="AJ299" s="10"/>
      <c r="AK299" s="10"/>
      <c r="AL299" s="10"/>
      <c r="AM299" s="11" t="s">
        <v>131</v>
      </c>
      <c r="AN299" s="11" t="s">
        <v>131</v>
      </c>
      <c r="AO299" s="11" t="s">
        <v>131</v>
      </c>
      <c r="AP299" s="11" t="s">
        <v>131</v>
      </c>
      <c r="AQ299" s="11"/>
      <c r="AR299" s="7"/>
    </row>
    <row r="300" spans="1:44" ht="14.4" x14ac:dyDescent="0.3">
      <c r="A300" s="6" t="s">
        <v>202</v>
      </c>
      <c r="B300" s="6" t="s">
        <v>1564</v>
      </c>
      <c r="C300" s="6" t="s">
        <v>1697</v>
      </c>
      <c r="D300" s="6" t="s">
        <v>1566</v>
      </c>
      <c r="E300" s="6" t="s">
        <v>1698</v>
      </c>
      <c r="F300" s="7" t="s">
        <v>125</v>
      </c>
      <c r="G300" s="10"/>
      <c r="H300" s="7" t="s">
        <v>93</v>
      </c>
      <c r="I300" s="7"/>
      <c r="J300" s="10"/>
      <c r="K300" s="6" t="s">
        <v>90</v>
      </c>
      <c r="L300" s="7"/>
      <c r="M300" s="14"/>
      <c r="N300" s="7" t="s">
        <v>93</v>
      </c>
      <c r="O300" s="10"/>
      <c r="P300" s="7" t="s">
        <v>90</v>
      </c>
      <c r="Q300" s="15">
        <f>IF(P300="oui",MIN(Parametres!$B$4,MAX(Parametres!$B$3,IF(M300="",Parametres!$B$3,ROUND(M300*10%,0)))),"")</f>
        <v>0</v>
      </c>
      <c r="R300" s="7" t="s">
        <v>134</v>
      </c>
      <c r="S300" s="7" t="s">
        <v>90</v>
      </c>
      <c r="T300" s="15">
        <f>IF(S300="oui",Parametres!$B$5,"")</f>
        <v>500</v>
      </c>
      <c r="U300" s="7" t="s">
        <v>134</v>
      </c>
      <c r="V300" s="15">
        <f t="shared" si="16"/>
        <v>500</v>
      </c>
      <c r="W300" s="15" t="str">
        <f t="shared" si="17"/>
        <v/>
      </c>
      <c r="X300" s="6" t="s">
        <v>90</v>
      </c>
      <c r="Y300" s="7" t="s">
        <v>133</v>
      </c>
      <c r="Z300" s="10"/>
      <c r="AA300" s="6" t="s">
        <v>93</v>
      </c>
      <c r="AB300" s="7" t="s">
        <v>160</v>
      </c>
      <c r="AC300" s="10"/>
      <c r="AD300" s="9" t="str">
        <f t="shared" si="18"/>
        <v>oui</v>
      </c>
      <c r="AE300" s="9" t="str">
        <f t="shared" si="19"/>
        <v>TAE manquant</v>
      </c>
      <c r="AF300" s="7"/>
      <c r="AG300" s="10"/>
      <c r="AH300" s="10"/>
      <c r="AI300" s="7" t="s">
        <v>160</v>
      </c>
      <c r="AJ300" s="10"/>
      <c r="AK300" s="10"/>
      <c r="AL300" s="10"/>
      <c r="AM300" s="11" t="s">
        <v>131</v>
      </c>
      <c r="AN300" s="11" t="s">
        <v>131</v>
      </c>
      <c r="AO300" s="11" t="s">
        <v>131</v>
      </c>
      <c r="AP300" s="11" t="s">
        <v>131</v>
      </c>
      <c r="AQ300" s="11"/>
      <c r="AR300" s="7"/>
    </row>
    <row r="301" spans="1:44" ht="14.4" x14ac:dyDescent="0.3">
      <c r="A301" s="6" t="s">
        <v>202</v>
      </c>
      <c r="B301" s="6" t="s">
        <v>1564</v>
      </c>
      <c r="C301" s="6" t="s">
        <v>1700</v>
      </c>
      <c r="D301" s="6" t="s">
        <v>1566</v>
      </c>
      <c r="E301" s="6" t="s">
        <v>1701</v>
      </c>
      <c r="F301" s="7" t="s">
        <v>125</v>
      </c>
      <c r="G301" s="10"/>
      <c r="H301" s="7" t="s">
        <v>93</v>
      </c>
      <c r="I301" s="7"/>
      <c r="J301" s="10"/>
      <c r="K301" s="6" t="s">
        <v>90</v>
      </c>
      <c r="L301" s="7"/>
      <c r="M301" s="14"/>
      <c r="N301" s="7" t="s">
        <v>93</v>
      </c>
      <c r="O301" s="10"/>
      <c r="P301" s="7" t="s">
        <v>90</v>
      </c>
      <c r="Q301" s="15">
        <f>IF(P301="oui",MIN(Parametres!$B$4,MAX(Parametres!$B$3,IF(M301="",Parametres!$B$3,ROUND(M301*10%,0)))),"")</f>
        <v>0</v>
      </c>
      <c r="R301" s="7" t="s">
        <v>134</v>
      </c>
      <c r="S301" s="7" t="s">
        <v>90</v>
      </c>
      <c r="T301" s="15">
        <f>IF(S301="oui",Parametres!$B$5,"")</f>
        <v>500</v>
      </c>
      <c r="U301" s="7" t="s">
        <v>134</v>
      </c>
      <c r="V301" s="15">
        <f t="shared" si="16"/>
        <v>500</v>
      </c>
      <c r="W301" s="15" t="str">
        <f t="shared" si="17"/>
        <v/>
      </c>
      <c r="X301" s="6" t="s">
        <v>90</v>
      </c>
      <c r="Y301" s="7" t="s">
        <v>133</v>
      </c>
      <c r="Z301" s="10"/>
      <c r="AA301" s="6" t="s">
        <v>93</v>
      </c>
      <c r="AB301" s="7" t="s">
        <v>160</v>
      </c>
      <c r="AC301" s="10"/>
      <c r="AD301" s="9" t="str">
        <f t="shared" si="18"/>
        <v>oui</v>
      </c>
      <c r="AE301" s="9" t="str">
        <f t="shared" si="19"/>
        <v>TAE manquant</v>
      </c>
      <c r="AF301" s="7"/>
      <c r="AG301" s="10"/>
      <c r="AH301" s="10"/>
      <c r="AI301" s="7" t="s">
        <v>160</v>
      </c>
      <c r="AJ301" s="10"/>
      <c r="AK301" s="10"/>
      <c r="AL301" s="10"/>
      <c r="AM301" s="11" t="s">
        <v>131</v>
      </c>
      <c r="AN301" s="11" t="s">
        <v>131</v>
      </c>
      <c r="AO301" s="11" t="s">
        <v>131</v>
      </c>
      <c r="AP301" s="11" t="s">
        <v>131</v>
      </c>
      <c r="AQ301" s="11"/>
      <c r="AR301" s="7"/>
    </row>
    <row r="302" spans="1:44" ht="14.4" x14ac:dyDescent="0.3">
      <c r="A302" s="6" t="s">
        <v>202</v>
      </c>
      <c r="B302" s="6" t="s">
        <v>1564</v>
      </c>
      <c r="C302" s="6" t="s">
        <v>1703</v>
      </c>
      <c r="D302" s="6" t="s">
        <v>1566</v>
      </c>
      <c r="E302" s="6" t="s">
        <v>1704</v>
      </c>
      <c r="F302" s="7" t="s">
        <v>125</v>
      </c>
      <c r="G302" s="10"/>
      <c r="H302" s="7" t="s">
        <v>93</v>
      </c>
      <c r="I302" s="7"/>
      <c r="J302" s="10"/>
      <c r="K302" s="6" t="s">
        <v>90</v>
      </c>
      <c r="L302" s="7"/>
      <c r="M302" s="14"/>
      <c r="N302" s="7" t="s">
        <v>93</v>
      </c>
      <c r="O302" s="10"/>
      <c r="P302" s="7" t="s">
        <v>90</v>
      </c>
      <c r="Q302" s="15">
        <f>IF(P302="oui",MIN(Parametres!$B$4,MAX(Parametres!$B$3,IF(M302="",Parametres!$B$3,ROUND(M302*10%,0)))),"")</f>
        <v>0</v>
      </c>
      <c r="R302" s="7" t="s">
        <v>134</v>
      </c>
      <c r="S302" s="7" t="s">
        <v>90</v>
      </c>
      <c r="T302" s="15">
        <f>IF(S302="oui",Parametres!$B$5,"")</f>
        <v>500</v>
      </c>
      <c r="U302" s="7" t="s">
        <v>134</v>
      </c>
      <c r="V302" s="15">
        <f t="shared" si="16"/>
        <v>500</v>
      </c>
      <c r="W302" s="15" t="str">
        <f t="shared" si="17"/>
        <v/>
      </c>
      <c r="X302" s="6" t="s">
        <v>90</v>
      </c>
      <c r="Y302" s="7" t="s">
        <v>133</v>
      </c>
      <c r="Z302" s="10"/>
      <c r="AA302" s="6" t="s">
        <v>93</v>
      </c>
      <c r="AB302" s="7" t="s">
        <v>160</v>
      </c>
      <c r="AC302" s="10"/>
      <c r="AD302" s="9" t="str">
        <f t="shared" si="18"/>
        <v>oui</v>
      </c>
      <c r="AE302" s="9" t="str">
        <f t="shared" si="19"/>
        <v>TAE manquant</v>
      </c>
      <c r="AF302" s="7"/>
      <c r="AG302" s="10"/>
      <c r="AH302" s="10"/>
      <c r="AI302" s="7" t="s">
        <v>160</v>
      </c>
      <c r="AJ302" s="10"/>
      <c r="AK302" s="10"/>
      <c r="AL302" s="10"/>
      <c r="AM302" s="11" t="s">
        <v>131</v>
      </c>
      <c r="AN302" s="11" t="s">
        <v>131</v>
      </c>
      <c r="AO302" s="11" t="s">
        <v>131</v>
      </c>
      <c r="AP302" s="11" t="s">
        <v>131</v>
      </c>
      <c r="AQ302" s="11"/>
      <c r="AR302" s="7"/>
    </row>
    <row r="303" spans="1:44" ht="14.4" x14ac:dyDescent="0.3">
      <c r="A303" s="6" t="s">
        <v>202</v>
      </c>
      <c r="B303" s="6" t="s">
        <v>1564</v>
      </c>
      <c r="C303" s="6" t="s">
        <v>1707</v>
      </c>
      <c r="D303" s="6" t="s">
        <v>1566</v>
      </c>
      <c r="E303" s="6" t="s">
        <v>1708</v>
      </c>
      <c r="F303" s="7" t="s">
        <v>125</v>
      </c>
      <c r="G303" s="10"/>
      <c r="H303" s="7" t="s">
        <v>93</v>
      </c>
      <c r="I303" s="7"/>
      <c r="J303" s="10"/>
      <c r="K303" s="6" t="s">
        <v>90</v>
      </c>
      <c r="L303" s="7"/>
      <c r="M303" s="14"/>
      <c r="N303" s="7" t="s">
        <v>93</v>
      </c>
      <c r="O303" s="10"/>
      <c r="P303" s="7" t="s">
        <v>90</v>
      </c>
      <c r="Q303" s="15">
        <f>IF(P303="oui",MIN(Parametres!$B$4,MAX(Parametres!$B$3,IF(M303="",Parametres!$B$3,ROUND(M303*10%,0)))),"")</f>
        <v>0</v>
      </c>
      <c r="R303" s="7" t="s">
        <v>134</v>
      </c>
      <c r="S303" s="7" t="s">
        <v>90</v>
      </c>
      <c r="T303" s="15">
        <f>IF(S303="oui",Parametres!$B$5,"")</f>
        <v>500</v>
      </c>
      <c r="U303" s="7" t="s">
        <v>134</v>
      </c>
      <c r="V303" s="15">
        <f t="shared" si="16"/>
        <v>500</v>
      </c>
      <c r="W303" s="15" t="str">
        <f t="shared" si="17"/>
        <v/>
      </c>
      <c r="X303" s="6" t="s">
        <v>90</v>
      </c>
      <c r="Y303" s="7" t="s">
        <v>133</v>
      </c>
      <c r="Z303" s="10"/>
      <c r="AA303" s="6" t="s">
        <v>93</v>
      </c>
      <c r="AB303" s="7" t="s">
        <v>160</v>
      </c>
      <c r="AC303" s="10"/>
      <c r="AD303" s="9" t="str">
        <f t="shared" si="18"/>
        <v>oui</v>
      </c>
      <c r="AE303" s="9" t="str">
        <f t="shared" si="19"/>
        <v>TAE manquant</v>
      </c>
      <c r="AF303" s="7"/>
      <c r="AG303" s="10"/>
      <c r="AH303" s="10"/>
      <c r="AI303" s="7" t="s">
        <v>160</v>
      </c>
      <c r="AJ303" s="10"/>
      <c r="AK303" s="10"/>
      <c r="AL303" s="10"/>
      <c r="AM303" s="11" t="s">
        <v>131</v>
      </c>
      <c r="AN303" s="11" t="s">
        <v>131</v>
      </c>
      <c r="AO303" s="11" t="s">
        <v>131</v>
      </c>
      <c r="AP303" s="11" t="s">
        <v>131</v>
      </c>
      <c r="AQ303" s="11"/>
      <c r="AR303" s="7"/>
    </row>
    <row r="304" spans="1:44" ht="14.4" x14ac:dyDescent="0.3">
      <c r="A304" s="6" t="s">
        <v>202</v>
      </c>
      <c r="B304" s="6" t="s">
        <v>1564</v>
      </c>
      <c r="C304" s="6" t="s">
        <v>1713</v>
      </c>
      <c r="D304" s="6" t="s">
        <v>1566</v>
      </c>
      <c r="E304" s="6" t="s">
        <v>1714</v>
      </c>
      <c r="F304" s="7" t="s">
        <v>125</v>
      </c>
      <c r="G304" s="10"/>
      <c r="H304" s="7" t="s">
        <v>93</v>
      </c>
      <c r="I304" s="7"/>
      <c r="J304" s="10"/>
      <c r="K304" s="6" t="s">
        <v>90</v>
      </c>
      <c r="L304" s="7"/>
      <c r="M304" s="14"/>
      <c r="N304" s="7" t="s">
        <v>93</v>
      </c>
      <c r="O304" s="10"/>
      <c r="P304" s="7" t="s">
        <v>90</v>
      </c>
      <c r="Q304" s="15">
        <f>IF(P304="oui",MIN(Parametres!$B$4,MAX(Parametres!$B$3,IF(M304="",Parametres!$B$3,ROUND(M304*10%,0)))),"")</f>
        <v>0</v>
      </c>
      <c r="R304" s="7" t="s">
        <v>134</v>
      </c>
      <c r="S304" s="7" t="s">
        <v>90</v>
      </c>
      <c r="T304" s="15">
        <f>IF(S304="oui",Parametres!$B$5,"")</f>
        <v>500</v>
      </c>
      <c r="U304" s="7" t="s">
        <v>134</v>
      </c>
      <c r="V304" s="15">
        <f t="shared" si="16"/>
        <v>500</v>
      </c>
      <c r="W304" s="15" t="str">
        <f t="shared" si="17"/>
        <v/>
      </c>
      <c r="X304" s="6" t="s">
        <v>90</v>
      </c>
      <c r="Y304" s="7" t="s">
        <v>133</v>
      </c>
      <c r="Z304" s="10"/>
      <c r="AA304" s="6" t="s">
        <v>93</v>
      </c>
      <c r="AB304" s="7" t="s">
        <v>160</v>
      </c>
      <c r="AC304" s="10"/>
      <c r="AD304" s="9" t="str">
        <f t="shared" si="18"/>
        <v>oui</v>
      </c>
      <c r="AE304" s="9" t="str">
        <f t="shared" si="19"/>
        <v>TAE manquant</v>
      </c>
      <c r="AF304" s="7"/>
      <c r="AG304" s="10"/>
      <c r="AH304" s="10"/>
      <c r="AI304" s="7" t="s">
        <v>160</v>
      </c>
      <c r="AJ304" s="10"/>
      <c r="AK304" s="10"/>
      <c r="AL304" s="10"/>
      <c r="AM304" s="11" t="s">
        <v>131</v>
      </c>
      <c r="AN304" s="11" t="s">
        <v>131</v>
      </c>
      <c r="AO304" s="11" t="s">
        <v>131</v>
      </c>
      <c r="AP304" s="11" t="s">
        <v>131</v>
      </c>
      <c r="AQ304" s="11"/>
      <c r="AR304" s="7"/>
    </row>
    <row r="305" spans="1:44" ht="14.4" x14ac:dyDescent="0.3">
      <c r="A305" s="6" t="s">
        <v>202</v>
      </c>
      <c r="B305" s="6" t="s">
        <v>1564</v>
      </c>
      <c r="C305" s="6" t="s">
        <v>1719</v>
      </c>
      <c r="D305" s="6" t="s">
        <v>1566</v>
      </c>
      <c r="E305" s="6" t="s">
        <v>1720</v>
      </c>
      <c r="F305" s="7" t="s">
        <v>125</v>
      </c>
      <c r="G305" s="10"/>
      <c r="H305" s="7" t="s">
        <v>93</v>
      </c>
      <c r="I305" s="7"/>
      <c r="J305" s="10"/>
      <c r="K305" s="6" t="s">
        <v>90</v>
      </c>
      <c r="L305" s="7"/>
      <c r="M305" s="14"/>
      <c r="N305" s="7" t="s">
        <v>93</v>
      </c>
      <c r="O305" s="10"/>
      <c r="P305" s="7" t="s">
        <v>90</v>
      </c>
      <c r="Q305" s="15">
        <f>IF(P305="oui",MIN(Parametres!$B$4,MAX(Parametres!$B$3,IF(M305="",Parametres!$B$3,ROUND(M305*10%,0)))),"")</f>
        <v>0</v>
      </c>
      <c r="R305" s="7" t="s">
        <v>134</v>
      </c>
      <c r="S305" s="7" t="s">
        <v>90</v>
      </c>
      <c r="T305" s="15">
        <f>IF(S305="oui",Parametres!$B$5,"")</f>
        <v>500</v>
      </c>
      <c r="U305" s="7" t="s">
        <v>134</v>
      </c>
      <c r="V305" s="15">
        <f t="shared" si="16"/>
        <v>500</v>
      </c>
      <c r="W305" s="15" t="str">
        <f t="shared" si="17"/>
        <v/>
      </c>
      <c r="X305" s="6" t="s">
        <v>90</v>
      </c>
      <c r="Y305" s="7" t="s">
        <v>133</v>
      </c>
      <c r="Z305" s="10"/>
      <c r="AA305" s="6" t="s">
        <v>93</v>
      </c>
      <c r="AB305" s="7" t="s">
        <v>160</v>
      </c>
      <c r="AC305" s="10"/>
      <c r="AD305" s="9" t="str">
        <f t="shared" si="18"/>
        <v>oui</v>
      </c>
      <c r="AE305" s="9" t="str">
        <f t="shared" si="19"/>
        <v>TAE manquant</v>
      </c>
      <c r="AF305" s="7"/>
      <c r="AG305" s="10"/>
      <c r="AH305" s="10"/>
      <c r="AI305" s="7" t="s">
        <v>160</v>
      </c>
      <c r="AJ305" s="10"/>
      <c r="AK305" s="10"/>
      <c r="AL305" s="10"/>
      <c r="AM305" s="11" t="s">
        <v>131</v>
      </c>
      <c r="AN305" s="11" t="s">
        <v>131</v>
      </c>
      <c r="AO305" s="11" t="s">
        <v>131</v>
      </c>
      <c r="AP305" s="11" t="s">
        <v>131</v>
      </c>
      <c r="AQ305" s="11"/>
      <c r="AR305" s="7"/>
    </row>
    <row r="306" spans="1:44" ht="14.4" x14ac:dyDescent="0.3">
      <c r="A306" s="6" t="s">
        <v>202</v>
      </c>
      <c r="B306" s="6" t="s">
        <v>1564</v>
      </c>
      <c r="C306" s="6" t="s">
        <v>1723</v>
      </c>
      <c r="D306" s="6" t="s">
        <v>1566</v>
      </c>
      <c r="E306" s="6" t="s">
        <v>1724</v>
      </c>
      <c r="F306" s="7" t="s">
        <v>125</v>
      </c>
      <c r="G306" s="10"/>
      <c r="H306" s="7" t="s">
        <v>93</v>
      </c>
      <c r="I306" s="7"/>
      <c r="J306" s="10"/>
      <c r="K306" s="6" t="s">
        <v>90</v>
      </c>
      <c r="L306" s="7"/>
      <c r="M306" s="14"/>
      <c r="N306" s="7" t="s">
        <v>93</v>
      </c>
      <c r="O306" s="10"/>
      <c r="P306" s="7" t="s">
        <v>90</v>
      </c>
      <c r="Q306" s="15">
        <f>IF(P306="oui",MIN(Parametres!$B$4,MAX(Parametres!$B$3,IF(M306="",Parametres!$B$3,ROUND(M306*10%,0)))),"")</f>
        <v>0</v>
      </c>
      <c r="R306" s="7" t="s">
        <v>134</v>
      </c>
      <c r="S306" s="7" t="s">
        <v>90</v>
      </c>
      <c r="T306" s="15">
        <f>IF(S306="oui",Parametres!$B$5,"")</f>
        <v>500</v>
      </c>
      <c r="U306" s="7" t="s">
        <v>134</v>
      </c>
      <c r="V306" s="15">
        <f t="shared" si="16"/>
        <v>500</v>
      </c>
      <c r="W306" s="15" t="str">
        <f t="shared" si="17"/>
        <v/>
      </c>
      <c r="X306" s="6" t="s">
        <v>90</v>
      </c>
      <c r="Y306" s="7" t="s">
        <v>133</v>
      </c>
      <c r="Z306" s="10"/>
      <c r="AA306" s="6" t="s">
        <v>93</v>
      </c>
      <c r="AB306" s="7" t="s">
        <v>160</v>
      </c>
      <c r="AC306" s="10"/>
      <c r="AD306" s="9" t="str">
        <f t="shared" si="18"/>
        <v>oui</v>
      </c>
      <c r="AE306" s="9" t="str">
        <f t="shared" si="19"/>
        <v>TAE manquant</v>
      </c>
      <c r="AF306" s="7"/>
      <c r="AG306" s="10"/>
      <c r="AH306" s="10"/>
      <c r="AI306" s="7" t="s">
        <v>160</v>
      </c>
      <c r="AJ306" s="10"/>
      <c r="AK306" s="10"/>
      <c r="AL306" s="10"/>
      <c r="AM306" s="11" t="s">
        <v>131</v>
      </c>
      <c r="AN306" s="11" t="s">
        <v>131</v>
      </c>
      <c r="AO306" s="11" t="s">
        <v>131</v>
      </c>
      <c r="AP306" s="11" t="s">
        <v>131</v>
      </c>
      <c r="AQ306" s="11"/>
      <c r="AR306" s="7"/>
    </row>
    <row r="307" spans="1:44" ht="14.4" x14ac:dyDescent="0.3">
      <c r="A307" s="6" t="s">
        <v>202</v>
      </c>
      <c r="B307" s="6" t="s">
        <v>1564</v>
      </c>
      <c r="C307" s="6" t="s">
        <v>1726</v>
      </c>
      <c r="D307" s="6" t="s">
        <v>1566</v>
      </c>
      <c r="E307" s="6" t="s">
        <v>1727</v>
      </c>
      <c r="F307" s="7" t="s">
        <v>125</v>
      </c>
      <c r="G307" s="10"/>
      <c r="H307" s="7" t="s">
        <v>93</v>
      </c>
      <c r="I307" s="7"/>
      <c r="J307" s="10"/>
      <c r="K307" s="6" t="s">
        <v>90</v>
      </c>
      <c r="L307" s="7"/>
      <c r="M307" s="14"/>
      <c r="N307" s="7" t="s">
        <v>93</v>
      </c>
      <c r="O307" s="10"/>
      <c r="P307" s="7" t="s">
        <v>90</v>
      </c>
      <c r="Q307" s="15">
        <f>IF(P307="oui",MIN(Parametres!$B$4,MAX(Parametres!$B$3,IF(M307="",Parametres!$B$3,ROUND(M307*10%,0)))),"")</f>
        <v>0</v>
      </c>
      <c r="R307" s="7" t="s">
        <v>134</v>
      </c>
      <c r="S307" s="7" t="s">
        <v>90</v>
      </c>
      <c r="T307" s="15">
        <f>IF(S307="oui",Parametres!$B$5,"")</f>
        <v>500</v>
      </c>
      <c r="U307" s="7" t="s">
        <v>134</v>
      </c>
      <c r="V307" s="15">
        <f t="shared" si="16"/>
        <v>500</v>
      </c>
      <c r="W307" s="15" t="str">
        <f t="shared" si="17"/>
        <v/>
      </c>
      <c r="X307" s="6" t="s">
        <v>90</v>
      </c>
      <c r="Y307" s="7" t="s">
        <v>133</v>
      </c>
      <c r="Z307" s="10"/>
      <c r="AA307" s="6" t="s">
        <v>93</v>
      </c>
      <c r="AB307" s="7" t="s">
        <v>160</v>
      </c>
      <c r="AC307" s="10"/>
      <c r="AD307" s="9" t="str">
        <f t="shared" si="18"/>
        <v>oui</v>
      </c>
      <c r="AE307" s="9" t="str">
        <f t="shared" si="19"/>
        <v>TAE manquant</v>
      </c>
      <c r="AF307" s="7"/>
      <c r="AG307" s="10"/>
      <c r="AH307" s="10"/>
      <c r="AI307" s="7" t="s">
        <v>160</v>
      </c>
      <c r="AJ307" s="10"/>
      <c r="AK307" s="10"/>
      <c r="AL307" s="10"/>
      <c r="AM307" s="11" t="s">
        <v>131</v>
      </c>
      <c r="AN307" s="11" t="s">
        <v>131</v>
      </c>
      <c r="AO307" s="11" t="s">
        <v>131</v>
      </c>
      <c r="AP307" s="11" t="s">
        <v>131</v>
      </c>
      <c r="AQ307" s="11"/>
      <c r="AR307" s="7"/>
    </row>
    <row r="308" spans="1:44" ht="14.4" x14ac:dyDescent="0.3">
      <c r="A308" s="6" t="s">
        <v>202</v>
      </c>
      <c r="B308" s="6" t="s">
        <v>1564</v>
      </c>
      <c r="C308" s="6" t="s">
        <v>1732</v>
      </c>
      <c r="D308" s="6" t="s">
        <v>1566</v>
      </c>
      <c r="E308" s="6" t="s">
        <v>1733</v>
      </c>
      <c r="F308" s="7" t="s">
        <v>125</v>
      </c>
      <c r="G308" s="10"/>
      <c r="H308" s="7" t="s">
        <v>93</v>
      </c>
      <c r="I308" s="7"/>
      <c r="J308" s="10"/>
      <c r="K308" s="6" t="s">
        <v>90</v>
      </c>
      <c r="L308" s="7"/>
      <c r="M308" s="14"/>
      <c r="N308" s="7" t="s">
        <v>93</v>
      </c>
      <c r="O308" s="10"/>
      <c r="P308" s="7" t="s">
        <v>90</v>
      </c>
      <c r="Q308" s="15">
        <f>IF(P308="oui",MIN(Parametres!$B$4,MAX(Parametres!$B$3,IF(M308="",Parametres!$B$3,ROUND(M308*10%,0)))),"")</f>
        <v>0</v>
      </c>
      <c r="R308" s="7" t="s">
        <v>134</v>
      </c>
      <c r="S308" s="7" t="s">
        <v>90</v>
      </c>
      <c r="T308" s="15">
        <f>IF(S308="oui",Parametres!$B$5,"")</f>
        <v>500</v>
      </c>
      <c r="U308" s="7" t="s">
        <v>134</v>
      </c>
      <c r="V308" s="15">
        <f t="shared" si="16"/>
        <v>500</v>
      </c>
      <c r="W308" s="15" t="str">
        <f t="shared" si="17"/>
        <v/>
      </c>
      <c r="X308" s="6" t="s">
        <v>90</v>
      </c>
      <c r="Y308" s="7" t="s">
        <v>133</v>
      </c>
      <c r="Z308" s="10"/>
      <c r="AA308" s="6" t="s">
        <v>93</v>
      </c>
      <c r="AB308" s="7" t="s">
        <v>160</v>
      </c>
      <c r="AC308" s="10"/>
      <c r="AD308" s="9" t="str">
        <f t="shared" si="18"/>
        <v>oui</v>
      </c>
      <c r="AE308" s="9" t="str">
        <f t="shared" si="19"/>
        <v>TAE manquant</v>
      </c>
      <c r="AF308" s="7"/>
      <c r="AG308" s="10"/>
      <c r="AH308" s="10"/>
      <c r="AI308" s="7" t="s">
        <v>160</v>
      </c>
      <c r="AJ308" s="10"/>
      <c r="AK308" s="10"/>
      <c r="AL308" s="10"/>
      <c r="AM308" s="11" t="s">
        <v>131</v>
      </c>
      <c r="AN308" s="11" t="s">
        <v>131</v>
      </c>
      <c r="AO308" s="11" t="s">
        <v>131</v>
      </c>
      <c r="AP308" s="11" t="s">
        <v>131</v>
      </c>
      <c r="AQ308" s="11"/>
      <c r="AR308" s="7"/>
    </row>
    <row r="309" spans="1:44" ht="14.4" x14ac:dyDescent="0.3">
      <c r="A309" s="6" t="s">
        <v>202</v>
      </c>
      <c r="B309" s="6" t="s">
        <v>1564</v>
      </c>
      <c r="C309" s="6" t="s">
        <v>1737</v>
      </c>
      <c r="D309" s="6" t="s">
        <v>1566</v>
      </c>
      <c r="E309" s="6" t="s">
        <v>1738</v>
      </c>
      <c r="F309" s="7" t="s">
        <v>125</v>
      </c>
      <c r="G309" s="10"/>
      <c r="H309" s="7" t="s">
        <v>93</v>
      </c>
      <c r="I309" s="7"/>
      <c r="J309" s="10"/>
      <c r="K309" s="6" t="s">
        <v>90</v>
      </c>
      <c r="L309" s="7"/>
      <c r="M309" s="14"/>
      <c r="N309" s="7" t="s">
        <v>93</v>
      </c>
      <c r="O309" s="10"/>
      <c r="P309" s="7" t="s">
        <v>90</v>
      </c>
      <c r="Q309" s="15">
        <f>IF(P309="oui",MIN(Parametres!$B$4,MAX(Parametres!$B$3,IF(M309="",Parametres!$B$3,ROUND(M309*10%,0)))),"")</f>
        <v>0</v>
      </c>
      <c r="R309" s="7" t="s">
        <v>134</v>
      </c>
      <c r="S309" s="7" t="s">
        <v>90</v>
      </c>
      <c r="T309" s="15">
        <f>IF(S309="oui",Parametres!$B$5,"")</f>
        <v>500</v>
      </c>
      <c r="U309" s="7" t="s">
        <v>134</v>
      </c>
      <c r="V309" s="15">
        <f t="shared" si="16"/>
        <v>500</v>
      </c>
      <c r="W309" s="15" t="str">
        <f t="shared" si="17"/>
        <v/>
      </c>
      <c r="X309" s="6" t="s">
        <v>90</v>
      </c>
      <c r="Y309" s="7" t="s">
        <v>133</v>
      </c>
      <c r="Z309" s="10"/>
      <c r="AA309" s="6" t="s">
        <v>93</v>
      </c>
      <c r="AB309" s="7" t="s">
        <v>160</v>
      </c>
      <c r="AC309" s="10"/>
      <c r="AD309" s="9" t="str">
        <f t="shared" si="18"/>
        <v>oui</v>
      </c>
      <c r="AE309" s="9" t="str">
        <f t="shared" si="19"/>
        <v>TAE manquant</v>
      </c>
      <c r="AF309" s="7"/>
      <c r="AG309" s="10"/>
      <c r="AH309" s="10"/>
      <c r="AI309" s="7" t="s">
        <v>160</v>
      </c>
      <c r="AJ309" s="10"/>
      <c r="AK309" s="10"/>
      <c r="AL309" s="10"/>
      <c r="AM309" s="11" t="s">
        <v>131</v>
      </c>
      <c r="AN309" s="11" t="s">
        <v>131</v>
      </c>
      <c r="AO309" s="11" t="s">
        <v>131</v>
      </c>
      <c r="AP309" s="11" t="s">
        <v>131</v>
      </c>
      <c r="AQ309" s="11"/>
      <c r="AR309" s="7"/>
    </row>
    <row r="310" spans="1:44" ht="14.4" x14ac:dyDescent="0.3">
      <c r="A310" s="6" t="s">
        <v>202</v>
      </c>
      <c r="B310" s="6" t="s">
        <v>1564</v>
      </c>
      <c r="C310" s="6" t="s">
        <v>1740</v>
      </c>
      <c r="D310" s="6" t="s">
        <v>1566</v>
      </c>
      <c r="E310" s="6" t="s">
        <v>1741</v>
      </c>
      <c r="F310" s="7" t="s">
        <v>125</v>
      </c>
      <c r="G310" s="10"/>
      <c r="H310" s="7" t="s">
        <v>93</v>
      </c>
      <c r="I310" s="7"/>
      <c r="J310" s="10"/>
      <c r="K310" s="6" t="s">
        <v>90</v>
      </c>
      <c r="L310" s="7"/>
      <c r="M310" s="14"/>
      <c r="N310" s="7" t="s">
        <v>93</v>
      </c>
      <c r="O310" s="10"/>
      <c r="P310" s="7" t="s">
        <v>90</v>
      </c>
      <c r="Q310" s="15">
        <f>IF(P310="oui",MIN(Parametres!$B$4,MAX(Parametres!$B$3,IF(M310="",Parametres!$B$3,ROUND(M310*10%,0)))),"")</f>
        <v>0</v>
      </c>
      <c r="R310" s="7" t="s">
        <v>134</v>
      </c>
      <c r="S310" s="7" t="s">
        <v>90</v>
      </c>
      <c r="T310" s="15">
        <f>IF(S310="oui",Parametres!$B$5,"")</f>
        <v>500</v>
      </c>
      <c r="U310" s="7" t="s">
        <v>134</v>
      </c>
      <c r="V310" s="15">
        <f t="shared" si="16"/>
        <v>500</v>
      </c>
      <c r="W310" s="15" t="str">
        <f t="shared" si="17"/>
        <v/>
      </c>
      <c r="X310" s="6" t="s">
        <v>90</v>
      </c>
      <c r="Y310" s="7" t="s">
        <v>133</v>
      </c>
      <c r="Z310" s="10"/>
      <c r="AA310" s="6" t="s">
        <v>93</v>
      </c>
      <c r="AB310" s="7" t="s">
        <v>160</v>
      </c>
      <c r="AC310" s="10"/>
      <c r="AD310" s="9" t="str">
        <f t="shared" si="18"/>
        <v>oui</v>
      </c>
      <c r="AE310" s="9" t="str">
        <f t="shared" si="19"/>
        <v>TAE manquant</v>
      </c>
      <c r="AF310" s="7"/>
      <c r="AG310" s="10"/>
      <c r="AH310" s="10"/>
      <c r="AI310" s="7" t="s">
        <v>160</v>
      </c>
      <c r="AJ310" s="10"/>
      <c r="AK310" s="10"/>
      <c r="AL310" s="10"/>
      <c r="AM310" s="11" t="s">
        <v>131</v>
      </c>
      <c r="AN310" s="11" t="s">
        <v>131</v>
      </c>
      <c r="AO310" s="11" t="s">
        <v>131</v>
      </c>
      <c r="AP310" s="11" t="s">
        <v>131</v>
      </c>
      <c r="AQ310" s="11"/>
      <c r="AR310" s="7"/>
    </row>
    <row r="311" spans="1:44" ht="14.4" x14ac:dyDescent="0.3">
      <c r="A311" s="6" t="s">
        <v>202</v>
      </c>
      <c r="B311" s="6" t="s">
        <v>1564</v>
      </c>
      <c r="C311" s="6" t="s">
        <v>1744</v>
      </c>
      <c r="D311" s="6" t="s">
        <v>1566</v>
      </c>
      <c r="E311" s="6" t="s">
        <v>1745</v>
      </c>
      <c r="F311" s="7" t="s">
        <v>125</v>
      </c>
      <c r="G311" s="10"/>
      <c r="H311" s="7" t="s">
        <v>93</v>
      </c>
      <c r="I311" s="7"/>
      <c r="J311" s="10"/>
      <c r="K311" s="6" t="s">
        <v>90</v>
      </c>
      <c r="L311" s="7"/>
      <c r="M311" s="14"/>
      <c r="N311" s="7" t="s">
        <v>93</v>
      </c>
      <c r="O311" s="10"/>
      <c r="P311" s="7" t="s">
        <v>90</v>
      </c>
      <c r="Q311" s="15">
        <f>IF(P311="oui",MIN(Parametres!$B$4,MAX(Parametres!$B$3,IF(M311="",Parametres!$B$3,ROUND(M311*10%,0)))),"")</f>
        <v>0</v>
      </c>
      <c r="R311" s="7" t="s">
        <v>134</v>
      </c>
      <c r="S311" s="7" t="s">
        <v>90</v>
      </c>
      <c r="T311" s="15">
        <f>IF(S311="oui",Parametres!$B$5,"")</f>
        <v>500</v>
      </c>
      <c r="U311" s="7" t="s">
        <v>134</v>
      </c>
      <c r="V311" s="15">
        <f t="shared" si="16"/>
        <v>500</v>
      </c>
      <c r="W311" s="15" t="str">
        <f t="shared" si="17"/>
        <v/>
      </c>
      <c r="X311" s="6" t="s">
        <v>90</v>
      </c>
      <c r="Y311" s="7" t="s">
        <v>133</v>
      </c>
      <c r="Z311" s="10"/>
      <c r="AA311" s="6" t="s">
        <v>93</v>
      </c>
      <c r="AB311" s="7" t="s">
        <v>160</v>
      </c>
      <c r="AC311" s="10"/>
      <c r="AD311" s="9" t="str">
        <f t="shared" si="18"/>
        <v>oui</v>
      </c>
      <c r="AE311" s="9" t="str">
        <f t="shared" si="19"/>
        <v>TAE manquant</v>
      </c>
      <c r="AF311" s="7"/>
      <c r="AG311" s="10"/>
      <c r="AH311" s="10"/>
      <c r="AI311" s="7" t="s">
        <v>160</v>
      </c>
      <c r="AJ311" s="10"/>
      <c r="AK311" s="10"/>
      <c r="AL311" s="10"/>
      <c r="AM311" s="11" t="s">
        <v>131</v>
      </c>
      <c r="AN311" s="11" t="s">
        <v>131</v>
      </c>
      <c r="AO311" s="11" t="s">
        <v>131</v>
      </c>
      <c r="AP311" s="11" t="s">
        <v>131</v>
      </c>
      <c r="AQ311" s="11"/>
      <c r="AR311" s="7"/>
    </row>
    <row r="312" spans="1:44" ht="14.4" x14ac:dyDescent="0.3">
      <c r="A312" s="6" t="s">
        <v>202</v>
      </c>
      <c r="B312" s="6" t="s">
        <v>1564</v>
      </c>
      <c r="C312" s="6" t="s">
        <v>1749</v>
      </c>
      <c r="D312" s="6" t="s">
        <v>1566</v>
      </c>
      <c r="E312" s="6" t="s">
        <v>1750</v>
      </c>
      <c r="F312" s="7" t="s">
        <v>125</v>
      </c>
      <c r="G312" s="10"/>
      <c r="H312" s="7" t="s">
        <v>93</v>
      </c>
      <c r="I312" s="7"/>
      <c r="J312" s="10"/>
      <c r="K312" s="6" t="s">
        <v>90</v>
      </c>
      <c r="L312" s="7"/>
      <c r="M312" s="14"/>
      <c r="N312" s="7" t="s">
        <v>93</v>
      </c>
      <c r="O312" s="10"/>
      <c r="P312" s="7" t="s">
        <v>90</v>
      </c>
      <c r="Q312" s="15">
        <f>IF(P312="oui",MIN(Parametres!$B$4,MAX(Parametres!$B$3,IF(M312="",Parametres!$B$3,ROUND(M312*10%,0)))),"")</f>
        <v>0</v>
      </c>
      <c r="R312" s="7" t="s">
        <v>134</v>
      </c>
      <c r="S312" s="7" t="s">
        <v>90</v>
      </c>
      <c r="T312" s="15">
        <f>IF(S312="oui",Parametres!$B$5,"")</f>
        <v>500</v>
      </c>
      <c r="U312" s="7" t="s">
        <v>134</v>
      </c>
      <c r="V312" s="15">
        <f t="shared" si="16"/>
        <v>500</v>
      </c>
      <c r="W312" s="15" t="str">
        <f t="shared" si="17"/>
        <v/>
      </c>
      <c r="X312" s="6" t="s">
        <v>90</v>
      </c>
      <c r="Y312" s="7" t="s">
        <v>133</v>
      </c>
      <c r="Z312" s="10"/>
      <c r="AA312" s="6" t="s">
        <v>93</v>
      </c>
      <c r="AB312" s="7" t="s">
        <v>160</v>
      </c>
      <c r="AC312" s="10"/>
      <c r="AD312" s="9" t="str">
        <f t="shared" si="18"/>
        <v>oui</v>
      </c>
      <c r="AE312" s="9" t="str">
        <f t="shared" si="19"/>
        <v>TAE manquant</v>
      </c>
      <c r="AF312" s="7"/>
      <c r="AG312" s="10"/>
      <c r="AH312" s="10"/>
      <c r="AI312" s="7" t="s">
        <v>160</v>
      </c>
      <c r="AJ312" s="10"/>
      <c r="AK312" s="10"/>
      <c r="AL312" s="10"/>
      <c r="AM312" s="11" t="s">
        <v>131</v>
      </c>
      <c r="AN312" s="11" t="s">
        <v>131</v>
      </c>
      <c r="AO312" s="11" t="s">
        <v>131</v>
      </c>
      <c r="AP312" s="11" t="s">
        <v>131</v>
      </c>
      <c r="AQ312" s="11"/>
      <c r="AR312" s="7"/>
    </row>
    <row r="313" spans="1:44" ht="14.4" x14ac:dyDescent="0.3">
      <c r="A313" s="6" t="s">
        <v>202</v>
      </c>
      <c r="B313" s="6" t="s">
        <v>1564</v>
      </c>
      <c r="C313" s="6" t="s">
        <v>1754</v>
      </c>
      <c r="D313" s="6" t="s">
        <v>1566</v>
      </c>
      <c r="E313" s="6" t="s">
        <v>1755</v>
      </c>
      <c r="F313" s="7" t="s">
        <v>125</v>
      </c>
      <c r="G313" s="10"/>
      <c r="H313" s="7" t="s">
        <v>93</v>
      </c>
      <c r="I313" s="7"/>
      <c r="J313" s="10"/>
      <c r="K313" s="6" t="s">
        <v>90</v>
      </c>
      <c r="L313" s="7"/>
      <c r="M313" s="14"/>
      <c r="N313" s="7" t="s">
        <v>93</v>
      </c>
      <c r="O313" s="10"/>
      <c r="P313" s="7" t="s">
        <v>90</v>
      </c>
      <c r="Q313" s="15">
        <f>IF(P313="oui",MIN(Parametres!$B$4,MAX(Parametres!$B$3,IF(M313="",Parametres!$B$3,ROUND(M313*10%,0)))),"")</f>
        <v>0</v>
      </c>
      <c r="R313" s="7" t="s">
        <v>134</v>
      </c>
      <c r="S313" s="7" t="s">
        <v>90</v>
      </c>
      <c r="T313" s="15">
        <f>IF(S313="oui",Parametres!$B$5,"")</f>
        <v>500</v>
      </c>
      <c r="U313" s="7" t="s">
        <v>134</v>
      </c>
      <c r="V313" s="15">
        <f t="shared" si="16"/>
        <v>500</v>
      </c>
      <c r="W313" s="15" t="str">
        <f t="shared" si="17"/>
        <v/>
      </c>
      <c r="X313" s="6" t="s">
        <v>90</v>
      </c>
      <c r="Y313" s="7" t="s">
        <v>133</v>
      </c>
      <c r="Z313" s="10"/>
      <c r="AA313" s="6" t="s">
        <v>93</v>
      </c>
      <c r="AB313" s="7" t="s">
        <v>160</v>
      </c>
      <c r="AC313" s="10"/>
      <c r="AD313" s="9" t="str">
        <f t="shared" si="18"/>
        <v>oui</v>
      </c>
      <c r="AE313" s="9" t="str">
        <f t="shared" si="19"/>
        <v>TAE manquant</v>
      </c>
      <c r="AF313" s="7"/>
      <c r="AG313" s="10"/>
      <c r="AH313" s="10"/>
      <c r="AI313" s="7" t="s">
        <v>160</v>
      </c>
      <c r="AJ313" s="10"/>
      <c r="AK313" s="10"/>
      <c r="AL313" s="10"/>
      <c r="AM313" s="11" t="s">
        <v>131</v>
      </c>
      <c r="AN313" s="11" t="s">
        <v>131</v>
      </c>
      <c r="AO313" s="11" t="s">
        <v>131</v>
      </c>
      <c r="AP313" s="11" t="s">
        <v>131</v>
      </c>
      <c r="AQ313" s="11"/>
      <c r="AR313" s="7"/>
    </row>
    <row r="314" spans="1:44" ht="14.4" x14ac:dyDescent="0.3">
      <c r="A314" s="6" t="s">
        <v>202</v>
      </c>
      <c r="B314" s="6" t="s">
        <v>1564</v>
      </c>
      <c r="C314" s="6" t="s">
        <v>1759</v>
      </c>
      <c r="D314" s="6" t="s">
        <v>1566</v>
      </c>
      <c r="E314" s="6" t="s">
        <v>1760</v>
      </c>
      <c r="F314" s="7" t="s">
        <v>125</v>
      </c>
      <c r="G314" s="10"/>
      <c r="H314" s="7" t="s">
        <v>93</v>
      </c>
      <c r="I314" s="7"/>
      <c r="J314" s="10"/>
      <c r="K314" s="6" t="s">
        <v>90</v>
      </c>
      <c r="L314" s="7"/>
      <c r="M314" s="14"/>
      <c r="N314" s="7" t="s">
        <v>93</v>
      </c>
      <c r="O314" s="10"/>
      <c r="P314" s="7" t="s">
        <v>90</v>
      </c>
      <c r="Q314" s="15">
        <f>IF(P314="oui",MIN(Parametres!$B$4,MAX(Parametres!$B$3,IF(M314="",Parametres!$B$3,ROUND(M314*10%,0)))),"")</f>
        <v>0</v>
      </c>
      <c r="R314" s="7" t="s">
        <v>134</v>
      </c>
      <c r="S314" s="7" t="s">
        <v>90</v>
      </c>
      <c r="T314" s="15">
        <f>IF(S314="oui",Parametres!$B$5,"")</f>
        <v>500</v>
      </c>
      <c r="U314" s="7" t="s">
        <v>134</v>
      </c>
      <c r="V314" s="15">
        <f t="shared" si="16"/>
        <v>500</v>
      </c>
      <c r="W314" s="15" t="str">
        <f t="shared" si="17"/>
        <v/>
      </c>
      <c r="X314" s="6" t="s">
        <v>90</v>
      </c>
      <c r="Y314" s="7" t="s">
        <v>133</v>
      </c>
      <c r="Z314" s="10"/>
      <c r="AA314" s="6" t="s">
        <v>93</v>
      </c>
      <c r="AB314" s="7" t="s">
        <v>160</v>
      </c>
      <c r="AC314" s="10"/>
      <c r="AD314" s="9" t="str">
        <f t="shared" si="18"/>
        <v>oui</v>
      </c>
      <c r="AE314" s="9" t="str">
        <f t="shared" si="19"/>
        <v>TAE manquant</v>
      </c>
      <c r="AF314" s="7"/>
      <c r="AG314" s="10"/>
      <c r="AH314" s="10"/>
      <c r="AI314" s="7" t="s">
        <v>160</v>
      </c>
      <c r="AJ314" s="10"/>
      <c r="AK314" s="10"/>
      <c r="AL314" s="10"/>
      <c r="AM314" s="11" t="s">
        <v>131</v>
      </c>
      <c r="AN314" s="11" t="s">
        <v>131</v>
      </c>
      <c r="AO314" s="11" t="s">
        <v>131</v>
      </c>
      <c r="AP314" s="11" t="s">
        <v>131</v>
      </c>
      <c r="AQ314" s="11"/>
      <c r="AR314" s="7"/>
    </row>
    <row r="315" spans="1:44" ht="14.4" x14ac:dyDescent="0.3">
      <c r="A315" s="6" t="s">
        <v>202</v>
      </c>
      <c r="B315" s="6" t="s">
        <v>1564</v>
      </c>
      <c r="C315" s="6" t="s">
        <v>1763</v>
      </c>
      <c r="D315" s="6" t="s">
        <v>1566</v>
      </c>
      <c r="E315" s="6" t="s">
        <v>1764</v>
      </c>
      <c r="F315" s="7" t="s">
        <v>125</v>
      </c>
      <c r="G315" s="10"/>
      <c r="H315" s="7" t="s">
        <v>93</v>
      </c>
      <c r="I315" s="7"/>
      <c r="J315" s="10"/>
      <c r="K315" s="6" t="s">
        <v>90</v>
      </c>
      <c r="L315" s="7"/>
      <c r="M315" s="14"/>
      <c r="N315" s="7" t="s">
        <v>93</v>
      </c>
      <c r="O315" s="10"/>
      <c r="P315" s="7" t="s">
        <v>90</v>
      </c>
      <c r="Q315" s="15">
        <f>IF(P315="oui",MIN(Parametres!$B$4,MAX(Parametres!$B$3,IF(M315="",Parametres!$B$3,ROUND(M315*10%,0)))),"")</f>
        <v>0</v>
      </c>
      <c r="R315" s="7" t="s">
        <v>134</v>
      </c>
      <c r="S315" s="7" t="s">
        <v>90</v>
      </c>
      <c r="T315" s="15">
        <f>IF(S315="oui",Parametres!$B$5,"")</f>
        <v>500</v>
      </c>
      <c r="U315" s="7" t="s">
        <v>134</v>
      </c>
      <c r="V315" s="15">
        <f t="shared" si="16"/>
        <v>500</v>
      </c>
      <c r="W315" s="15" t="str">
        <f t="shared" si="17"/>
        <v/>
      </c>
      <c r="X315" s="6" t="s">
        <v>90</v>
      </c>
      <c r="Y315" s="7" t="s">
        <v>133</v>
      </c>
      <c r="Z315" s="10"/>
      <c r="AA315" s="6" t="s">
        <v>93</v>
      </c>
      <c r="AB315" s="7" t="s">
        <v>160</v>
      </c>
      <c r="AC315" s="10"/>
      <c r="AD315" s="9" t="str">
        <f t="shared" si="18"/>
        <v>oui</v>
      </c>
      <c r="AE315" s="9" t="str">
        <f t="shared" si="19"/>
        <v>TAE manquant</v>
      </c>
      <c r="AF315" s="7"/>
      <c r="AG315" s="10"/>
      <c r="AH315" s="10"/>
      <c r="AI315" s="7" t="s">
        <v>160</v>
      </c>
      <c r="AJ315" s="10"/>
      <c r="AK315" s="10"/>
      <c r="AL315" s="10"/>
      <c r="AM315" s="11" t="s">
        <v>131</v>
      </c>
      <c r="AN315" s="11" t="s">
        <v>131</v>
      </c>
      <c r="AO315" s="11" t="s">
        <v>131</v>
      </c>
      <c r="AP315" s="11" t="s">
        <v>131</v>
      </c>
      <c r="AQ315" s="11"/>
      <c r="AR315" s="7"/>
    </row>
    <row r="316" spans="1:44" ht="14.4" x14ac:dyDescent="0.3">
      <c r="A316" s="6" t="s">
        <v>202</v>
      </c>
      <c r="B316" s="6" t="s">
        <v>1564</v>
      </c>
      <c r="C316" s="6" t="s">
        <v>1767</v>
      </c>
      <c r="D316" s="6" t="s">
        <v>1566</v>
      </c>
      <c r="E316" s="6" t="s">
        <v>1768</v>
      </c>
      <c r="F316" s="7" t="s">
        <v>125</v>
      </c>
      <c r="G316" s="10"/>
      <c r="H316" s="7" t="s">
        <v>93</v>
      </c>
      <c r="I316" s="7"/>
      <c r="J316" s="10"/>
      <c r="K316" s="6" t="s">
        <v>90</v>
      </c>
      <c r="L316" s="7"/>
      <c r="M316" s="14"/>
      <c r="N316" s="7" t="s">
        <v>93</v>
      </c>
      <c r="O316" s="10"/>
      <c r="P316" s="7" t="s">
        <v>90</v>
      </c>
      <c r="Q316" s="15">
        <f>IF(P316="oui",MIN(Parametres!$B$4,MAX(Parametres!$B$3,IF(M316="",Parametres!$B$3,ROUND(M316*10%,0)))),"")</f>
        <v>0</v>
      </c>
      <c r="R316" s="7" t="s">
        <v>134</v>
      </c>
      <c r="S316" s="7" t="s">
        <v>90</v>
      </c>
      <c r="T316" s="15">
        <f>IF(S316="oui",Parametres!$B$5,"")</f>
        <v>500</v>
      </c>
      <c r="U316" s="7" t="s">
        <v>134</v>
      </c>
      <c r="V316" s="15">
        <f t="shared" si="16"/>
        <v>500</v>
      </c>
      <c r="W316" s="15" t="str">
        <f t="shared" si="17"/>
        <v/>
      </c>
      <c r="X316" s="6" t="s">
        <v>90</v>
      </c>
      <c r="Y316" s="7" t="s">
        <v>133</v>
      </c>
      <c r="Z316" s="10"/>
      <c r="AA316" s="6" t="s">
        <v>93</v>
      </c>
      <c r="AB316" s="7" t="s">
        <v>160</v>
      </c>
      <c r="AC316" s="10"/>
      <c r="AD316" s="9" t="str">
        <f t="shared" si="18"/>
        <v>oui</v>
      </c>
      <c r="AE316" s="9" t="str">
        <f t="shared" si="19"/>
        <v>TAE manquant</v>
      </c>
      <c r="AF316" s="7"/>
      <c r="AG316" s="10"/>
      <c r="AH316" s="10"/>
      <c r="AI316" s="7" t="s">
        <v>160</v>
      </c>
      <c r="AJ316" s="10"/>
      <c r="AK316" s="10"/>
      <c r="AL316" s="10"/>
      <c r="AM316" s="11" t="s">
        <v>131</v>
      </c>
      <c r="AN316" s="11" t="s">
        <v>131</v>
      </c>
      <c r="AO316" s="11" t="s">
        <v>131</v>
      </c>
      <c r="AP316" s="11" t="s">
        <v>131</v>
      </c>
      <c r="AQ316" s="11"/>
      <c r="AR316" s="7"/>
    </row>
    <row r="317" spans="1:44" ht="14.4" x14ac:dyDescent="0.3">
      <c r="A317" s="6" t="s">
        <v>202</v>
      </c>
      <c r="B317" s="6" t="s">
        <v>1564</v>
      </c>
      <c r="C317" s="6" t="s">
        <v>1772</v>
      </c>
      <c r="D317" s="6" t="s">
        <v>1566</v>
      </c>
      <c r="E317" s="6" t="s">
        <v>1773</v>
      </c>
      <c r="F317" s="7" t="s">
        <v>125</v>
      </c>
      <c r="G317" s="10"/>
      <c r="H317" s="7" t="s">
        <v>93</v>
      </c>
      <c r="I317" s="7"/>
      <c r="J317" s="10"/>
      <c r="K317" s="6" t="s">
        <v>90</v>
      </c>
      <c r="L317" s="7"/>
      <c r="M317" s="14"/>
      <c r="N317" s="7" t="s">
        <v>93</v>
      </c>
      <c r="O317" s="10"/>
      <c r="P317" s="7" t="s">
        <v>90</v>
      </c>
      <c r="Q317" s="15">
        <f>IF(P317="oui",MIN(Parametres!$B$4,MAX(Parametres!$B$3,IF(M317="",Parametres!$B$3,ROUND(M317*10%,0)))),"")</f>
        <v>0</v>
      </c>
      <c r="R317" s="7" t="s">
        <v>134</v>
      </c>
      <c r="S317" s="7" t="s">
        <v>90</v>
      </c>
      <c r="T317" s="15">
        <f>IF(S317="oui",Parametres!$B$5,"")</f>
        <v>500</v>
      </c>
      <c r="U317" s="7" t="s">
        <v>134</v>
      </c>
      <c r="V317" s="15">
        <f t="shared" si="16"/>
        <v>500</v>
      </c>
      <c r="W317" s="15" t="str">
        <f t="shared" si="17"/>
        <v/>
      </c>
      <c r="X317" s="6" t="s">
        <v>90</v>
      </c>
      <c r="Y317" s="7" t="s">
        <v>133</v>
      </c>
      <c r="Z317" s="10"/>
      <c r="AA317" s="6" t="s">
        <v>93</v>
      </c>
      <c r="AB317" s="7" t="s">
        <v>160</v>
      </c>
      <c r="AC317" s="10"/>
      <c r="AD317" s="9" t="str">
        <f t="shared" si="18"/>
        <v>oui</v>
      </c>
      <c r="AE317" s="9" t="str">
        <f t="shared" si="19"/>
        <v>TAE manquant</v>
      </c>
      <c r="AF317" s="7"/>
      <c r="AG317" s="10"/>
      <c r="AH317" s="10"/>
      <c r="AI317" s="7" t="s">
        <v>160</v>
      </c>
      <c r="AJ317" s="10"/>
      <c r="AK317" s="10"/>
      <c r="AL317" s="10"/>
      <c r="AM317" s="11" t="s">
        <v>131</v>
      </c>
      <c r="AN317" s="11" t="s">
        <v>131</v>
      </c>
      <c r="AO317" s="11" t="s">
        <v>131</v>
      </c>
      <c r="AP317" s="11" t="s">
        <v>131</v>
      </c>
      <c r="AQ317" s="11"/>
      <c r="AR317" s="7"/>
    </row>
    <row r="318" spans="1:44" ht="14.4" x14ac:dyDescent="0.3">
      <c r="A318" s="6" t="s">
        <v>202</v>
      </c>
      <c r="B318" s="6" t="s">
        <v>1564</v>
      </c>
      <c r="C318" s="6" t="s">
        <v>1776</v>
      </c>
      <c r="D318" s="6" t="s">
        <v>1566</v>
      </c>
      <c r="E318" s="6" t="s">
        <v>1777</v>
      </c>
      <c r="F318" s="7" t="s">
        <v>125</v>
      </c>
      <c r="G318" s="10"/>
      <c r="H318" s="7" t="s">
        <v>93</v>
      </c>
      <c r="I318" s="7"/>
      <c r="J318" s="10"/>
      <c r="K318" s="6" t="s">
        <v>90</v>
      </c>
      <c r="L318" s="7"/>
      <c r="M318" s="14"/>
      <c r="N318" s="7" t="s">
        <v>93</v>
      </c>
      <c r="O318" s="10"/>
      <c r="P318" s="7" t="s">
        <v>90</v>
      </c>
      <c r="Q318" s="15">
        <f>IF(P318="oui",MIN(Parametres!$B$4,MAX(Parametres!$B$3,IF(M318="",Parametres!$B$3,ROUND(M318*10%,0)))),"")</f>
        <v>0</v>
      </c>
      <c r="R318" s="7" t="s">
        <v>134</v>
      </c>
      <c r="S318" s="7" t="s">
        <v>90</v>
      </c>
      <c r="T318" s="15">
        <f>IF(S318="oui",Parametres!$B$5,"")</f>
        <v>500</v>
      </c>
      <c r="U318" s="7" t="s">
        <v>134</v>
      </c>
      <c r="V318" s="15">
        <f t="shared" si="16"/>
        <v>500</v>
      </c>
      <c r="W318" s="15" t="str">
        <f t="shared" si="17"/>
        <v/>
      </c>
      <c r="X318" s="6" t="s">
        <v>90</v>
      </c>
      <c r="Y318" s="7" t="s">
        <v>133</v>
      </c>
      <c r="Z318" s="10"/>
      <c r="AA318" s="6" t="s">
        <v>93</v>
      </c>
      <c r="AB318" s="7" t="s">
        <v>160</v>
      </c>
      <c r="AC318" s="10"/>
      <c r="AD318" s="9" t="str">
        <f t="shared" si="18"/>
        <v>oui</v>
      </c>
      <c r="AE318" s="9" t="str">
        <f t="shared" si="19"/>
        <v>TAE manquant</v>
      </c>
      <c r="AF318" s="7"/>
      <c r="AG318" s="10"/>
      <c r="AH318" s="10"/>
      <c r="AI318" s="7" t="s">
        <v>160</v>
      </c>
      <c r="AJ318" s="10"/>
      <c r="AK318" s="10"/>
      <c r="AL318" s="10"/>
      <c r="AM318" s="11" t="s">
        <v>131</v>
      </c>
      <c r="AN318" s="11" t="s">
        <v>131</v>
      </c>
      <c r="AO318" s="11" t="s">
        <v>131</v>
      </c>
      <c r="AP318" s="11" t="s">
        <v>131</v>
      </c>
      <c r="AQ318" s="11"/>
      <c r="AR318" s="7"/>
    </row>
    <row r="319" spans="1:44" ht="14.4" x14ac:dyDescent="0.3">
      <c r="A319" s="6" t="s">
        <v>202</v>
      </c>
      <c r="B319" s="6" t="s">
        <v>1564</v>
      </c>
      <c r="C319" s="6" t="s">
        <v>1781</v>
      </c>
      <c r="D319" s="6" t="s">
        <v>1566</v>
      </c>
      <c r="E319" s="6" t="s">
        <v>1782</v>
      </c>
      <c r="F319" s="7" t="s">
        <v>125</v>
      </c>
      <c r="G319" s="10"/>
      <c r="H319" s="7" t="s">
        <v>93</v>
      </c>
      <c r="I319" s="7"/>
      <c r="J319" s="10"/>
      <c r="K319" s="6" t="s">
        <v>90</v>
      </c>
      <c r="L319" s="7"/>
      <c r="M319" s="14"/>
      <c r="N319" s="7" t="s">
        <v>93</v>
      </c>
      <c r="O319" s="10"/>
      <c r="P319" s="7" t="s">
        <v>90</v>
      </c>
      <c r="Q319" s="15">
        <f>IF(P319="oui",MIN(Parametres!$B$4,MAX(Parametres!$B$3,IF(M319="",Parametres!$B$3,ROUND(M319*10%,0)))),"")</f>
        <v>0</v>
      </c>
      <c r="R319" s="7" t="s">
        <v>134</v>
      </c>
      <c r="S319" s="7" t="s">
        <v>90</v>
      </c>
      <c r="T319" s="15">
        <f>IF(S319="oui",Parametres!$B$5,"")</f>
        <v>500</v>
      </c>
      <c r="U319" s="7" t="s">
        <v>134</v>
      </c>
      <c r="V319" s="15">
        <f t="shared" si="16"/>
        <v>500</v>
      </c>
      <c r="W319" s="15" t="str">
        <f t="shared" si="17"/>
        <v/>
      </c>
      <c r="X319" s="6" t="s">
        <v>90</v>
      </c>
      <c r="Y319" s="7" t="s">
        <v>133</v>
      </c>
      <c r="Z319" s="10"/>
      <c r="AA319" s="6" t="s">
        <v>93</v>
      </c>
      <c r="AB319" s="7" t="s">
        <v>160</v>
      </c>
      <c r="AC319" s="10"/>
      <c r="AD319" s="9" t="str">
        <f t="shared" si="18"/>
        <v>oui</v>
      </c>
      <c r="AE319" s="9" t="str">
        <f t="shared" si="19"/>
        <v>TAE manquant</v>
      </c>
      <c r="AF319" s="7"/>
      <c r="AG319" s="10"/>
      <c r="AH319" s="10"/>
      <c r="AI319" s="7" t="s">
        <v>160</v>
      </c>
      <c r="AJ319" s="10"/>
      <c r="AK319" s="10"/>
      <c r="AL319" s="10"/>
      <c r="AM319" s="11" t="s">
        <v>131</v>
      </c>
      <c r="AN319" s="11" t="s">
        <v>131</v>
      </c>
      <c r="AO319" s="11" t="s">
        <v>131</v>
      </c>
      <c r="AP319" s="11" t="s">
        <v>131</v>
      </c>
      <c r="AQ319" s="11"/>
      <c r="AR319" s="7"/>
    </row>
    <row r="320" spans="1:44" ht="14.4" x14ac:dyDescent="0.3">
      <c r="A320" s="6" t="s">
        <v>202</v>
      </c>
      <c r="B320" s="6" t="s">
        <v>1564</v>
      </c>
      <c r="C320" s="6" t="s">
        <v>1787</v>
      </c>
      <c r="D320" s="6" t="s">
        <v>1566</v>
      </c>
      <c r="E320" s="6" t="s">
        <v>1788</v>
      </c>
      <c r="F320" s="7" t="s">
        <v>125</v>
      </c>
      <c r="G320" s="10"/>
      <c r="H320" s="7" t="s">
        <v>93</v>
      </c>
      <c r="I320" s="7"/>
      <c r="J320" s="10"/>
      <c r="K320" s="6" t="s">
        <v>90</v>
      </c>
      <c r="L320" s="7"/>
      <c r="M320" s="14"/>
      <c r="N320" s="7" t="s">
        <v>93</v>
      </c>
      <c r="O320" s="10"/>
      <c r="P320" s="7" t="s">
        <v>90</v>
      </c>
      <c r="Q320" s="15">
        <f>IF(P320="oui",MIN(Parametres!$B$4,MAX(Parametres!$B$3,IF(M320="",Parametres!$B$3,ROUND(M320*10%,0)))),"")</f>
        <v>0</v>
      </c>
      <c r="R320" s="7" t="s">
        <v>134</v>
      </c>
      <c r="S320" s="7" t="s">
        <v>90</v>
      </c>
      <c r="T320" s="15">
        <f>IF(S320="oui",Parametres!$B$5,"")</f>
        <v>500</v>
      </c>
      <c r="U320" s="7" t="s">
        <v>134</v>
      </c>
      <c r="V320" s="15">
        <f t="shared" si="16"/>
        <v>500</v>
      </c>
      <c r="W320" s="15" t="str">
        <f t="shared" si="17"/>
        <v/>
      </c>
      <c r="X320" s="6" t="s">
        <v>90</v>
      </c>
      <c r="Y320" s="7" t="s">
        <v>133</v>
      </c>
      <c r="Z320" s="10"/>
      <c r="AA320" s="6" t="s">
        <v>93</v>
      </c>
      <c r="AB320" s="7" t="s">
        <v>160</v>
      </c>
      <c r="AC320" s="10"/>
      <c r="AD320" s="9" t="str">
        <f t="shared" si="18"/>
        <v>oui</v>
      </c>
      <c r="AE320" s="9" t="str">
        <f t="shared" si="19"/>
        <v>TAE manquant</v>
      </c>
      <c r="AF320" s="7"/>
      <c r="AG320" s="10"/>
      <c r="AH320" s="10"/>
      <c r="AI320" s="7" t="s">
        <v>160</v>
      </c>
      <c r="AJ320" s="10"/>
      <c r="AK320" s="10"/>
      <c r="AL320" s="10"/>
      <c r="AM320" s="11" t="s">
        <v>131</v>
      </c>
      <c r="AN320" s="11" t="s">
        <v>131</v>
      </c>
      <c r="AO320" s="11" t="s">
        <v>131</v>
      </c>
      <c r="AP320" s="11" t="s">
        <v>131</v>
      </c>
      <c r="AQ320" s="11"/>
      <c r="AR320" s="7"/>
    </row>
    <row r="321" spans="1:44" ht="14.4" x14ac:dyDescent="0.3">
      <c r="A321" s="6" t="s">
        <v>202</v>
      </c>
      <c r="B321" s="6" t="s">
        <v>1564</v>
      </c>
      <c r="C321" s="6" t="s">
        <v>1791</v>
      </c>
      <c r="D321" s="6" t="s">
        <v>1566</v>
      </c>
      <c r="E321" s="6" t="s">
        <v>1792</v>
      </c>
      <c r="F321" s="7" t="s">
        <v>125</v>
      </c>
      <c r="G321" s="10"/>
      <c r="H321" s="7" t="s">
        <v>93</v>
      </c>
      <c r="I321" s="7"/>
      <c r="J321" s="10"/>
      <c r="K321" s="6" t="s">
        <v>90</v>
      </c>
      <c r="L321" s="7"/>
      <c r="M321" s="14"/>
      <c r="N321" s="7" t="s">
        <v>93</v>
      </c>
      <c r="O321" s="10"/>
      <c r="P321" s="7" t="s">
        <v>90</v>
      </c>
      <c r="Q321" s="15">
        <f>IF(P321="oui",MIN(Parametres!$B$4,MAX(Parametres!$B$3,IF(M321="",Parametres!$B$3,ROUND(M321*10%,0)))),"")</f>
        <v>0</v>
      </c>
      <c r="R321" s="7" t="s">
        <v>134</v>
      </c>
      <c r="S321" s="7" t="s">
        <v>90</v>
      </c>
      <c r="T321" s="15">
        <f>IF(S321="oui",Parametres!$B$5,"")</f>
        <v>500</v>
      </c>
      <c r="U321" s="7" t="s">
        <v>134</v>
      </c>
      <c r="V321" s="15">
        <f t="shared" si="16"/>
        <v>500</v>
      </c>
      <c r="W321" s="15" t="str">
        <f t="shared" si="17"/>
        <v/>
      </c>
      <c r="X321" s="6" t="s">
        <v>90</v>
      </c>
      <c r="Y321" s="7" t="s">
        <v>133</v>
      </c>
      <c r="Z321" s="10"/>
      <c r="AA321" s="6" t="s">
        <v>93</v>
      </c>
      <c r="AB321" s="7" t="s">
        <v>160</v>
      </c>
      <c r="AC321" s="10"/>
      <c r="AD321" s="9" t="str">
        <f t="shared" si="18"/>
        <v>oui</v>
      </c>
      <c r="AE321" s="9" t="str">
        <f t="shared" si="19"/>
        <v>TAE manquant</v>
      </c>
      <c r="AF321" s="7"/>
      <c r="AG321" s="10"/>
      <c r="AH321" s="10"/>
      <c r="AI321" s="7" t="s">
        <v>160</v>
      </c>
      <c r="AJ321" s="10"/>
      <c r="AK321" s="10"/>
      <c r="AL321" s="10"/>
      <c r="AM321" s="11" t="s">
        <v>131</v>
      </c>
      <c r="AN321" s="11" t="s">
        <v>131</v>
      </c>
      <c r="AO321" s="11" t="s">
        <v>131</v>
      </c>
      <c r="AP321" s="11" t="s">
        <v>131</v>
      </c>
      <c r="AQ321" s="11"/>
      <c r="AR321" s="7"/>
    </row>
    <row r="322" spans="1:44" ht="14.4" x14ac:dyDescent="0.3">
      <c r="A322" s="6" t="s">
        <v>202</v>
      </c>
      <c r="B322" s="6" t="s">
        <v>1564</v>
      </c>
      <c r="C322" s="6" t="s">
        <v>1796</v>
      </c>
      <c r="D322" s="6" t="s">
        <v>1566</v>
      </c>
      <c r="E322" s="6" t="s">
        <v>1797</v>
      </c>
      <c r="F322" s="7" t="s">
        <v>125</v>
      </c>
      <c r="G322" s="10"/>
      <c r="H322" s="7" t="s">
        <v>93</v>
      </c>
      <c r="I322" s="7"/>
      <c r="J322" s="10"/>
      <c r="K322" s="6" t="s">
        <v>90</v>
      </c>
      <c r="L322" s="7"/>
      <c r="M322" s="14"/>
      <c r="N322" s="7" t="s">
        <v>93</v>
      </c>
      <c r="O322" s="10"/>
      <c r="P322" s="7" t="s">
        <v>90</v>
      </c>
      <c r="Q322" s="15">
        <f>IF(P322="oui",MIN(Parametres!$B$4,MAX(Parametres!$B$3,IF(M322="",Parametres!$B$3,ROUND(M322*10%,0)))),"")</f>
        <v>0</v>
      </c>
      <c r="R322" s="7" t="s">
        <v>134</v>
      </c>
      <c r="S322" s="7" t="s">
        <v>90</v>
      </c>
      <c r="T322" s="15">
        <f>IF(S322="oui",Parametres!$B$5,"")</f>
        <v>500</v>
      </c>
      <c r="U322" s="7" t="s">
        <v>134</v>
      </c>
      <c r="V322" s="15">
        <f t="shared" ref="V322:V385" si="20">SUM(Q322,T322)</f>
        <v>500</v>
      </c>
      <c r="W322" s="15" t="str">
        <f t="shared" ref="W322:W385" si="21">IF(M322="","",M322-V322)</f>
        <v/>
      </c>
      <c r="X322" s="6" t="s">
        <v>90</v>
      </c>
      <c r="Y322" s="7" t="s">
        <v>133</v>
      </c>
      <c r="Z322" s="10"/>
      <c r="AA322" s="6" t="s">
        <v>93</v>
      </c>
      <c r="AB322" s="7" t="s">
        <v>160</v>
      </c>
      <c r="AC322" s="10"/>
      <c r="AD322" s="9" t="str">
        <f t="shared" ref="AD322:AD385" si="22">IF(K322&lt;&gt;"oui","oui",IF(OR(AND(X322="oui",Y322&lt;&gt;"fait"),AND(AA322="oui",AB322&lt;&gt;"fait"),AND(P322="oui",R322&lt;&gt;"valide"),AND(S322="oui",U322&lt;&gt;"valide"),N322&lt;&gt;"oui"),"oui","non"))</f>
        <v>oui</v>
      </c>
      <c r="AE322" s="9" t="str">
        <f t="shared" ref="AE322:AE385" si="23">IF(K322&lt;&gt;"oui","Résidence ou logement non vendable",IF(AND(X322="oui",Y322&lt;&gt;"fait"),"TAE manquant",IF(AND(AA322="oui",AB322&lt;&gt;"fait"),"SPANC manquant",IF(AND(P322="oui",R322&lt;&gt;"valide"),"Chèque primo non validé",IF(AND(S322="oui",U322&lt;&gt;"valide"),"Chèque CINOR non validé",IF(N322&lt;&gt;"oui","Prix non confirmé",""))))))</f>
        <v>TAE manquant</v>
      </c>
      <c r="AF322" s="7"/>
      <c r="AG322" s="10"/>
      <c r="AH322" s="10"/>
      <c r="AI322" s="7" t="s">
        <v>160</v>
      </c>
      <c r="AJ322" s="10"/>
      <c r="AK322" s="10"/>
      <c r="AL322" s="10"/>
      <c r="AM322" s="11" t="s">
        <v>131</v>
      </c>
      <c r="AN322" s="11" t="s">
        <v>131</v>
      </c>
      <c r="AO322" s="11" t="s">
        <v>131</v>
      </c>
      <c r="AP322" s="11" t="s">
        <v>131</v>
      </c>
      <c r="AQ322" s="11"/>
      <c r="AR322" s="7"/>
    </row>
    <row r="323" spans="1:44" ht="14.4" x14ac:dyDescent="0.3">
      <c r="A323" s="6" t="s">
        <v>202</v>
      </c>
      <c r="B323" s="6" t="s">
        <v>1564</v>
      </c>
      <c r="C323" s="6" t="s">
        <v>1802</v>
      </c>
      <c r="D323" s="6" t="s">
        <v>1566</v>
      </c>
      <c r="E323" s="6" t="s">
        <v>1803</v>
      </c>
      <c r="F323" s="7" t="s">
        <v>125</v>
      </c>
      <c r="G323" s="10"/>
      <c r="H323" s="7" t="s">
        <v>93</v>
      </c>
      <c r="I323" s="7"/>
      <c r="J323" s="10"/>
      <c r="K323" s="6" t="s">
        <v>90</v>
      </c>
      <c r="L323" s="7"/>
      <c r="M323" s="14"/>
      <c r="N323" s="7" t="s">
        <v>93</v>
      </c>
      <c r="O323" s="10"/>
      <c r="P323" s="7" t="s">
        <v>90</v>
      </c>
      <c r="Q323" s="15">
        <f>IF(P323="oui",MIN(Parametres!$B$4,MAX(Parametres!$B$3,IF(M323="",Parametres!$B$3,ROUND(M323*10%,0)))),"")</f>
        <v>0</v>
      </c>
      <c r="R323" s="7" t="s">
        <v>134</v>
      </c>
      <c r="S323" s="7" t="s">
        <v>90</v>
      </c>
      <c r="T323" s="15">
        <f>IF(S323="oui",Parametres!$B$5,"")</f>
        <v>500</v>
      </c>
      <c r="U323" s="7" t="s">
        <v>134</v>
      </c>
      <c r="V323" s="15">
        <f t="shared" si="20"/>
        <v>500</v>
      </c>
      <c r="W323" s="15" t="str">
        <f t="shared" si="21"/>
        <v/>
      </c>
      <c r="X323" s="6" t="s">
        <v>90</v>
      </c>
      <c r="Y323" s="7" t="s">
        <v>133</v>
      </c>
      <c r="Z323" s="10"/>
      <c r="AA323" s="6" t="s">
        <v>93</v>
      </c>
      <c r="AB323" s="7" t="s">
        <v>160</v>
      </c>
      <c r="AC323" s="10"/>
      <c r="AD323" s="9" t="str">
        <f t="shared" si="22"/>
        <v>oui</v>
      </c>
      <c r="AE323" s="9" t="str">
        <f t="shared" si="23"/>
        <v>TAE manquant</v>
      </c>
      <c r="AF323" s="7"/>
      <c r="AG323" s="10"/>
      <c r="AH323" s="10"/>
      <c r="AI323" s="7" t="s">
        <v>160</v>
      </c>
      <c r="AJ323" s="10"/>
      <c r="AK323" s="10"/>
      <c r="AL323" s="10"/>
      <c r="AM323" s="11" t="s">
        <v>131</v>
      </c>
      <c r="AN323" s="11" t="s">
        <v>131</v>
      </c>
      <c r="AO323" s="11" t="s">
        <v>131</v>
      </c>
      <c r="AP323" s="11" t="s">
        <v>131</v>
      </c>
      <c r="AQ323" s="11"/>
      <c r="AR323" s="7"/>
    </row>
    <row r="324" spans="1:44" ht="14.4" x14ac:dyDescent="0.3">
      <c r="A324" s="6" t="s">
        <v>202</v>
      </c>
      <c r="B324" s="6" t="s">
        <v>1564</v>
      </c>
      <c r="C324" s="6" t="s">
        <v>1807</v>
      </c>
      <c r="D324" s="6" t="s">
        <v>1566</v>
      </c>
      <c r="E324" s="6" t="s">
        <v>1808</v>
      </c>
      <c r="F324" s="7" t="s">
        <v>125</v>
      </c>
      <c r="G324" s="10"/>
      <c r="H324" s="7" t="s">
        <v>93</v>
      </c>
      <c r="I324" s="7"/>
      <c r="J324" s="10"/>
      <c r="K324" s="6" t="s">
        <v>90</v>
      </c>
      <c r="L324" s="7"/>
      <c r="M324" s="14"/>
      <c r="N324" s="7" t="s">
        <v>93</v>
      </c>
      <c r="O324" s="10"/>
      <c r="P324" s="7" t="s">
        <v>90</v>
      </c>
      <c r="Q324" s="15">
        <f>IF(P324="oui",MIN(Parametres!$B$4,MAX(Parametres!$B$3,IF(M324="",Parametres!$B$3,ROUND(M324*10%,0)))),"")</f>
        <v>0</v>
      </c>
      <c r="R324" s="7" t="s">
        <v>134</v>
      </c>
      <c r="S324" s="7" t="s">
        <v>90</v>
      </c>
      <c r="T324" s="15">
        <f>IF(S324="oui",Parametres!$B$5,"")</f>
        <v>500</v>
      </c>
      <c r="U324" s="7" t="s">
        <v>134</v>
      </c>
      <c r="V324" s="15">
        <f t="shared" si="20"/>
        <v>500</v>
      </c>
      <c r="W324" s="15" t="str">
        <f t="shared" si="21"/>
        <v/>
      </c>
      <c r="X324" s="6" t="s">
        <v>90</v>
      </c>
      <c r="Y324" s="7" t="s">
        <v>133</v>
      </c>
      <c r="Z324" s="10"/>
      <c r="AA324" s="6" t="s">
        <v>93</v>
      </c>
      <c r="AB324" s="7" t="s">
        <v>160</v>
      </c>
      <c r="AC324" s="10"/>
      <c r="AD324" s="9" t="str">
        <f t="shared" si="22"/>
        <v>oui</v>
      </c>
      <c r="AE324" s="9" t="str">
        <f t="shared" si="23"/>
        <v>TAE manquant</v>
      </c>
      <c r="AF324" s="7"/>
      <c r="AG324" s="10"/>
      <c r="AH324" s="10"/>
      <c r="AI324" s="7" t="s">
        <v>160</v>
      </c>
      <c r="AJ324" s="10"/>
      <c r="AK324" s="10"/>
      <c r="AL324" s="10"/>
      <c r="AM324" s="11" t="s">
        <v>131</v>
      </c>
      <c r="AN324" s="11" t="s">
        <v>131</v>
      </c>
      <c r="AO324" s="11" t="s">
        <v>131</v>
      </c>
      <c r="AP324" s="11" t="s">
        <v>131</v>
      </c>
      <c r="AQ324" s="11"/>
      <c r="AR324" s="7"/>
    </row>
    <row r="325" spans="1:44" ht="14.4" x14ac:dyDescent="0.3">
      <c r="A325" s="6" t="s">
        <v>202</v>
      </c>
      <c r="B325" s="6" t="s">
        <v>1564</v>
      </c>
      <c r="C325" s="6" t="s">
        <v>1812</v>
      </c>
      <c r="D325" s="6" t="s">
        <v>1566</v>
      </c>
      <c r="E325" s="6" t="s">
        <v>1813</v>
      </c>
      <c r="F325" s="7" t="s">
        <v>125</v>
      </c>
      <c r="G325" s="10"/>
      <c r="H325" s="7" t="s">
        <v>93</v>
      </c>
      <c r="I325" s="7"/>
      <c r="J325" s="10"/>
      <c r="K325" s="6" t="s">
        <v>90</v>
      </c>
      <c r="L325" s="7"/>
      <c r="M325" s="14"/>
      <c r="N325" s="7" t="s">
        <v>93</v>
      </c>
      <c r="O325" s="10"/>
      <c r="P325" s="7" t="s">
        <v>90</v>
      </c>
      <c r="Q325" s="15">
        <f>IF(P325="oui",MIN(Parametres!$B$4,MAX(Parametres!$B$3,IF(M325="",Parametres!$B$3,ROUND(M325*10%,0)))),"")</f>
        <v>0</v>
      </c>
      <c r="R325" s="7" t="s">
        <v>134</v>
      </c>
      <c r="S325" s="7" t="s">
        <v>90</v>
      </c>
      <c r="T325" s="15">
        <f>IF(S325="oui",Parametres!$B$5,"")</f>
        <v>500</v>
      </c>
      <c r="U325" s="7" t="s">
        <v>134</v>
      </c>
      <c r="V325" s="15">
        <f t="shared" si="20"/>
        <v>500</v>
      </c>
      <c r="W325" s="15" t="str">
        <f t="shared" si="21"/>
        <v/>
      </c>
      <c r="X325" s="6" t="s">
        <v>90</v>
      </c>
      <c r="Y325" s="7" t="s">
        <v>133</v>
      </c>
      <c r="Z325" s="10"/>
      <c r="AA325" s="6" t="s">
        <v>93</v>
      </c>
      <c r="AB325" s="7" t="s">
        <v>160</v>
      </c>
      <c r="AC325" s="10"/>
      <c r="AD325" s="9" t="str">
        <f t="shared" si="22"/>
        <v>oui</v>
      </c>
      <c r="AE325" s="9" t="str">
        <f t="shared" si="23"/>
        <v>TAE manquant</v>
      </c>
      <c r="AF325" s="7"/>
      <c r="AG325" s="10"/>
      <c r="AH325" s="10"/>
      <c r="AI325" s="7" t="s">
        <v>160</v>
      </c>
      <c r="AJ325" s="10"/>
      <c r="AK325" s="10"/>
      <c r="AL325" s="10"/>
      <c r="AM325" s="11" t="s">
        <v>131</v>
      </c>
      <c r="AN325" s="11" t="s">
        <v>131</v>
      </c>
      <c r="AO325" s="11" t="s">
        <v>131</v>
      </c>
      <c r="AP325" s="11" t="s">
        <v>131</v>
      </c>
      <c r="AQ325" s="11"/>
      <c r="AR325" s="7"/>
    </row>
    <row r="326" spans="1:44" ht="14.4" x14ac:dyDescent="0.3">
      <c r="A326" s="6" t="s">
        <v>270</v>
      </c>
      <c r="B326" s="6" t="s">
        <v>1818</v>
      </c>
      <c r="C326" s="6" t="s">
        <v>1819</v>
      </c>
      <c r="D326" s="6" t="s">
        <v>1820</v>
      </c>
      <c r="E326" s="6" t="s">
        <v>1821</v>
      </c>
      <c r="F326" s="7" t="s">
        <v>125</v>
      </c>
      <c r="G326" s="10"/>
      <c r="H326" s="7" t="s">
        <v>93</v>
      </c>
      <c r="I326" s="7"/>
      <c r="J326" s="10"/>
      <c r="K326" s="6" t="s">
        <v>90</v>
      </c>
      <c r="L326" s="7"/>
      <c r="M326" s="14"/>
      <c r="N326" s="7" t="s">
        <v>93</v>
      </c>
      <c r="O326" s="10"/>
      <c r="P326" s="7" t="s">
        <v>90</v>
      </c>
      <c r="Q326" s="15">
        <f>IF(P326="oui",MIN(Parametres!$B$4,MAX(Parametres!$B$3,IF(M326="",Parametres!$B$3,ROUND(M326*10%,0)))),"")</f>
        <v>0</v>
      </c>
      <c r="R326" s="7" t="s">
        <v>134</v>
      </c>
      <c r="S326" s="7" t="s">
        <v>90</v>
      </c>
      <c r="T326" s="15">
        <f>IF(S326="oui",Parametres!$B$5,"")</f>
        <v>500</v>
      </c>
      <c r="U326" s="7" t="s">
        <v>134</v>
      </c>
      <c r="V326" s="15">
        <f t="shared" si="20"/>
        <v>500</v>
      </c>
      <c r="W326" s="15" t="str">
        <f t="shared" si="21"/>
        <v/>
      </c>
      <c r="X326" s="6" t="s">
        <v>90</v>
      </c>
      <c r="Y326" s="7" t="s">
        <v>133</v>
      </c>
      <c r="Z326" s="10"/>
      <c r="AA326" s="6" t="s">
        <v>93</v>
      </c>
      <c r="AB326" s="7" t="s">
        <v>160</v>
      </c>
      <c r="AC326" s="10"/>
      <c r="AD326" s="9" t="str">
        <f t="shared" si="22"/>
        <v>oui</v>
      </c>
      <c r="AE326" s="9" t="str">
        <f t="shared" si="23"/>
        <v>TAE manquant</v>
      </c>
      <c r="AF326" s="7"/>
      <c r="AG326" s="10"/>
      <c r="AH326" s="10"/>
      <c r="AI326" s="7" t="s">
        <v>160</v>
      </c>
      <c r="AJ326" s="10"/>
      <c r="AK326" s="10"/>
      <c r="AL326" s="10"/>
      <c r="AM326" s="11" t="s">
        <v>131</v>
      </c>
      <c r="AN326" s="11" t="s">
        <v>131</v>
      </c>
      <c r="AO326" s="11" t="s">
        <v>131</v>
      </c>
      <c r="AP326" s="11" t="s">
        <v>131</v>
      </c>
      <c r="AQ326" s="11"/>
      <c r="AR326" s="7"/>
    </row>
    <row r="327" spans="1:44" ht="14.4" x14ac:dyDescent="0.3">
      <c r="A327" s="6" t="s">
        <v>270</v>
      </c>
      <c r="B327" s="6" t="s">
        <v>1818</v>
      </c>
      <c r="C327" s="6" t="s">
        <v>1825</v>
      </c>
      <c r="D327" s="6" t="s">
        <v>1820</v>
      </c>
      <c r="E327" s="6" t="s">
        <v>1826</v>
      </c>
      <c r="F327" s="7" t="s">
        <v>125</v>
      </c>
      <c r="G327" s="10"/>
      <c r="H327" s="7" t="s">
        <v>93</v>
      </c>
      <c r="I327" s="7"/>
      <c r="J327" s="10"/>
      <c r="K327" s="6" t="s">
        <v>90</v>
      </c>
      <c r="L327" s="7"/>
      <c r="M327" s="14"/>
      <c r="N327" s="7" t="s">
        <v>93</v>
      </c>
      <c r="O327" s="10"/>
      <c r="P327" s="7" t="s">
        <v>90</v>
      </c>
      <c r="Q327" s="15">
        <f>IF(P327="oui",MIN(Parametres!$B$4,MAX(Parametres!$B$3,IF(M327="",Parametres!$B$3,ROUND(M327*10%,0)))),"")</f>
        <v>0</v>
      </c>
      <c r="R327" s="7" t="s">
        <v>134</v>
      </c>
      <c r="S327" s="7" t="s">
        <v>90</v>
      </c>
      <c r="T327" s="15">
        <f>IF(S327="oui",Parametres!$B$5,"")</f>
        <v>500</v>
      </c>
      <c r="U327" s="7" t="s">
        <v>134</v>
      </c>
      <c r="V327" s="15">
        <f t="shared" si="20"/>
        <v>500</v>
      </c>
      <c r="W327" s="15" t="str">
        <f t="shared" si="21"/>
        <v/>
      </c>
      <c r="X327" s="6" t="s">
        <v>90</v>
      </c>
      <c r="Y327" s="7" t="s">
        <v>133</v>
      </c>
      <c r="Z327" s="10"/>
      <c r="AA327" s="6" t="s">
        <v>93</v>
      </c>
      <c r="AB327" s="7" t="s">
        <v>160</v>
      </c>
      <c r="AC327" s="10"/>
      <c r="AD327" s="9" t="str">
        <f t="shared" si="22"/>
        <v>oui</v>
      </c>
      <c r="AE327" s="9" t="str">
        <f t="shared" si="23"/>
        <v>TAE manquant</v>
      </c>
      <c r="AF327" s="7"/>
      <c r="AG327" s="10"/>
      <c r="AH327" s="10"/>
      <c r="AI327" s="7" t="s">
        <v>160</v>
      </c>
      <c r="AJ327" s="10"/>
      <c r="AK327" s="10"/>
      <c r="AL327" s="10"/>
      <c r="AM327" s="11" t="s">
        <v>131</v>
      </c>
      <c r="AN327" s="11" t="s">
        <v>131</v>
      </c>
      <c r="AO327" s="11" t="s">
        <v>131</v>
      </c>
      <c r="AP327" s="11" t="s">
        <v>131</v>
      </c>
      <c r="AQ327" s="11"/>
      <c r="AR327" s="7"/>
    </row>
    <row r="328" spans="1:44" ht="14.4" x14ac:dyDescent="0.3">
      <c r="A328" s="6" t="s">
        <v>270</v>
      </c>
      <c r="B328" s="6" t="s">
        <v>1818</v>
      </c>
      <c r="C328" s="6" t="s">
        <v>1831</v>
      </c>
      <c r="D328" s="6" t="s">
        <v>1820</v>
      </c>
      <c r="E328" s="6" t="s">
        <v>1832</v>
      </c>
      <c r="F328" s="7" t="s">
        <v>125</v>
      </c>
      <c r="G328" s="10"/>
      <c r="H328" s="7" t="s">
        <v>93</v>
      </c>
      <c r="I328" s="7"/>
      <c r="J328" s="10"/>
      <c r="K328" s="6" t="s">
        <v>90</v>
      </c>
      <c r="L328" s="7"/>
      <c r="M328" s="14"/>
      <c r="N328" s="7" t="s">
        <v>93</v>
      </c>
      <c r="O328" s="10"/>
      <c r="P328" s="7" t="s">
        <v>90</v>
      </c>
      <c r="Q328" s="15">
        <f>IF(P328="oui",MIN(Parametres!$B$4,MAX(Parametres!$B$3,IF(M328="",Parametres!$B$3,ROUND(M328*10%,0)))),"")</f>
        <v>0</v>
      </c>
      <c r="R328" s="7" t="s">
        <v>134</v>
      </c>
      <c r="S328" s="7" t="s">
        <v>90</v>
      </c>
      <c r="T328" s="15">
        <f>IF(S328="oui",Parametres!$B$5,"")</f>
        <v>500</v>
      </c>
      <c r="U328" s="7" t="s">
        <v>134</v>
      </c>
      <c r="V328" s="15">
        <f t="shared" si="20"/>
        <v>500</v>
      </c>
      <c r="W328" s="15" t="str">
        <f t="shared" si="21"/>
        <v/>
      </c>
      <c r="X328" s="6" t="s">
        <v>90</v>
      </c>
      <c r="Y328" s="7" t="s">
        <v>133</v>
      </c>
      <c r="Z328" s="10"/>
      <c r="AA328" s="6" t="s">
        <v>93</v>
      </c>
      <c r="AB328" s="7" t="s">
        <v>160</v>
      </c>
      <c r="AC328" s="10"/>
      <c r="AD328" s="9" t="str">
        <f t="shared" si="22"/>
        <v>oui</v>
      </c>
      <c r="AE328" s="9" t="str">
        <f t="shared" si="23"/>
        <v>TAE manquant</v>
      </c>
      <c r="AF328" s="7"/>
      <c r="AG328" s="10"/>
      <c r="AH328" s="10"/>
      <c r="AI328" s="7" t="s">
        <v>160</v>
      </c>
      <c r="AJ328" s="10"/>
      <c r="AK328" s="10"/>
      <c r="AL328" s="10"/>
      <c r="AM328" s="11" t="s">
        <v>131</v>
      </c>
      <c r="AN328" s="11" t="s">
        <v>131</v>
      </c>
      <c r="AO328" s="11" t="s">
        <v>131</v>
      </c>
      <c r="AP328" s="11" t="s">
        <v>131</v>
      </c>
      <c r="AQ328" s="11"/>
      <c r="AR328" s="7"/>
    </row>
    <row r="329" spans="1:44" ht="14.4" x14ac:dyDescent="0.3">
      <c r="A329" s="6" t="s">
        <v>270</v>
      </c>
      <c r="B329" s="6" t="s">
        <v>1818</v>
      </c>
      <c r="C329" s="6" t="s">
        <v>1836</v>
      </c>
      <c r="D329" s="6" t="s">
        <v>1820</v>
      </c>
      <c r="E329" s="6" t="s">
        <v>1837</v>
      </c>
      <c r="F329" s="7" t="s">
        <v>125</v>
      </c>
      <c r="G329" s="10"/>
      <c r="H329" s="7" t="s">
        <v>93</v>
      </c>
      <c r="I329" s="7"/>
      <c r="J329" s="10"/>
      <c r="K329" s="6" t="s">
        <v>90</v>
      </c>
      <c r="L329" s="7"/>
      <c r="M329" s="14"/>
      <c r="N329" s="7" t="s">
        <v>93</v>
      </c>
      <c r="O329" s="10"/>
      <c r="P329" s="7" t="s">
        <v>90</v>
      </c>
      <c r="Q329" s="15">
        <f>IF(P329="oui",MIN(Parametres!$B$4,MAX(Parametres!$B$3,IF(M329="",Parametres!$B$3,ROUND(M329*10%,0)))),"")</f>
        <v>0</v>
      </c>
      <c r="R329" s="7" t="s">
        <v>134</v>
      </c>
      <c r="S329" s="7" t="s">
        <v>90</v>
      </c>
      <c r="T329" s="15">
        <f>IF(S329="oui",Parametres!$B$5,"")</f>
        <v>500</v>
      </c>
      <c r="U329" s="7" t="s">
        <v>134</v>
      </c>
      <c r="V329" s="15">
        <f t="shared" si="20"/>
        <v>500</v>
      </c>
      <c r="W329" s="15" t="str">
        <f t="shared" si="21"/>
        <v/>
      </c>
      <c r="X329" s="6" t="s">
        <v>90</v>
      </c>
      <c r="Y329" s="7" t="s">
        <v>133</v>
      </c>
      <c r="Z329" s="10"/>
      <c r="AA329" s="6" t="s">
        <v>93</v>
      </c>
      <c r="AB329" s="7" t="s">
        <v>160</v>
      </c>
      <c r="AC329" s="10"/>
      <c r="AD329" s="9" t="str">
        <f t="shared" si="22"/>
        <v>oui</v>
      </c>
      <c r="AE329" s="9" t="str">
        <f t="shared" si="23"/>
        <v>TAE manquant</v>
      </c>
      <c r="AF329" s="7"/>
      <c r="AG329" s="10"/>
      <c r="AH329" s="10"/>
      <c r="AI329" s="7" t="s">
        <v>160</v>
      </c>
      <c r="AJ329" s="10"/>
      <c r="AK329" s="10"/>
      <c r="AL329" s="10"/>
      <c r="AM329" s="11" t="s">
        <v>131</v>
      </c>
      <c r="AN329" s="11" t="s">
        <v>131</v>
      </c>
      <c r="AO329" s="11" t="s">
        <v>131</v>
      </c>
      <c r="AP329" s="11" t="s">
        <v>131</v>
      </c>
      <c r="AQ329" s="11"/>
      <c r="AR329" s="7"/>
    </row>
    <row r="330" spans="1:44" ht="14.4" x14ac:dyDescent="0.3">
      <c r="A330" s="6" t="s">
        <v>270</v>
      </c>
      <c r="B330" s="6" t="s">
        <v>1818</v>
      </c>
      <c r="C330" s="6" t="s">
        <v>1841</v>
      </c>
      <c r="D330" s="6" t="s">
        <v>1820</v>
      </c>
      <c r="E330" s="6" t="s">
        <v>1842</v>
      </c>
      <c r="F330" s="7" t="s">
        <v>125</v>
      </c>
      <c r="G330" s="10"/>
      <c r="H330" s="7" t="s">
        <v>93</v>
      </c>
      <c r="I330" s="7"/>
      <c r="J330" s="10"/>
      <c r="K330" s="6" t="s">
        <v>90</v>
      </c>
      <c r="L330" s="7"/>
      <c r="M330" s="14"/>
      <c r="N330" s="7" t="s">
        <v>93</v>
      </c>
      <c r="O330" s="10"/>
      <c r="P330" s="7" t="s">
        <v>90</v>
      </c>
      <c r="Q330" s="15">
        <f>IF(P330="oui",MIN(Parametres!$B$4,MAX(Parametres!$B$3,IF(M330="",Parametres!$B$3,ROUND(M330*10%,0)))),"")</f>
        <v>0</v>
      </c>
      <c r="R330" s="7" t="s">
        <v>134</v>
      </c>
      <c r="S330" s="7" t="s">
        <v>90</v>
      </c>
      <c r="T330" s="15">
        <f>IF(S330="oui",Parametres!$B$5,"")</f>
        <v>500</v>
      </c>
      <c r="U330" s="7" t="s">
        <v>134</v>
      </c>
      <c r="V330" s="15">
        <f t="shared" si="20"/>
        <v>500</v>
      </c>
      <c r="W330" s="15" t="str">
        <f t="shared" si="21"/>
        <v/>
      </c>
      <c r="X330" s="6" t="s">
        <v>90</v>
      </c>
      <c r="Y330" s="7" t="s">
        <v>133</v>
      </c>
      <c r="Z330" s="10"/>
      <c r="AA330" s="6" t="s">
        <v>93</v>
      </c>
      <c r="AB330" s="7" t="s">
        <v>160</v>
      </c>
      <c r="AC330" s="10"/>
      <c r="AD330" s="9" t="str">
        <f t="shared" si="22"/>
        <v>oui</v>
      </c>
      <c r="AE330" s="9" t="str">
        <f t="shared" si="23"/>
        <v>TAE manquant</v>
      </c>
      <c r="AF330" s="7"/>
      <c r="AG330" s="10"/>
      <c r="AH330" s="10"/>
      <c r="AI330" s="7" t="s">
        <v>160</v>
      </c>
      <c r="AJ330" s="10"/>
      <c r="AK330" s="10"/>
      <c r="AL330" s="10"/>
      <c r="AM330" s="11" t="s">
        <v>131</v>
      </c>
      <c r="AN330" s="11" t="s">
        <v>131</v>
      </c>
      <c r="AO330" s="11" t="s">
        <v>131</v>
      </c>
      <c r="AP330" s="11" t="s">
        <v>131</v>
      </c>
      <c r="AQ330" s="11"/>
      <c r="AR330" s="7"/>
    </row>
    <row r="331" spans="1:44" ht="14.4" x14ac:dyDescent="0.3">
      <c r="A331" s="6" t="s">
        <v>270</v>
      </c>
      <c r="B331" s="6" t="s">
        <v>1818</v>
      </c>
      <c r="C331" s="6" t="s">
        <v>1847</v>
      </c>
      <c r="D331" s="6" t="s">
        <v>1820</v>
      </c>
      <c r="E331" s="6" t="s">
        <v>1848</v>
      </c>
      <c r="F331" s="7" t="s">
        <v>125</v>
      </c>
      <c r="G331" s="10"/>
      <c r="H331" s="7" t="s">
        <v>93</v>
      </c>
      <c r="I331" s="7"/>
      <c r="J331" s="10"/>
      <c r="K331" s="6" t="s">
        <v>90</v>
      </c>
      <c r="L331" s="7"/>
      <c r="M331" s="14"/>
      <c r="N331" s="7" t="s">
        <v>93</v>
      </c>
      <c r="O331" s="10"/>
      <c r="P331" s="7" t="s">
        <v>90</v>
      </c>
      <c r="Q331" s="15">
        <f>IF(P331="oui",MIN(Parametres!$B$4,MAX(Parametres!$B$3,IF(M331="",Parametres!$B$3,ROUND(M331*10%,0)))),"")</f>
        <v>0</v>
      </c>
      <c r="R331" s="7" t="s">
        <v>134</v>
      </c>
      <c r="S331" s="7" t="s">
        <v>90</v>
      </c>
      <c r="T331" s="15">
        <f>IF(S331="oui",Parametres!$B$5,"")</f>
        <v>500</v>
      </c>
      <c r="U331" s="7" t="s">
        <v>134</v>
      </c>
      <c r="V331" s="15">
        <f t="shared" si="20"/>
        <v>500</v>
      </c>
      <c r="W331" s="15" t="str">
        <f t="shared" si="21"/>
        <v/>
      </c>
      <c r="X331" s="6" t="s">
        <v>90</v>
      </c>
      <c r="Y331" s="7" t="s">
        <v>133</v>
      </c>
      <c r="Z331" s="10"/>
      <c r="AA331" s="6" t="s">
        <v>93</v>
      </c>
      <c r="AB331" s="7" t="s">
        <v>160</v>
      </c>
      <c r="AC331" s="10"/>
      <c r="AD331" s="9" t="str">
        <f t="shared" si="22"/>
        <v>oui</v>
      </c>
      <c r="AE331" s="9" t="str">
        <f t="shared" si="23"/>
        <v>TAE manquant</v>
      </c>
      <c r="AF331" s="7"/>
      <c r="AG331" s="10"/>
      <c r="AH331" s="10"/>
      <c r="AI331" s="7" t="s">
        <v>160</v>
      </c>
      <c r="AJ331" s="10"/>
      <c r="AK331" s="10"/>
      <c r="AL331" s="10"/>
      <c r="AM331" s="11" t="s">
        <v>131</v>
      </c>
      <c r="AN331" s="11" t="s">
        <v>131</v>
      </c>
      <c r="AO331" s="11" t="s">
        <v>131</v>
      </c>
      <c r="AP331" s="11" t="s">
        <v>131</v>
      </c>
      <c r="AQ331" s="11"/>
      <c r="AR331" s="7"/>
    </row>
    <row r="332" spans="1:44" ht="14.4" x14ac:dyDescent="0.3">
      <c r="A332" s="6" t="s">
        <v>270</v>
      </c>
      <c r="B332" s="6" t="s">
        <v>1818</v>
      </c>
      <c r="C332" s="6" t="s">
        <v>1852</v>
      </c>
      <c r="D332" s="6" t="s">
        <v>1820</v>
      </c>
      <c r="E332" s="6" t="s">
        <v>1853</v>
      </c>
      <c r="F332" s="7" t="s">
        <v>125</v>
      </c>
      <c r="G332" s="10"/>
      <c r="H332" s="7" t="s">
        <v>93</v>
      </c>
      <c r="I332" s="7"/>
      <c r="J332" s="10"/>
      <c r="K332" s="6" t="s">
        <v>90</v>
      </c>
      <c r="L332" s="7"/>
      <c r="M332" s="14"/>
      <c r="N332" s="7" t="s">
        <v>93</v>
      </c>
      <c r="O332" s="10"/>
      <c r="P332" s="7" t="s">
        <v>90</v>
      </c>
      <c r="Q332" s="15">
        <f>IF(P332="oui",MIN(Parametres!$B$4,MAX(Parametres!$B$3,IF(M332="",Parametres!$B$3,ROUND(M332*10%,0)))),"")</f>
        <v>0</v>
      </c>
      <c r="R332" s="7" t="s">
        <v>134</v>
      </c>
      <c r="S332" s="7" t="s">
        <v>90</v>
      </c>
      <c r="T332" s="15">
        <f>IF(S332="oui",Parametres!$B$5,"")</f>
        <v>500</v>
      </c>
      <c r="U332" s="7" t="s">
        <v>134</v>
      </c>
      <c r="V332" s="15">
        <f t="shared" si="20"/>
        <v>500</v>
      </c>
      <c r="W332" s="15" t="str">
        <f t="shared" si="21"/>
        <v/>
      </c>
      <c r="X332" s="6" t="s">
        <v>90</v>
      </c>
      <c r="Y332" s="7" t="s">
        <v>133</v>
      </c>
      <c r="Z332" s="10"/>
      <c r="AA332" s="6" t="s">
        <v>93</v>
      </c>
      <c r="AB332" s="7" t="s">
        <v>160</v>
      </c>
      <c r="AC332" s="10"/>
      <c r="AD332" s="9" t="str">
        <f t="shared" si="22"/>
        <v>oui</v>
      </c>
      <c r="AE332" s="9" t="str">
        <f t="shared" si="23"/>
        <v>TAE manquant</v>
      </c>
      <c r="AF332" s="7"/>
      <c r="AG332" s="10"/>
      <c r="AH332" s="10"/>
      <c r="AI332" s="7" t="s">
        <v>160</v>
      </c>
      <c r="AJ332" s="10"/>
      <c r="AK332" s="10"/>
      <c r="AL332" s="10"/>
      <c r="AM332" s="11" t="s">
        <v>131</v>
      </c>
      <c r="AN332" s="11" t="s">
        <v>131</v>
      </c>
      <c r="AO332" s="11" t="s">
        <v>131</v>
      </c>
      <c r="AP332" s="11" t="s">
        <v>131</v>
      </c>
      <c r="AQ332" s="11"/>
      <c r="AR332" s="7"/>
    </row>
    <row r="333" spans="1:44" ht="14.4" x14ac:dyDescent="0.3">
      <c r="A333" s="6" t="s">
        <v>270</v>
      </c>
      <c r="B333" s="6" t="s">
        <v>1818</v>
      </c>
      <c r="C333" s="6" t="s">
        <v>1857</v>
      </c>
      <c r="D333" s="6" t="s">
        <v>1820</v>
      </c>
      <c r="E333" s="6" t="s">
        <v>1858</v>
      </c>
      <c r="F333" s="7" t="s">
        <v>125</v>
      </c>
      <c r="G333" s="10"/>
      <c r="H333" s="7" t="s">
        <v>93</v>
      </c>
      <c r="I333" s="7"/>
      <c r="J333" s="10"/>
      <c r="K333" s="6" t="s">
        <v>90</v>
      </c>
      <c r="L333" s="7"/>
      <c r="M333" s="14"/>
      <c r="N333" s="7" t="s">
        <v>93</v>
      </c>
      <c r="O333" s="10"/>
      <c r="P333" s="7" t="s">
        <v>90</v>
      </c>
      <c r="Q333" s="15">
        <f>IF(P333="oui",MIN(Parametres!$B$4,MAX(Parametres!$B$3,IF(M333="",Parametres!$B$3,ROUND(M333*10%,0)))),"")</f>
        <v>0</v>
      </c>
      <c r="R333" s="7" t="s">
        <v>134</v>
      </c>
      <c r="S333" s="7" t="s">
        <v>90</v>
      </c>
      <c r="T333" s="15">
        <f>IF(S333="oui",Parametres!$B$5,"")</f>
        <v>500</v>
      </c>
      <c r="U333" s="7" t="s">
        <v>134</v>
      </c>
      <c r="V333" s="15">
        <f t="shared" si="20"/>
        <v>500</v>
      </c>
      <c r="W333" s="15" t="str">
        <f t="shared" si="21"/>
        <v/>
      </c>
      <c r="X333" s="6" t="s">
        <v>90</v>
      </c>
      <c r="Y333" s="7" t="s">
        <v>133</v>
      </c>
      <c r="Z333" s="10"/>
      <c r="AA333" s="6" t="s">
        <v>93</v>
      </c>
      <c r="AB333" s="7" t="s">
        <v>160</v>
      </c>
      <c r="AC333" s="10"/>
      <c r="AD333" s="9" t="str">
        <f t="shared" si="22"/>
        <v>oui</v>
      </c>
      <c r="AE333" s="9" t="str">
        <f t="shared" si="23"/>
        <v>TAE manquant</v>
      </c>
      <c r="AF333" s="7"/>
      <c r="AG333" s="10"/>
      <c r="AH333" s="10"/>
      <c r="AI333" s="7" t="s">
        <v>160</v>
      </c>
      <c r="AJ333" s="10"/>
      <c r="AK333" s="10"/>
      <c r="AL333" s="10"/>
      <c r="AM333" s="11" t="s">
        <v>131</v>
      </c>
      <c r="AN333" s="11" t="s">
        <v>131</v>
      </c>
      <c r="AO333" s="11" t="s">
        <v>131</v>
      </c>
      <c r="AP333" s="11" t="s">
        <v>131</v>
      </c>
      <c r="AQ333" s="11"/>
      <c r="AR333" s="7"/>
    </row>
    <row r="334" spans="1:44" ht="14.4" x14ac:dyDescent="0.3">
      <c r="A334" s="6" t="s">
        <v>270</v>
      </c>
      <c r="B334" s="6" t="s">
        <v>1818</v>
      </c>
      <c r="C334" s="6" t="s">
        <v>1862</v>
      </c>
      <c r="D334" s="6" t="s">
        <v>1820</v>
      </c>
      <c r="E334" s="6" t="s">
        <v>1863</v>
      </c>
      <c r="F334" s="7" t="s">
        <v>125</v>
      </c>
      <c r="G334" s="10"/>
      <c r="H334" s="7" t="s">
        <v>93</v>
      </c>
      <c r="I334" s="7"/>
      <c r="J334" s="10"/>
      <c r="K334" s="6" t="s">
        <v>90</v>
      </c>
      <c r="L334" s="7"/>
      <c r="M334" s="14"/>
      <c r="N334" s="7" t="s">
        <v>93</v>
      </c>
      <c r="O334" s="10"/>
      <c r="P334" s="7" t="s">
        <v>90</v>
      </c>
      <c r="Q334" s="15">
        <f>IF(P334="oui",MIN(Parametres!$B$4,MAX(Parametres!$B$3,IF(M334="",Parametres!$B$3,ROUND(M334*10%,0)))),"")</f>
        <v>0</v>
      </c>
      <c r="R334" s="7" t="s">
        <v>134</v>
      </c>
      <c r="S334" s="7" t="s">
        <v>90</v>
      </c>
      <c r="T334" s="15">
        <f>IF(S334="oui",Parametres!$B$5,"")</f>
        <v>500</v>
      </c>
      <c r="U334" s="7" t="s">
        <v>134</v>
      </c>
      <c r="V334" s="15">
        <f t="shared" si="20"/>
        <v>500</v>
      </c>
      <c r="W334" s="15" t="str">
        <f t="shared" si="21"/>
        <v/>
      </c>
      <c r="X334" s="6" t="s">
        <v>90</v>
      </c>
      <c r="Y334" s="7" t="s">
        <v>133</v>
      </c>
      <c r="Z334" s="10"/>
      <c r="AA334" s="6" t="s">
        <v>93</v>
      </c>
      <c r="AB334" s="7" t="s">
        <v>160</v>
      </c>
      <c r="AC334" s="10"/>
      <c r="AD334" s="9" t="str">
        <f t="shared" si="22"/>
        <v>oui</v>
      </c>
      <c r="AE334" s="9" t="str">
        <f t="shared" si="23"/>
        <v>TAE manquant</v>
      </c>
      <c r="AF334" s="7"/>
      <c r="AG334" s="10"/>
      <c r="AH334" s="10"/>
      <c r="AI334" s="7" t="s">
        <v>160</v>
      </c>
      <c r="AJ334" s="10"/>
      <c r="AK334" s="10"/>
      <c r="AL334" s="10"/>
      <c r="AM334" s="11" t="s">
        <v>131</v>
      </c>
      <c r="AN334" s="11" t="s">
        <v>131</v>
      </c>
      <c r="AO334" s="11" t="s">
        <v>131</v>
      </c>
      <c r="AP334" s="11" t="s">
        <v>131</v>
      </c>
      <c r="AQ334" s="11"/>
      <c r="AR334" s="7"/>
    </row>
    <row r="335" spans="1:44" ht="14.4" x14ac:dyDescent="0.3">
      <c r="A335" s="6" t="s">
        <v>270</v>
      </c>
      <c r="B335" s="6" t="s">
        <v>1818</v>
      </c>
      <c r="C335" s="6" t="s">
        <v>1868</v>
      </c>
      <c r="D335" s="6" t="s">
        <v>1820</v>
      </c>
      <c r="E335" s="6" t="s">
        <v>1869</v>
      </c>
      <c r="F335" s="7" t="s">
        <v>125</v>
      </c>
      <c r="G335" s="10"/>
      <c r="H335" s="7" t="s">
        <v>93</v>
      </c>
      <c r="I335" s="7"/>
      <c r="J335" s="10"/>
      <c r="K335" s="6" t="s">
        <v>90</v>
      </c>
      <c r="L335" s="7"/>
      <c r="M335" s="14"/>
      <c r="N335" s="7" t="s">
        <v>93</v>
      </c>
      <c r="O335" s="10"/>
      <c r="P335" s="7" t="s">
        <v>90</v>
      </c>
      <c r="Q335" s="15">
        <f>IF(P335="oui",MIN(Parametres!$B$4,MAX(Parametres!$B$3,IF(M335="",Parametres!$B$3,ROUND(M335*10%,0)))),"")</f>
        <v>0</v>
      </c>
      <c r="R335" s="7" t="s">
        <v>134</v>
      </c>
      <c r="S335" s="7" t="s">
        <v>90</v>
      </c>
      <c r="T335" s="15">
        <f>IF(S335="oui",Parametres!$B$5,"")</f>
        <v>500</v>
      </c>
      <c r="U335" s="7" t="s">
        <v>134</v>
      </c>
      <c r="V335" s="15">
        <f t="shared" si="20"/>
        <v>500</v>
      </c>
      <c r="W335" s="15" t="str">
        <f t="shared" si="21"/>
        <v/>
      </c>
      <c r="X335" s="6" t="s">
        <v>90</v>
      </c>
      <c r="Y335" s="7" t="s">
        <v>133</v>
      </c>
      <c r="Z335" s="10"/>
      <c r="AA335" s="6" t="s">
        <v>93</v>
      </c>
      <c r="AB335" s="7" t="s">
        <v>160</v>
      </c>
      <c r="AC335" s="10"/>
      <c r="AD335" s="9" t="str">
        <f t="shared" si="22"/>
        <v>oui</v>
      </c>
      <c r="AE335" s="9" t="str">
        <f t="shared" si="23"/>
        <v>TAE manquant</v>
      </c>
      <c r="AF335" s="7"/>
      <c r="AG335" s="10"/>
      <c r="AH335" s="10"/>
      <c r="AI335" s="7" t="s">
        <v>160</v>
      </c>
      <c r="AJ335" s="10"/>
      <c r="AK335" s="10"/>
      <c r="AL335" s="10"/>
      <c r="AM335" s="11" t="s">
        <v>131</v>
      </c>
      <c r="AN335" s="11" t="s">
        <v>131</v>
      </c>
      <c r="AO335" s="11" t="s">
        <v>131</v>
      </c>
      <c r="AP335" s="11" t="s">
        <v>131</v>
      </c>
      <c r="AQ335" s="11"/>
      <c r="AR335" s="7"/>
    </row>
    <row r="336" spans="1:44" ht="14.4" x14ac:dyDescent="0.3">
      <c r="A336" s="6" t="s">
        <v>270</v>
      </c>
      <c r="B336" s="6" t="s">
        <v>1818</v>
      </c>
      <c r="C336" s="6" t="s">
        <v>1872</v>
      </c>
      <c r="D336" s="6" t="s">
        <v>1820</v>
      </c>
      <c r="E336" s="6" t="s">
        <v>1873</v>
      </c>
      <c r="F336" s="7" t="s">
        <v>125</v>
      </c>
      <c r="G336" s="10"/>
      <c r="H336" s="7" t="s">
        <v>93</v>
      </c>
      <c r="I336" s="7"/>
      <c r="J336" s="10"/>
      <c r="K336" s="6" t="s">
        <v>90</v>
      </c>
      <c r="L336" s="7"/>
      <c r="M336" s="14"/>
      <c r="N336" s="7" t="s">
        <v>93</v>
      </c>
      <c r="O336" s="10"/>
      <c r="P336" s="7" t="s">
        <v>90</v>
      </c>
      <c r="Q336" s="15">
        <f>IF(P336="oui",MIN(Parametres!$B$4,MAX(Parametres!$B$3,IF(M336="",Parametres!$B$3,ROUND(M336*10%,0)))),"")</f>
        <v>0</v>
      </c>
      <c r="R336" s="7" t="s">
        <v>134</v>
      </c>
      <c r="S336" s="7" t="s">
        <v>90</v>
      </c>
      <c r="T336" s="15">
        <f>IF(S336="oui",Parametres!$B$5,"")</f>
        <v>500</v>
      </c>
      <c r="U336" s="7" t="s">
        <v>134</v>
      </c>
      <c r="V336" s="15">
        <f t="shared" si="20"/>
        <v>500</v>
      </c>
      <c r="W336" s="15" t="str">
        <f t="shared" si="21"/>
        <v/>
      </c>
      <c r="X336" s="6" t="s">
        <v>90</v>
      </c>
      <c r="Y336" s="7" t="s">
        <v>133</v>
      </c>
      <c r="Z336" s="10"/>
      <c r="AA336" s="6" t="s">
        <v>93</v>
      </c>
      <c r="AB336" s="7" t="s">
        <v>160</v>
      </c>
      <c r="AC336" s="10"/>
      <c r="AD336" s="9" t="str">
        <f t="shared" si="22"/>
        <v>oui</v>
      </c>
      <c r="AE336" s="9" t="str">
        <f t="shared" si="23"/>
        <v>TAE manquant</v>
      </c>
      <c r="AF336" s="7"/>
      <c r="AG336" s="10"/>
      <c r="AH336" s="10"/>
      <c r="AI336" s="7" t="s">
        <v>160</v>
      </c>
      <c r="AJ336" s="10"/>
      <c r="AK336" s="10"/>
      <c r="AL336" s="10"/>
      <c r="AM336" s="11" t="s">
        <v>131</v>
      </c>
      <c r="AN336" s="11" t="s">
        <v>131</v>
      </c>
      <c r="AO336" s="11" t="s">
        <v>131</v>
      </c>
      <c r="AP336" s="11" t="s">
        <v>131</v>
      </c>
      <c r="AQ336" s="11"/>
      <c r="AR336" s="7"/>
    </row>
    <row r="337" spans="1:44" ht="14.4" x14ac:dyDescent="0.3">
      <c r="A337" s="6" t="s">
        <v>270</v>
      </c>
      <c r="B337" s="6" t="s">
        <v>1818</v>
      </c>
      <c r="C337" s="6" t="s">
        <v>1876</v>
      </c>
      <c r="D337" s="6" t="s">
        <v>1820</v>
      </c>
      <c r="E337" s="6" t="s">
        <v>1877</v>
      </c>
      <c r="F337" s="7" t="s">
        <v>125</v>
      </c>
      <c r="G337" s="10"/>
      <c r="H337" s="7" t="s">
        <v>93</v>
      </c>
      <c r="I337" s="7"/>
      <c r="J337" s="10"/>
      <c r="K337" s="6" t="s">
        <v>90</v>
      </c>
      <c r="L337" s="7"/>
      <c r="M337" s="14"/>
      <c r="N337" s="7" t="s">
        <v>93</v>
      </c>
      <c r="O337" s="10"/>
      <c r="P337" s="7" t="s">
        <v>90</v>
      </c>
      <c r="Q337" s="15">
        <f>IF(P337="oui",MIN(Parametres!$B$4,MAX(Parametres!$B$3,IF(M337="",Parametres!$B$3,ROUND(M337*10%,0)))),"")</f>
        <v>0</v>
      </c>
      <c r="R337" s="7" t="s">
        <v>134</v>
      </c>
      <c r="S337" s="7" t="s">
        <v>90</v>
      </c>
      <c r="T337" s="15">
        <f>IF(S337="oui",Parametres!$B$5,"")</f>
        <v>500</v>
      </c>
      <c r="U337" s="7" t="s">
        <v>134</v>
      </c>
      <c r="V337" s="15">
        <f t="shared" si="20"/>
        <v>500</v>
      </c>
      <c r="W337" s="15" t="str">
        <f t="shared" si="21"/>
        <v/>
      </c>
      <c r="X337" s="6" t="s">
        <v>90</v>
      </c>
      <c r="Y337" s="7" t="s">
        <v>133</v>
      </c>
      <c r="Z337" s="10"/>
      <c r="AA337" s="6" t="s">
        <v>93</v>
      </c>
      <c r="AB337" s="7" t="s">
        <v>160</v>
      </c>
      <c r="AC337" s="10"/>
      <c r="AD337" s="9" t="str">
        <f t="shared" si="22"/>
        <v>oui</v>
      </c>
      <c r="AE337" s="9" t="str">
        <f t="shared" si="23"/>
        <v>TAE manquant</v>
      </c>
      <c r="AF337" s="7"/>
      <c r="AG337" s="10"/>
      <c r="AH337" s="10"/>
      <c r="AI337" s="7" t="s">
        <v>160</v>
      </c>
      <c r="AJ337" s="10"/>
      <c r="AK337" s="10"/>
      <c r="AL337" s="10"/>
      <c r="AM337" s="11" t="s">
        <v>131</v>
      </c>
      <c r="AN337" s="11" t="s">
        <v>131</v>
      </c>
      <c r="AO337" s="11" t="s">
        <v>131</v>
      </c>
      <c r="AP337" s="11" t="s">
        <v>131</v>
      </c>
      <c r="AQ337" s="11"/>
      <c r="AR337" s="7"/>
    </row>
    <row r="338" spans="1:44" ht="14.4" x14ac:dyDescent="0.3">
      <c r="A338" s="6" t="s">
        <v>270</v>
      </c>
      <c r="B338" s="6" t="s">
        <v>1818</v>
      </c>
      <c r="C338" s="6" t="s">
        <v>1882</v>
      </c>
      <c r="D338" s="6" t="s">
        <v>1820</v>
      </c>
      <c r="E338" s="6" t="s">
        <v>1883</v>
      </c>
      <c r="F338" s="7" t="s">
        <v>125</v>
      </c>
      <c r="G338" s="10"/>
      <c r="H338" s="7" t="s">
        <v>93</v>
      </c>
      <c r="I338" s="7"/>
      <c r="J338" s="10"/>
      <c r="K338" s="6" t="s">
        <v>90</v>
      </c>
      <c r="L338" s="7"/>
      <c r="M338" s="14"/>
      <c r="N338" s="7" t="s">
        <v>93</v>
      </c>
      <c r="O338" s="10"/>
      <c r="P338" s="7" t="s">
        <v>90</v>
      </c>
      <c r="Q338" s="15">
        <f>IF(P338="oui",MIN(Parametres!$B$4,MAX(Parametres!$B$3,IF(M338="",Parametres!$B$3,ROUND(M338*10%,0)))),"")</f>
        <v>0</v>
      </c>
      <c r="R338" s="7" t="s">
        <v>134</v>
      </c>
      <c r="S338" s="7" t="s">
        <v>90</v>
      </c>
      <c r="T338" s="15">
        <f>IF(S338="oui",Parametres!$B$5,"")</f>
        <v>500</v>
      </c>
      <c r="U338" s="7" t="s">
        <v>134</v>
      </c>
      <c r="V338" s="15">
        <f t="shared" si="20"/>
        <v>500</v>
      </c>
      <c r="W338" s="15" t="str">
        <f t="shared" si="21"/>
        <v/>
      </c>
      <c r="X338" s="6" t="s">
        <v>90</v>
      </c>
      <c r="Y338" s="7" t="s">
        <v>133</v>
      </c>
      <c r="Z338" s="10"/>
      <c r="AA338" s="6" t="s">
        <v>93</v>
      </c>
      <c r="AB338" s="7" t="s">
        <v>160</v>
      </c>
      <c r="AC338" s="10"/>
      <c r="AD338" s="9" t="str">
        <f t="shared" si="22"/>
        <v>oui</v>
      </c>
      <c r="AE338" s="9" t="str">
        <f t="shared" si="23"/>
        <v>TAE manquant</v>
      </c>
      <c r="AF338" s="7"/>
      <c r="AG338" s="10"/>
      <c r="AH338" s="10"/>
      <c r="AI338" s="7" t="s">
        <v>160</v>
      </c>
      <c r="AJ338" s="10"/>
      <c r="AK338" s="10"/>
      <c r="AL338" s="10"/>
      <c r="AM338" s="11" t="s">
        <v>131</v>
      </c>
      <c r="AN338" s="11" t="s">
        <v>131</v>
      </c>
      <c r="AO338" s="11" t="s">
        <v>131</v>
      </c>
      <c r="AP338" s="11" t="s">
        <v>131</v>
      </c>
      <c r="AQ338" s="11"/>
      <c r="AR338" s="7"/>
    </row>
    <row r="339" spans="1:44" ht="14.4" x14ac:dyDescent="0.3">
      <c r="A339" s="6" t="s">
        <v>262</v>
      </c>
      <c r="B339" s="6" t="s">
        <v>1887</v>
      </c>
      <c r="C339" s="6" t="s">
        <v>1888</v>
      </c>
      <c r="D339" s="6" t="s">
        <v>1889</v>
      </c>
      <c r="E339" s="6" t="s">
        <v>1890</v>
      </c>
      <c r="F339" s="7" t="s">
        <v>125</v>
      </c>
      <c r="G339" s="10"/>
      <c r="H339" s="7" t="s">
        <v>93</v>
      </c>
      <c r="I339" s="7"/>
      <c r="J339" s="10"/>
      <c r="K339" s="6" t="s">
        <v>90</v>
      </c>
      <c r="L339" s="7"/>
      <c r="M339" s="14"/>
      <c r="N339" s="7" t="s">
        <v>93</v>
      </c>
      <c r="O339" s="10"/>
      <c r="P339" s="7" t="s">
        <v>90</v>
      </c>
      <c r="Q339" s="15">
        <f>IF(P339="oui",MIN(Parametres!$B$4,MAX(Parametres!$B$3,IF(M339="",Parametres!$B$3,ROUND(M339*10%,0)))),"")</f>
        <v>0</v>
      </c>
      <c r="R339" s="7" t="s">
        <v>134</v>
      </c>
      <c r="S339" s="7" t="s">
        <v>90</v>
      </c>
      <c r="T339" s="15">
        <f>IF(S339="oui",Parametres!$B$5,"")</f>
        <v>500</v>
      </c>
      <c r="U339" s="7" t="s">
        <v>134</v>
      </c>
      <c r="V339" s="15">
        <f t="shared" si="20"/>
        <v>500</v>
      </c>
      <c r="W339" s="15" t="str">
        <f t="shared" si="21"/>
        <v/>
      </c>
      <c r="X339" s="6" t="s">
        <v>90</v>
      </c>
      <c r="Y339" s="7" t="s">
        <v>133</v>
      </c>
      <c r="Z339" s="10"/>
      <c r="AA339" s="6" t="s">
        <v>93</v>
      </c>
      <c r="AB339" s="7" t="s">
        <v>160</v>
      </c>
      <c r="AC339" s="10"/>
      <c r="AD339" s="9" t="str">
        <f t="shared" si="22"/>
        <v>oui</v>
      </c>
      <c r="AE339" s="9" t="str">
        <f t="shared" si="23"/>
        <v>TAE manquant</v>
      </c>
      <c r="AF339" s="7"/>
      <c r="AG339" s="10"/>
      <c r="AH339" s="10"/>
      <c r="AI339" s="7" t="s">
        <v>160</v>
      </c>
      <c r="AJ339" s="10"/>
      <c r="AK339" s="10"/>
      <c r="AL339" s="10"/>
      <c r="AM339" s="11" t="s">
        <v>131</v>
      </c>
      <c r="AN339" s="11" t="s">
        <v>131</v>
      </c>
      <c r="AO339" s="11" t="s">
        <v>131</v>
      </c>
      <c r="AP339" s="11" t="s">
        <v>131</v>
      </c>
      <c r="AQ339" s="11"/>
      <c r="AR339" s="7"/>
    </row>
    <row r="340" spans="1:44" ht="14.4" x14ac:dyDescent="0.3">
      <c r="A340" s="6" t="s">
        <v>262</v>
      </c>
      <c r="B340" s="6" t="s">
        <v>1887</v>
      </c>
      <c r="C340" s="6" t="s">
        <v>1894</v>
      </c>
      <c r="D340" s="6" t="s">
        <v>1889</v>
      </c>
      <c r="E340" s="6" t="s">
        <v>1895</v>
      </c>
      <c r="F340" s="7" t="s">
        <v>125</v>
      </c>
      <c r="G340" s="10"/>
      <c r="H340" s="7" t="s">
        <v>93</v>
      </c>
      <c r="I340" s="7"/>
      <c r="J340" s="10"/>
      <c r="K340" s="6" t="s">
        <v>90</v>
      </c>
      <c r="L340" s="7"/>
      <c r="M340" s="14"/>
      <c r="N340" s="7" t="s">
        <v>93</v>
      </c>
      <c r="O340" s="10"/>
      <c r="P340" s="7" t="s">
        <v>90</v>
      </c>
      <c r="Q340" s="15">
        <f>IF(P340="oui",MIN(Parametres!$B$4,MAX(Parametres!$B$3,IF(M340="",Parametres!$B$3,ROUND(M340*10%,0)))),"")</f>
        <v>0</v>
      </c>
      <c r="R340" s="7" t="s">
        <v>134</v>
      </c>
      <c r="S340" s="7" t="s">
        <v>90</v>
      </c>
      <c r="T340" s="15">
        <f>IF(S340="oui",Parametres!$B$5,"")</f>
        <v>500</v>
      </c>
      <c r="U340" s="7" t="s">
        <v>134</v>
      </c>
      <c r="V340" s="15">
        <f t="shared" si="20"/>
        <v>500</v>
      </c>
      <c r="W340" s="15" t="str">
        <f t="shared" si="21"/>
        <v/>
      </c>
      <c r="X340" s="6" t="s">
        <v>90</v>
      </c>
      <c r="Y340" s="7" t="s">
        <v>133</v>
      </c>
      <c r="Z340" s="10"/>
      <c r="AA340" s="6" t="s">
        <v>93</v>
      </c>
      <c r="AB340" s="7" t="s">
        <v>160</v>
      </c>
      <c r="AC340" s="10"/>
      <c r="AD340" s="9" t="str">
        <f t="shared" si="22"/>
        <v>oui</v>
      </c>
      <c r="AE340" s="9" t="str">
        <f t="shared" si="23"/>
        <v>TAE manquant</v>
      </c>
      <c r="AF340" s="7"/>
      <c r="AG340" s="10"/>
      <c r="AH340" s="10"/>
      <c r="AI340" s="7" t="s">
        <v>160</v>
      </c>
      <c r="AJ340" s="10"/>
      <c r="AK340" s="10"/>
      <c r="AL340" s="10"/>
      <c r="AM340" s="11" t="s">
        <v>131</v>
      </c>
      <c r="AN340" s="11" t="s">
        <v>131</v>
      </c>
      <c r="AO340" s="11" t="s">
        <v>131</v>
      </c>
      <c r="AP340" s="11" t="s">
        <v>131</v>
      </c>
      <c r="AQ340" s="11"/>
      <c r="AR340" s="7"/>
    </row>
    <row r="341" spans="1:44" ht="14.4" x14ac:dyDescent="0.3">
      <c r="A341" s="6" t="s">
        <v>262</v>
      </c>
      <c r="B341" s="6" t="s">
        <v>1887</v>
      </c>
      <c r="C341" s="6" t="s">
        <v>1899</v>
      </c>
      <c r="D341" s="6" t="s">
        <v>1889</v>
      </c>
      <c r="E341" s="6" t="s">
        <v>1900</v>
      </c>
      <c r="F341" s="7" t="s">
        <v>125</v>
      </c>
      <c r="G341" s="10"/>
      <c r="H341" s="7" t="s">
        <v>93</v>
      </c>
      <c r="I341" s="7"/>
      <c r="J341" s="10"/>
      <c r="K341" s="6" t="s">
        <v>90</v>
      </c>
      <c r="L341" s="7"/>
      <c r="M341" s="14"/>
      <c r="N341" s="7" t="s">
        <v>93</v>
      </c>
      <c r="O341" s="10"/>
      <c r="P341" s="7" t="s">
        <v>90</v>
      </c>
      <c r="Q341" s="15">
        <f>IF(P341="oui",MIN(Parametres!$B$4,MAX(Parametres!$B$3,IF(M341="",Parametres!$B$3,ROUND(M341*10%,0)))),"")</f>
        <v>0</v>
      </c>
      <c r="R341" s="7" t="s">
        <v>134</v>
      </c>
      <c r="S341" s="7" t="s">
        <v>90</v>
      </c>
      <c r="T341" s="15">
        <f>IF(S341="oui",Parametres!$B$5,"")</f>
        <v>500</v>
      </c>
      <c r="U341" s="7" t="s">
        <v>134</v>
      </c>
      <c r="V341" s="15">
        <f t="shared" si="20"/>
        <v>500</v>
      </c>
      <c r="W341" s="15" t="str">
        <f t="shared" si="21"/>
        <v/>
      </c>
      <c r="X341" s="6" t="s">
        <v>90</v>
      </c>
      <c r="Y341" s="7" t="s">
        <v>133</v>
      </c>
      <c r="Z341" s="10"/>
      <c r="AA341" s="6" t="s">
        <v>93</v>
      </c>
      <c r="AB341" s="7" t="s">
        <v>160</v>
      </c>
      <c r="AC341" s="10"/>
      <c r="AD341" s="9" t="str">
        <f t="shared" si="22"/>
        <v>oui</v>
      </c>
      <c r="AE341" s="9" t="str">
        <f t="shared" si="23"/>
        <v>TAE manquant</v>
      </c>
      <c r="AF341" s="7"/>
      <c r="AG341" s="10"/>
      <c r="AH341" s="10"/>
      <c r="AI341" s="7" t="s">
        <v>160</v>
      </c>
      <c r="AJ341" s="10"/>
      <c r="AK341" s="10"/>
      <c r="AL341" s="10"/>
      <c r="AM341" s="11" t="s">
        <v>131</v>
      </c>
      <c r="AN341" s="11" t="s">
        <v>131</v>
      </c>
      <c r="AO341" s="11" t="s">
        <v>131</v>
      </c>
      <c r="AP341" s="11" t="s">
        <v>131</v>
      </c>
      <c r="AQ341" s="11"/>
      <c r="AR341" s="7"/>
    </row>
    <row r="342" spans="1:44" ht="14.4" x14ac:dyDescent="0.3">
      <c r="A342" s="6" t="s">
        <v>262</v>
      </c>
      <c r="B342" s="6" t="s">
        <v>1887</v>
      </c>
      <c r="C342" s="6" t="s">
        <v>1903</v>
      </c>
      <c r="D342" s="6" t="s">
        <v>1889</v>
      </c>
      <c r="E342" s="6" t="s">
        <v>1904</v>
      </c>
      <c r="F342" s="7" t="s">
        <v>125</v>
      </c>
      <c r="G342" s="10"/>
      <c r="H342" s="7" t="s">
        <v>93</v>
      </c>
      <c r="I342" s="7"/>
      <c r="J342" s="10"/>
      <c r="K342" s="6" t="s">
        <v>90</v>
      </c>
      <c r="L342" s="7"/>
      <c r="M342" s="14"/>
      <c r="N342" s="7" t="s">
        <v>93</v>
      </c>
      <c r="O342" s="10"/>
      <c r="P342" s="7" t="s">
        <v>90</v>
      </c>
      <c r="Q342" s="15">
        <f>IF(P342="oui",MIN(Parametres!$B$4,MAX(Parametres!$B$3,IF(M342="",Parametres!$B$3,ROUND(M342*10%,0)))),"")</f>
        <v>0</v>
      </c>
      <c r="R342" s="7" t="s">
        <v>134</v>
      </c>
      <c r="S342" s="7" t="s">
        <v>90</v>
      </c>
      <c r="T342" s="15">
        <f>IF(S342="oui",Parametres!$B$5,"")</f>
        <v>500</v>
      </c>
      <c r="U342" s="7" t="s">
        <v>134</v>
      </c>
      <c r="V342" s="15">
        <f t="shared" si="20"/>
        <v>500</v>
      </c>
      <c r="W342" s="15" t="str">
        <f t="shared" si="21"/>
        <v/>
      </c>
      <c r="X342" s="6" t="s">
        <v>90</v>
      </c>
      <c r="Y342" s="7" t="s">
        <v>133</v>
      </c>
      <c r="Z342" s="10"/>
      <c r="AA342" s="6" t="s">
        <v>93</v>
      </c>
      <c r="AB342" s="7" t="s">
        <v>160</v>
      </c>
      <c r="AC342" s="10"/>
      <c r="AD342" s="9" t="str">
        <f t="shared" si="22"/>
        <v>oui</v>
      </c>
      <c r="AE342" s="9" t="str">
        <f t="shared" si="23"/>
        <v>TAE manquant</v>
      </c>
      <c r="AF342" s="7"/>
      <c r="AG342" s="10"/>
      <c r="AH342" s="10"/>
      <c r="AI342" s="7" t="s">
        <v>160</v>
      </c>
      <c r="AJ342" s="10"/>
      <c r="AK342" s="10"/>
      <c r="AL342" s="10"/>
      <c r="AM342" s="11" t="s">
        <v>131</v>
      </c>
      <c r="AN342" s="11" t="s">
        <v>131</v>
      </c>
      <c r="AO342" s="11" t="s">
        <v>131</v>
      </c>
      <c r="AP342" s="11" t="s">
        <v>131</v>
      </c>
      <c r="AQ342" s="11"/>
      <c r="AR342" s="7"/>
    </row>
    <row r="343" spans="1:44" ht="14.4" x14ac:dyDescent="0.3">
      <c r="A343" s="6" t="s">
        <v>262</v>
      </c>
      <c r="B343" s="6" t="s">
        <v>1887</v>
      </c>
      <c r="C343" s="6" t="s">
        <v>1906</v>
      </c>
      <c r="D343" s="6" t="s">
        <v>1889</v>
      </c>
      <c r="E343" s="6" t="s">
        <v>1907</v>
      </c>
      <c r="F343" s="7" t="s">
        <v>125</v>
      </c>
      <c r="G343" s="10"/>
      <c r="H343" s="7" t="s">
        <v>93</v>
      </c>
      <c r="I343" s="7"/>
      <c r="J343" s="10"/>
      <c r="K343" s="6" t="s">
        <v>90</v>
      </c>
      <c r="L343" s="7"/>
      <c r="M343" s="14"/>
      <c r="N343" s="7" t="s">
        <v>93</v>
      </c>
      <c r="O343" s="10"/>
      <c r="P343" s="7" t="s">
        <v>90</v>
      </c>
      <c r="Q343" s="15">
        <f>IF(P343="oui",MIN(Parametres!$B$4,MAX(Parametres!$B$3,IF(M343="",Parametres!$B$3,ROUND(M343*10%,0)))),"")</f>
        <v>0</v>
      </c>
      <c r="R343" s="7" t="s">
        <v>134</v>
      </c>
      <c r="S343" s="7" t="s">
        <v>90</v>
      </c>
      <c r="T343" s="15">
        <f>IF(S343="oui",Parametres!$B$5,"")</f>
        <v>500</v>
      </c>
      <c r="U343" s="7" t="s">
        <v>134</v>
      </c>
      <c r="V343" s="15">
        <f t="shared" si="20"/>
        <v>500</v>
      </c>
      <c r="W343" s="15" t="str">
        <f t="shared" si="21"/>
        <v/>
      </c>
      <c r="X343" s="6" t="s">
        <v>90</v>
      </c>
      <c r="Y343" s="7" t="s">
        <v>133</v>
      </c>
      <c r="Z343" s="10"/>
      <c r="AA343" s="6" t="s">
        <v>93</v>
      </c>
      <c r="AB343" s="7" t="s">
        <v>160</v>
      </c>
      <c r="AC343" s="10"/>
      <c r="AD343" s="9" t="str">
        <f t="shared" si="22"/>
        <v>oui</v>
      </c>
      <c r="AE343" s="9" t="str">
        <f t="shared" si="23"/>
        <v>TAE manquant</v>
      </c>
      <c r="AF343" s="7"/>
      <c r="AG343" s="10"/>
      <c r="AH343" s="10"/>
      <c r="AI343" s="7" t="s">
        <v>160</v>
      </c>
      <c r="AJ343" s="10"/>
      <c r="AK343" s="10"/>
      <c r="AL343" s="10"/>
      <c r="AM343" s="11" t="s">
        <v>131</v>
      </c>
      <c r="AN343" s="11" t="s">
        <v>131</v>
      </c>
      <c r="AO343" s="11" t="s">
        <v>131</v>
      </c>
      <c r="AP343" s="11" t="s">
        <v>131</v>
      </c>
      <c r="AQ343" s="11"/>
      <c r="AR343" s="7"/>
    </row>
    <row r="344" spans="1:44" ht="14.4" x14ac:dyDescent="0.3">
      <c r="A344" s="6" t="s">
        <v>262</v>
      </c>
      <c r="B344" s="6" t="s">
        <v>1887</v>
      </c>
      <c r="C344" s="6" t="s">
        <v>1911</v>
      </c>
      <c r="D344" s="6" t="s">
        <v>1889</v>
      </c>
      <c r="E344" s="6" t="s">
        <v>1912</v>
      </c>
      <c r="F344" s="7" t="s">
        <v>125</v>
      </c>
      <c r="G344" s="10"/>
      <c r="H344" s="7" t="s">
        <v>93</v>
      </c>
      <c r="I344" s="7"/>
      <c r="J344" s="10"/>
      <c r="K344" s="6" t="s">
        <v>90</v>
      </c>
      <c r="L344" s="7"/>
      <c r="M344" s="14"/>
      <c r="N344" s="7" t="s">
        <v>93</v>
      </c>
      <c r="O344" s="10"/>
      <c r="P344" s="7" t="s">
        <v>90</v>
      </c>
      <c r="Q344" s="15">
        <f>IF(P344="oui",MIN(Parametres!$B$4,MAX(Parametres!$B$3,IF(M344="",Parametres!$B$3,ROUND(M344*10%,0)))),"")</f>
        <v>0</v>
      </c>
      <c r="R344" s="7" t="s">
        <v>134</v>
      </c>
      <c r="S344" s="7" t="s">
        <v>90</v>
      </c>
      <c r="T344" s="15">
        <f>IF(S344="oui",Parametres!$B$5,"")</f>
        <v>500</v>
      </c>
      <c r="U344" s="7" t="s">
        <v>134</v>
      </c>
      <c r="V344" s="15">
        <f t="shared" si="20"/>
        <v>500</v>
      </c>
      <c r="W344" s="15" t="str">
        <f t="shared" si="21"/>
        <v/>
      </c>
      <c r="X344" s="6" t="s">
        <v>90</v>
      </c>
      <c r="Y344" s="7" t="s">
        <v>133</v>
      </c>
      <c r="Z344" s="10"/>
      <c r="AA344" s="6" t="s">
        <v>93</v>
      </c>
      <c r="AB344" s="7" t="s">
        <v>160</v>
      </c>
      <c r="AC344" s="10"/>
      <c r="AD344" s="9" t="str">
        <f t="shared" si="22"/>
        <v>oui</v>
      </c>
      <c r="AE344" s="9" t="str">
        <f t="shared" si="23"/>
        <v>TAE manquant</v>
      </c>
      <c r="AF344" s="7"/>
      <c r="AG344" s="10"/>
      <c r="AH344" s="10"/>
      <c r="AI344" s="7" t="s">
        <v>160</v>
      </c>
      <c r="AJ344" s="10"/>
      <c r="AK344" s="10"/>
      <c r="AL344" s="10"/>
      <c r="AM344" s="11" t="s">
        <v>131</v>
      </c>
      <c r="AN344" s="11" t="s">
        <v>131</v>
      </c>
      <c r="AO344" s="11" t="s">
        <v>131</v>
      </c>
      <c r="AP344" s="11" t="s">
        <v>131</v>
      </c>
      <c r="AQ344" s="11"/>
      <c r="AR344" s="7"/>
    </row>
    <row r="345" spans="1:44" ht="14.4" x14ac:dyDescent="0.3">
      <c r="A345" s="6" t="s">
        <v>262</v>
      </c>
      <c r="B345" s="6" t="s">
        <v>1887</v>
      </c>
      <c r="C345" s="6" t="s">
        <v>1915</v>
      </c>
      <c r="D345" s="6" t="s">
        <v>1889</v>
      </c>
      <c r="E345" s="6" t="s">
        <v>1916</v>
      </c>
      <c r="F345" s="7" t="s">
        <v>125</v>
      </c>
      <c r="G345" s="10"/>
      <c r="H345" s="7" t="s">
        <v>93</v>
      </c>
      <c r="I345" s="7"/>
      <c r="J345" s="10"/>
      <c r="K345" s="6" t="s">
        <v>90</v>
      </c>
      <c r="L345" s="7"/>
      <c r="M345" s="14"/>
      <c r="N345" s="7" t="s">
        <v>93</v>
      </c>
      <c r="O345" s="10"/>
      <c r="P345" s="7" t="s">
        <v>90</v>
      </c>
      <c r="Q345" s="15">
        <f>IF(P345="oui",MIN(Parametres!$B$4,MAX(Parametres!$B$3,IF(M345="",Parametres!$B$3,ROUND(M345*10%,0)))),"")</f>
        <v>0</v>
      </c>
      <c r="R345" s="7" t="s">
        <v>134</v>
      </c>
      <c r="S345" s="7" t="s">
        <v>90</v>
      </c>
      <c r="T345" s="15">
        <f>IF(S345="oui",Parametres!$B$5,"")</f>
        <v>500</v>
      </c>
      <c r="U345" s="7" t="s">
        <v>134</v>
      </c>
      <c r="V345" s="15">
        <f t="shared" si="20"/>
        <v>500</v>
      </c>
      <c r="W345" s="15" t="str">
        <f t="shared" si="21"/>
        <v/>
      </c>
      <c r="X345" s="6" t="s">
        <v>90</v>
      </c>
      <c r="Y345" s="7" t="s">
        <v>133</v>
      </c>
      <c r="Z345" s="10"/>
      <c r="AA345" s="6" t="s">
        <v>93</v>
      </c>
      <c r="AB345" s="7" t="s">
        <v>160</v>
      </c>
      <c r="AC345" s="10"/>
      <c r="AD345" s="9" t="str">
        <f t="shared" si="22"/>
        <v>oui</v>
      </c>
      <c r="AE345" s="9" t="str">
        <f t="shared" si="23"/>
        <v>TAE manquant</v>
      </c>
      <c r="AF345" s="7"/>
      <c r="AG345" s="10"/>
      <c r="AH345" s="10"/>
      <c r="AI345" s="7" t="s">
        <v>160</v>
      </c>
      <c r="AJ345" s="10"/>
      <c r="AK345" s="10"/>
      <c r="AL345" s="10"/>
      <c r="AM345" s="11" t="s">
        <v>131</v>
      </c>
      <c r="AN345" s="11" t="s">
        <v>131</v>
      </c>
      <c r="AO345" s="11" t="s">
        <v>131</v>
      </c>
      <c r="AP345" s="11" t="s">
        <v>131</v>
      </c>
      <c r="AQ345" s="11"/>
      <c r="AR345" s="7"/>
    </row>
    <row r="346" spans="1:44" ht="14.4" x14ac:dyDescent="0.3">
      <c r="A346" s="6" t="s">
        <v>262</v>
      </c>
      <c r="B346" s="6" t="s">
        <v>1887</v>
      </c>
      <c r="C346" s="6" t="s">
        <v>1918</v>
      </c>
      <c r="D346" s="6" t="s">
        <v>1889</v>
      </c>
      <c r="E346" s="6" t="s">
        <v>1919</v>
      </c>
      <c r="F346" s="7" t="s">
        <v>125</v>
      </c>
      <c r="G346" s="10"/>
      <c r="H346" s="7" t="s">
        <v>93</v>
      </c>
      <c r="I346" s="7"/>
      <c r="J346" s="10"/>
      <c r="K346" s="6" t="s">
        <v>90</v>
      </c>
      <c r="L346" s="7"/>
      <c r="M346" s="14"/>
      <c r="N346" s="7" t="s">
        <v>93</v>
      </c>
      <c r="O346" s="10"/>
      <c r="P346" s="7" t="s">
        <v>90</v>
      </c>
      <c r="Q346" s="15">
        <f>IF(P346="oui",MIN(Parametres!$B$4,MAX(Parametres!$B$3,IF(M346="",Parametres!$B$3,ROUND(M346*10%,0)))),"")</f>
        <v>0</v>
      </c>
      <c r="R346" s="7" t="s">
        <v>134</v>
      </c>
      <c r="S346" s="7" t="s">
        <v>90</v>
      </c>
      <c r="T346" s="15">
        <f>IF(S346="oui",Parametres!$B$5,"")</f>
        <v>500</v>
      </c>
      <c r="U346" s="7" t="s">
        <v>134</v>
      </c>
      <c r="V346" s="15">
        <f t="shared" si="20"/>
        <v>500</v>
      </c>
      <c r="W346" s="15" t="str">
        <f t="shared" si="21"/>
        <v/>
      </c>
      <c r="X346" s="6" t="s">
        <v>90</v>
      </c>
      <c r="Y346" s="7" t="s">
        <v>133</v>
      </c>
      <c r="Z346" s="10"/>
      <c r="AA346" s="6" t="s">
        <v>93</v>
      </c>
      <c r="AB346" s="7" t="s">
        <v>160</v>
      </c>
      <c r="AC346" s="10"/>
      <c r="AD346" s="9" t="str">
        <f t="shared" si="22"/>
        <v>oui</v>
      </c>
      <c r="AE346" s="9" t="str">
        <f t="shared" si="23"/>
        <v>TAE manquant</v>
      </c>
      <c r="AF346" s="7"/>
      <c r="AG346" s="10"/>
      <c r="AH346" s="10"/>
      <c r="AI346" s="7" t="s">
        <v>160</v>
      </c>
      <c r="AJ346" s="10"/>
      <c r="AK346" s="10"/>
      <c r="AL346" s="10"/>
      <c r="AM346" s="11" t="s">
        <v>131</v>
      </c>
      <c r="AN346" s="11" t="s">
        <v>131</v>
      </c>
      <c r="AO346" s="11" t="s">
        <v>131</v>
      </c>
      <c r="AP346" s="11" t="s">
        <v>131</v>
      </c>
      <c r="AQ346" s="11"/>
      <c r="AR346" s="7"/>
    </row>
    <row r="347" spans="1:44" ht="14.4" x14ac:dyDescent="0.3">
      <c r="A347" s="6" t="s">
        <v>262</v>
      </c>
      <c r="B347" s="6" t="s">
        <v>1887</v>
      </c>
      <c r="C347" s="6" t="s">
        <v>1922</v>
      </c>
      <c r="D347" s="6" t="s">
        <v>1889</v>
      </c>
      <c r="E347" s="6" t="s">
        <v>1923</v>
      </c>
      <c r="F347" s="7" t="s">
        <v>125</v>
      </c>
      <c r="G347" s="10"/>
      <c r="H347" s="7" t="s">
        <v>93</v>
      </c>
      <c r="I347" s="7"/>
      <c r="J347" s="10"/>
      <c r="K347" s="6" t="s">
        <v>90</v>
      </c>
      <c r="L347" s="7"/>
      <c r="M347" s="14"/>
      <c r="N347" s="7" t="s">
        <v>93</v>
      </c>
      <c r="O347" s="10"/>
      <c r="P347" s="7" t="s">
        <v>90</v>
      </c>
      <c r="Q347" s="15">
        <f>IF(P347="oui",MIN(Parametres!$B$4,MAX(Parametres!$B$3,IF(M347="",Parametres!$B$3,ROUND(M347*10%,0)))),"")</f>
        <v>0</v>
      </c>
      <c r="R347" s="7" t="s">
        <v>134</v>
      </c>
      <c r="S347" s="7" t="s">
        <v>90</v>
      </c>
      <c r="T347" s="15">
        <f>IF(S347="oui",Parametres!$B$5,"")</f>
        <v>500</v>
      </c>
      <c r="U347" s="7" t="s">
        <v>134</v>
      </c>
      <c r="V347" s="15">
        <f t="shared" si="20"/>
        <v>500</v>
      </c>
      <c r="W347" s="15" t="str">
        <f t="shared" si="21"/>
        <v/>
      </c>
      <c r="X347" s="6" t="s">
        <v>90</v>
      </c>
      <c r="Y347" s="7" t="s">
        <v>133</v>
      </c>
      <c r="Z347" s="10"/>
      <c r="AA347" s="6" t="s">
        <v>93</v>
      </c>
      <c r="AB347" s="7" t="s">
        <v>160</v>
      </c>
      <c r="AC347" s="10"/>
      <c r="AD347" s="9" t="str">
        <f t="shared" si="22"/>
        <v>oui</v>
      </c>
      <c r="AE347" s="9" t="str">
        <f t="shared" si="23"/>
        <v>TAE manquant</v>
      </c>
      <c r="AF347" s="7"/>
      <c r="AG347" s="10"/>
      <c r="AH347" s="10"/>
      <c r="AI347" s="7" t="s">
        <v>160</v>
      </c>
      <c r="AJ347" s="10"/>
      <c r="AK347" s="10"/>
      <c r="AL347" s="10"/>
      <c r="AM347" s="11" t="s">
        <v>131</v>
      </c>
      <c r="AN347" s="11" t="s">
        <v>131</v>
      </c>
      <c r="AO347" s="11" t="s">
        <v>131</v>
      </c>
      <c r="AP347" s="11" t="s">
        <v>131</v>
      </c>
      <c r="AQ347" s="11"/>
      <c r="AR347" s="7"/>
    </row>
    <row r="348" spans="1:44" ht="14.4" x14ac:dyDescent="0.3">
      <c r="A348" s="6" t="s">
        <v>262</v>
      </c>
      <c r="B348" s="6" t="s">
        <v>1887</v>
      </c>
      <c r="C348" s="6" t="s">
        <v>1926</v>
      </c>
      <c r="D348" s="6" t="s">
        <v>1889</v>
      </c>
      <c r="E348" s="6" t="s">
        <v>1927</v>
      </c>
      <c r="F348" s="7" t="s">
        <v>125</v>
      </c>
      <c r="G348" s="10"/>
      <c r="H348" s="7" t="s">
        <v>93</v>
      </c>
      <c r="I348" s="7"/>
      <c r="J348" s="10"/>
      <c r="K348" s="6" t="s">
        <v>90</v>
      </c>
      <c r="L348" s="7"/>
      <c r="M348" s="14"/>
      <c r="N348" s="7" t="s">
        <v>93</v>
      </c>
      <c r="O348" s="10"/>
      <c r="P348" s="7" t="s">
        <v>90</v>
      </c>
      <c r="Q348" s="15">
        <f>IF(P348="oui",MIN(Parametres!$B$4,MAX(Parametres!$B$3,IF(M348="",Parametres!$B$3,ROUND(M348*10%,0)))),"")</f>
        <v>0</v>
      </c>
      <c r="R348" s="7" t="s">
        <v>134</v>
      </c>
      <c r="S348" s="7" t="s">
        <v>90</v>
      </c>
      <c r="T348" s="15">
        <f>IF(S348="oui",Parametres!$B$5,"")</f>
        <v>500</v>
      </c>
      <c r="U348" s="7" t="s">
        <v>134</v>
      </c>
      <c r="V348" s="15">
        <f t="shared" si="20"/>
        <v>500</v>
      </c>
      <c r="W348" s="15" t="str">
        <f t="shared" si="21"/>
        <v/>
      </c>
      <c r="X348" s="6" t="s">
        <v>90</v>
      </c>
      <c r="Y348" s="7" t="s">
        <v>133</v>
      </c>
      <c r="Z348" s="10"/>
      <c r="AA348" s="6" t="s">
        <v>93</v>
      </c>
      <c r="AB348" s="7" t="s">
        <v>160</v>
      </c>
      <c r="AC348" s="10"/>
      <c r="AD348" s="9" t="str">
        <f t="shared" si="22"/>
        <v>oui</v>
      </c>
      <c r="AE348" s="9" t="str">
        <f t="shared" si="23"/>
        <v>TAE manquant</v>
      </c>
      <c r="AF348" s="7"/>
      <c r="AG348" s="10"/>
      <c r="AH348" s="10"/>
      <c r="AI348" s="7" t="s">
        <v>160</v>
      </c>
      <c r="AJ348" s="10"/>
      <c r="AK348" s="10"/>
      <c r="AL348" s="10"/>
      <c r="AM348" s="11" t="s">
        <v>131</v>
      </c>
      <c r="AN348" s="11" t="s">
        <v>131</v>
      </c>
      <c r="AO348" s="11" t="s">
        <v>131</v>
      </c>
      <c r="AP348" s="11" t="s">
        <v>131</v>
      </c>
      <c r="AQ348" s="11"/>
      <c r="AR348" s="7"/>
    </row>
    <row r="349" spans="1:44" ht="14.4" x14ac:dyDescent="0.3">
      <c r="A349" s="6" t="s">
        <v>262</v>
      </c>
      <c r="B349" s="6" t="s">
        <v>1887</v>
      </c>
      <c r="C349" s="6" t="s">
        <v>1931</v>
      </c>
      <c r="D349" s="6" t="s">
        <v>1889</v>
      </c>
      <c r="E349" s="6" t="s">
        <v>1932</v>
      </c>
      <c r="F349" s="7" t="s">
        <v>125</v>
      </c>
      <c r="G349" s="10"/>
      <c r="H349" s="7" t="s">
        <v>93</v>
      </c>
      <c r="I349" s="7"/>
      <c r="J349" s="10"/>
      <c r="K349" s="6" t="s">
        <v>90</v>
      </c>
      <c r="L349" s="7"/>
      <c r="M349" s="14"/>
      <c r="N349" s="7" t="s">
        <v>93</v>
      </c>
      <c r="O349" s="10"/>
      <c r="P349" s="7" t="s">
        <v>90</v>
      </c>
      <c r="Q349" s="15">
        <f>IF(P349="oui",MIN(Parametres!$B$4,MAX(Parametres!$B$3,IF(M349="",Parametres!$B$3,ROUND(M349*10%,0)))),"")</f>
        <v>0</v>
      </c>
      <c r="R349" s="7" t="s">
        <v>134</v>
      </c>
      <c r="S349" s="7" t="s">
        <v>90</v>
      </c>
      <c r="T349" s="15">
        <f>IF(S349="oui",Parametres!$B$5,"")</f>
        <v>500</v>
      </c>
      <c r="U349" s="7" t="s">
        <v>134</v>
      </c>
      <c r="V349" s="15">
        <f t="shared" si="20"/>
        <v>500</v>
      </c>
      <c r="W349" s="15" t="str">
        <f t="shared" si="21"/>
        <v/>
      </c>
      <c r="X349" s="6" t="s">
        <v>90</v>
      </c>
      <c r="Y349" s="7" t="s">
        <v>133</v>
      </c>
      <c r="Z349" s="10"/>
      <c r="AA349" s="6" t="s">
        <v>93</v>
      </c>
      <c r="AB349" s="7" t="s">
        <v>160</v>
      </c>
      <c r="AC349" s="10"/>
      <c r="AD349" s="9" t="str">
        <f t="shared" si="22"/>
        <v>oui</v>
      </c>
      <c r="AE349" s="9" t="str">
        <f t="shared" si="23"/>
        <v>TAE manquant</v>
      </c>
      <c r="AF349" s="7"/>
      <c r="AG349" s="10"/>
      <c r="AH349" s="10"/>
      <c r="AI349" s="7" t="s">
        <v>160</v>
      </c>
      <c r="AJ349" s="10"/>
      <c r="AK349" s="10"/>
      <c r="AL349" s="10"/>
      <c r="AM349" s="11" t="s">
        <v>131</v>
      </c>
      <c r="AN349" s="11" t="s">
        <v>131</v>
      </c>
      <c r="AO349" s="11" t="s">
        <v>131</v>
      </c>
      <c r="AP349" s="11" t="s">
        <v>131</v>
      </c>
      <c r="AQ349" s="11"/>
      <c r="AR349" s="7"/>
    </row>
    <row r="350" spans="1:44" ht="14.4" x14ac:dyDescent="0.3">
      <c r="A350" s="6" t="s">
        <v>262</v>
      </c>
      <c r="B350" s="6" t="s">
        <v>1887</v>
      </c>
      <c r="C350" s="6" t="s">
        <v>1937</v>
      </c>
      <c r="D350" s="6" t="s">
        <v>1889</v>
      </c>
      <c r="E350" s="6" t="s">
        <v>1938</v>
      </c>
      <c r="F350" s="7" t="s">
        <v>125</v>
      </c>
      <c r="G350" s="10"/>
      <c r="H350" s="7" t="s">
        <v>93</v>
      </c>
      <c r="I350" s="7"/>
      <c r="J350" s="10"/>
      <c r="K350" s="6" t="s">
        <v>90</v>
      </c>
      <c r="L350" s="7"/>
      <c r="M350" s="14"/>
      <c r="N350" s="7" t="s">
        <v>93</v>
      </c>
      <c r="O350" s="10"/>
      <c r="P350" s="7" t="s">
        <v>90</v>
      </c>
      <c r="Q350" s="15">
        <f>IF(P350="oui",MIN(Parametres!$B$4,MAX(Parametres!$B$3,IF(M350="",Parametres!$B$3,ROUND(M350*10%,0)))),"")</f>
        <v>0</v>
      </c>
      <c r="R350" s="7" t="s">
        <v>134</v>
      </c>
      <c r="S350" s="7" t="s">
        <v>90</v>
      </c>
      <c r="T350" s="15">
        <f>IF(S350="oui",Parametres!$B$5,"")</f>
        <v>500</v>
      </c>
      <c r="U350" s="7" t="s">
        <v>134</v>
      </c>
      <c r="V350" s="15">
        <f t="shared" si="20"/>
        <v>500</v>
      </c>
      <c r="W350" s="15" t="str">
        <f t="shared" si="21"/>
        <v/>
      </c>
      <c r="X350" s="6" t="s">
        <v>90</v>
      </c>
      <c r="Y350" s="7" t="s">
        <v>133</v>
      </c>
      <c r="Z350" s="10"/>
      <c r="AA350" s="6" t="s">
        <v>93</v>
      </c>
      <c r="AB350" s="7" t="s">
        <v>160</v>
      </c>
      <c r="AC350" s="10"/>
      <c r="AD350" s="9" t="str">
        <f t="shared" si="22"/>
        <v>oui</v>
      </c>
      <c r="AE350" s="9" t="str">
        <f t="shared" si="23"/>
        <v>TAE manquant</v>
      </c>
      <c r="AF350" s="7"/>
      <c r="AG350" s="10"/>
      <c r="AH350" s="10"/>
      <c r="AI350" s="7" t="s">
        <v>160</v>
      </c>
      <c r="AJ350" s="10"/>
      <c r="AK350" s="10"/>
      <c r="AL350" s="10"/>
      <c r="AM350" s="11" t="s">
        <v>131</v>
      </c>
      <c r="AN350" s="11" t="s">
        <v>131</v>
      </c>
      <c r="AO350" s="11" t="s">
        <v>131</v>
      </c>
      <c r="AP350" s="11" t="s">
        <v>131</v>
      </c>
      <c r="AQ350" s="11"/>
      <c r="AR350" s="7"/>
    </row>
    <row r="351" spans="1:44" ht="14.4" x14ac:dyDescent="0.3">
      <c r="A351" s="6" t="s">
        <v>262</v>
      </c>
      <c r="B351" s="6" t="s">
        <v>1887</v>
      </c>
      <c r="C351" s="6" t="s">
        <v>1940</v>
      </c>
      <c r="D351" s="6" t="s">
        <v>1889</v>
      </c>
      <c r="E351" s="6" t="s">
        <v>1941</v>
      </c>
      <c r="F351" s="7" t="s">
        <v>125</v>
      </c>
      <c r="G351" s="10"/>
      <c r="H351" s="7" t="s">
        <v>93</v>
      </c>
      <c r="I351" s="7"/>
      <c r="J351" s="10"/>
      <c r="K351" s="6" t="s">
        <v>90</v>
      </c>
      <c r="L351" s="7"/>
      <c r="M351" s="14"/>
      <c r="N351" s="7" t="s">
        <v>93</v>
      </c>
      <c r="O351" s="10"/>
      <c r="P351" s="7" t="s">
        <v>90</v>
      </c>
      <c r="Q351" s="15">
        <f>IF(P351="oui",MIN(Parametres!$B$4,MAX(Parametres!$B$3,IF(M351="",Parametres!$B$3,ROUND(M351*10%,0)))),"")</f>
        <v>0</v>
      </c>
      <c r="R351" s="7" t="s">
        <v>134</v>
      </c>
      <c r="S351" s="7" t="s">
        <v>90</v>
      </c>
      <c r="T351" s="15">
        <f>IF(S351="oui",Parametres!$B$5,"")</f>
        <v>500</v>
      </c>
      <c r="U351" s="7" t="s">
        <v>134</v>
      </c>
      <c r="V351" s="15">
        <f t="shared" si="20"/>
        <v>500</v>
      </c>
      <c r="W351" s="15" t="str">
        <f t="shared" si="21"/>
        <v/>
      </c>
      <c r="X351" s="6" t="s">
        <v>90</v>
      </c>
      <c r="Y351" s="7" t="s">
        <v>133</v>
      </c>
      <c r="Z351" s="10"/>
      <c r="AA351" s="6" t="s">
        <v>93</v>
      </c>
      <c r="AB351" s="7" t="s">
        <v>160</v>
      </c>
      <c r="AC351" s="10"/>
      <c r="AD351" s="9" t="str">
        <f t="shared" si="22"/>
        <v>oui</v>
      </c>
      <c r="AE351" s="9" t="str">
        <f t="shared" si="23"/>
        <v>TAE manquant</v>
      </c>
      <c r="AF351" s="7"/>
      <c r="AG351" s="10"/>
      <c r="AH351" s="10"/>
      <c r="AI351" s="7" t="s">
        <v>160</v>
      </c>
      <c r="AJ351" s="10"/>
      <c r="AK351" s="10"/>
      <c r="AL351" s="10"/>
      <c r="AM351" s="11" t="s">
        <v>131</v>
      </c>
      <c r="AN351" s="11" t="s">
        <v>131</v>
      </c>
      <c r="AO351" s="11" t="s">
        <v>131</v>
      </c>
      <c r="AP351" s="11" t="s">
        <v>131</v>
      </c>
      <c r="AQ351" s="11"/>
      <c r="AR351" s="7"/>
    </row>
    <row r="352" spans="1:44" ht="14.4" x14ac:dyDescent="0.3">
      <c r="A352" s="6" t="s">
        <v>262</v>
      </c>
      <c r="B352" s="6" t="s">
        <v>1887</v>
      </c>
      <c r="C352" s="6" t="s">
        <v>1944</v>
      </c>
      <c r="D352" s="6" t="s">
        <v>1889</v>
      </c>
      <c r="E352" s="6" t="s">
        <v>1945</v>
      </c>
      <c r="F352" s="7" t="s">
        <v>125</v>
      </c>
      <c r="G352" s="10"/>
      <c r="H352" s="7" t="s">
        <v>93</v>
      </c>
      <c r="I352" s="7"/>
      <c r="J352" s="10"/>
      <c r="K352" s="6" t="s">
        <v>90</v>
      </c>
      <c r="L352" s="7"/>
      <c r="M352" s="14"/>
      <c r="N352" s="7" t="s">
        <v>93</v>
      </c>
      <c r="O352" s="10"/>
      <c r="P352" s="7" t="s">
        <v>90</v>
      </c>
      <c r="Q352" s="15">
        <f>IF(P352="oui",MIN(Parametres!$B$4,MAX(Parametres!$B$3,IF(M352="",Parametres!$B$3,ROUND(M352*10%,0)))),"")</f>
        <v>0</v>
      </c>
      <c r="R352" s="7" t="s">
        <v>134</v>
      </c>
      <c r="S352" s="7" t="s">
        <v>90</v>
      </c>
      <c r="T352" s="15">
        <f>IF(S352="oui",Parametres!$B$5,"")</f>
        <v>500</v>
      </c>
      <c r="U352" s="7" t="s">
        <v>134</v>
      </c>
      <c r="V352" s="15">
        <f t="shared" si="20"/>
        <v>500</v>
      </c>
      <c r="W352" s="15" t="str">
        <f t="shared" si="21"/>
        <v/>
      </c>
      <c r="X352" s="6" t="s">
        <v>90</v>
      </c>
      <c r="Y352" s="7" t="s">
        <v>133</v>
      </c>
      <c r="Z352" s="10"/>
      <c r="AA352" s="6" t="s">
        <v>93</v>
      </c>
      <c r="AB352" s="7" t="s">
        <v>160</v>
      </c>
      <c r="AC352" s="10"/>
      <c r="AD352" s="9" t="str">
        <f t="shared" si="22"/>
        <v>oui</v>
      </c>
      <c r="AE352" s="9" t="str">
        <f t="shared" si="23"/>
        <v>TAE manquant</v>
      </c>
      <c r="AF352" s="7"/>
      <c r="AG352" s="10"/>
      <c r="AH352" s="10"/>
      <c r="AI352" s="7" t="s">
        <v>160</v>
      </c>
      <c r="AJ352" s="10"/>
      <c r="AK352" s="10"/>
      <c r="AL352" s="10"/>
      <c r="AM352" s="11" t="s">
        <v>131</v>
      </c>
      <c r="AN352" s="11" t="s">
        <v>131</v>
      </c>
      <c r="AO352" s="11" t="s">
        <v>131</v>
      </c>
      <c r="AP352" s="11" t="s">
        <v>131</v>
      </c>
      <c r="AQ352" s="11"/>
      <c r="AR352" s="7"/>
    </row>
    <row r="353" spans="1:44" ht="14.4" x14ac:dyDescent="0.3">
      <c r="A353" s="6" t="s">
        <v>262</v>
      </c>
      <c r="B353" s="6" t="s">
        <v>1887</v>
      </c>
      <c r="C353" s="6" t="s">
        <v>1948</v>
      </c>
      <c r="D353" s="6" t="s">
        <v>1889</v>
      </c>
      <c r="E353" s="6" t="s">
        <v>1949</v>
      </c>
      <c r="F353" s="7" t="s">
        <v>125</v>
      </c>
      <c r="G353" s="10"/>
      <c r="H353" s="7" t="s">
        <v>93</v>
      </c>
      <c r="I353" s="7"/>
      <c r="J353" s="10"/>
      <c r="K353" s="6" t="s">
        <v>90</v>
      </c>
      <c r="L353" s="7"/>
      <c r="M353" s="14"/>
      <c r="N353" s="7" t="s">
        <v>93</v>
      </c>
      <c r="O353" s="10"/>
      <c r="P353" s="7" t="s">
        <v>90</v>
      </c>
      <c r="Q353" s="15">
        <f>IF(P353="oui",MIN(Parametres!$B$4,MAX(Parametres!$B$3,IF(M353="",Parametres!$B$3,ROUND(M353*10%,0)))),"")</f>
        <v>0</v>
      </c>
      <c r="R353" s="7" t="s">
        <v>134</v>
      </c>
      <c r="S353" s="7" t="s">
        <v>90</v>
      </c>
      <c r="T353" s="15">
        <f>IF(S353="oui",Parametres!$B$5,"")</f>
        <v>500</v>
      </c>
      <c r="U353" s="7" t="s">
        <v>134</v>
      </c>
      <c r="V353" s="15">
        <f t="shared" si="20"/>
        <v>500</v>
      </c>
      <c r="W353" s="15" t="str">
        <f t="shared" si="21"/>
        <v/>
      </c>
      <c r="X353" s="6" t="s">
        <v>90</v>
      </c>
      <c r="Y353" s="7" t="s">
        <v>133</v>
      </c>
      <c r="Z353" s="10"/>
      <c r="AA353" s="6" t="s">
        <v>93</v>
      </c>
      <c r="AB353" s="7" t="s">
        <v>160</v>
      </c>
      <c r="AC353" s="10"/>
      <c r="AD353" s="9" t="str">
        <f t="shared" si="22"/>
        <v>oui</v>
      </c>
      <c r="AE353" s="9" t="str">
        <f t="shared" si="23"/>
        <v>TAE manquant</v>
      </c>
      <c r="AF353" s="7"/>
      <c r="AG353" s="10"/>
      <c r="AH353" s="10"/>
      <c r="AI353" s="7" t="s">
        <v>160</v>
      </c>
      <c r="AJ353" s="10"/>
      <c r="AK353" s="10"/>
      <c r="AL353" s="10"/>
      <c r="AM353" s="11" t="s">
        <v>131</v>
      </c>
      <c r="AN353" s="11" t="s">
        <v>131</v>
      </c>
      <c r="AO353" s="11" t="s">
        <v>131</v>
      </c>
      <c r="AP353" s="11" t="s">
        <v>131</v>
      </c>
      <c r="AQ353" s="11"/>
      <c r="AR353" s="7"/>
    </row>
    <row r="354" spans="1:44" ht="14.4" x14ac:dyDescent="0.3">
      <c r="A354" s="6" t="s">
        <v>270</v>
      </c>
      <c r="B354" s="6" t="s">
        <v>1953</v>
      </c>
      <c r="C354" s="6" t="s">
        <v>1954</v>
      </c>
      <c r="D354" s="6" t="s">
        <v>1955</v>
      </c>
      <c r="E354" s="6" t="s">
        <v>1956</v>
      </c>
      <c r="F354" s="7" t="s">
        <v>125</v>
      </c>
      <c r="G354" s="10"/>
      <c r="H354" s="7" t="s">
        <v>93</v>
      </c>
      <c r="I354" s="7"/>
      <c r="J354" s="10"/>
      <c r="K354" s="6" t="s">
        <v>90</v>
      </c>
      <c r="L354" s="7"/>
      <c r="M354" s="14"/>
      <c r="N354" s="7" t="s">
        <v>93</v>
      </c>
      <c r="O354" s="10"/>
      <c r="P354" s="7" t="s">
        <v>90</v>
      </c>
      <c r="Q354" s="15">
        <f>IF(P354="oui",MIN(Parametres!$B$4,MAX(Parametres!$B$3,IF(M354="",Parametres!$B$3,ROUND(M354*10%,0)))),"")</f>
        <v>0</v>
      </c>
      <c r="R354" s="7" t="s">
        <v>134</v>
      </c>
      <c r="S354" s="7" t="s">
        <v>90</v>
      </c>
      <c r="T354" s="15">
        <f>IF(S354="oui",Parametres!$B$5,"")</f>
        <v>500</v>
      </c>
      <c r="U354" s="7" t="s">
        <v>134</v>
      </c>
      <c r="V354" s="15">
        <f t="shared" si="20"/>
        <v>500</v>
      </c>
      <c r="W354" s="15" t="str">
        <f t="shared" si="21"/>
        <v/>
      </c>
      <c r="X354" s="6" t="s">
        <v>90</v>
      </c>
      <c r="Y354" s="7" t="s">
        <v>133</v>
      </c>
      <c r="Z354" s="10"/>
      <c r="AA354" s="6" t="s">
        <v>93</v>
      </c>
      <c r="AB354" s="7" t="s">
        <v>160</v>
      </c>
      <c r="AC354" s="10"/>
      <c r="AD354" s="9" t="str">
        <f t="shared" si="22"/>
        <v>oui</v>
      </c>
      <c r="AE354" s="9" t="str">
        <f t="shared" si="23"/>
        <v>TAE manquant</v>
      </c>
      <c r="AF354" s="7"/>
      <c r="AG354" s="10"/>
      <c r="AH354" s="10"/>
      <c r="AI354" s="7" t="s">
        <v>160</v>
      </c>
      <c r="AJ354" s="10"/>
      <c r="AK354" s="10"/>
      <c r="AL354" s="10"/>
      <c r="AM354" s="11" t="s">
        <v>131</v>
      </c>
      <c r="AN354" s="11" t="s">
        <v>131</v>
      </c>
      <c r="AO354" s="11" t="s">
        <v>131</v>
      </c>
      <c r="AP354" s="11" t="s">
        <v>131</v>
      </c>
      <c r="AQ354" s="11"/>
      <c r="AR354" s="7"/>
    </row>
    <row r="355" spans="1:44" ht="14.4" x14ac:dyDescent="0.3">
      <c r="A355" s="6" t="s">
        <v>270</v>
      </c>
      <c r="B355" s="6" t="s">
        <v>1953</v>
      </c>
      <c r="C355" s="6" t="s">
        <v>1958</v>
      </c>
      <c r="D355" s="6" t="s">
        <v>1955</v>
      </c>
      <c r="E355" s="6" t="s">
        <v>1959</v>
      </c>
      <c r="F355" s="7" t="s">
        <v>125</v>
      </c>
      <c r="G355" s="10"/>
      <c r="H355" s="7" t="s">
        <v>93</v>
      </c>
      <c r="I355" s="7"/>
      <c r="J355" s="10"/>
      <c r="K355" s="6" t="s">
        <v>90</v>
      </c>
      <c r="L355" s="7"/>
      <c r="M355" s="14"/>
      <c r="N355" s="7" t="s">
        <v>93</v>
      </c>
      <c r="O355" s="10"/>
      <c r="P355" s="7" t="s">
        <v>90</v>
      </c>
      <c r="Q355" s="15">
        <f>IF(P355="oui",MIN(Parametres!$B$4,MAX(Parametres!$B$3,IF(M355="",Parametres!$B$3,ROUND(M355*10%,0)))),"")</f>
        <v>0</v>
      </c>
      <c r="R355" s="7" t="s">
        <v>134</v>
      </c>
      <c r="S355" s="7" t="s">
        <v>90</v>
      </c>
      <c r="T355" s="15">
        <f>IF(S355="oui",Parametres!$B$5,"")</f>
        <v>500</v>
      </c>
      <c r="U355" s="7" t="s">
        <v>134</v>
      </c>
      <c r="V355" s="15">
        <f t="shared" si="20"/>
        <v>500</v>
      </c>
      <c r="W355" s="15" t="str">
        <f t="shared" si="21"/>
        <v/>
      </c>
      <c r="X355" s="6" t="s">
        <v>90</v>
      </c>
      <c r="Y355" s="7" t="s">
        <v>133</v>
      </c>
      <c r="Z355" s="10"/>
      <c r="AA355" s="6" t="s">
        <v>93</v>
      </c>
      <c r="AB355" s="7" t="s">
        <v>160</v>
      </c>
      <c r="AC355" s="10"/>
      <c r="AD355" s="9" t="str">
        <f t="shared" si="22"/>
        <v>oui</v>
      </c>
      <c r="AE355" s="9" t="str">
        <f t="shared" si="23"/>
        <v>TAE manquant</v>
      </c>
      <c r="AF355" s="7"/>
      <c r="AG355" s="10"/>
      <c r="AH355" s="10"/>
      <c r="AI355" s="7" t="s">
        <v>160</v>
      </c>
      <c r="AJ355" s="10"/>
      <c r="AK355" s="10"/>
      <c r="AL355" s="10"/>
      <c r="AM355" s="11" t="s">
        <v>131</v>
      </c>
      <c r="AN355" s="11" t="s">
        <v>131</v>
      </c>
      <c r="AO355" s="11" t="s">
        <v>131</v>
      </c>
      <c r="AP355" s="11" t="s">
        <v>131</v>
      </c>
      <c r="AQ355" s="11"/>
      <c r="AR355" s="7"/>
    </row>
    <row r="356" spans="1:44" ht="14.4" x14ac:dyDescent="0.3">
      <c r="A356" s="6" t="s">
        <v>270</v>
      </c>
      <c r="B356" s="6" t="s">
        <v>1953</v>
      </c>
      <c r="C356" s="6" t="s">
        <v>1963</v>
      </c>
      <c r="D356" s="6" t="s">
        <v>1955</v>
      </c>
      <c r="E356" s="6" t="s">
        <v>1964</v>
      </c>
      <c r="F356" s="7" t="s">
        <v>125</v>
      </c>
      <c r="G356" s="10"/>
      <c r="H356" s="7" t="s">
        <v>93</v>
      </c>
      <c r="I356" s="7"/>
      <c r="J356" s="10"/>
      <c r="K356" s="6" t="s">
        <v>90</v>
      </c>
      <c r="L356" s="7"/>
      <c r="M356" s="14"/>
      <c r="N356" s="7" t="s">
        <v>93</v>
      </c>
      <c r="O356" s="10"/>
      <c r="P356" s="7" t="s">
        <v>90</v>
      </c>
      <c r="Q356" s="15">
        <f>IF(P356="oui",MIN(Parametres!$B$4,MAX(Parametres!$B$3,IF(M356="",Parametres!$B$3,ROUND(M356*10%,0)))),"")</f>
        <v>0</v>
      </c>
      <c r="R356" s="7" t="s">
        <v>134</v>
      </c>
      <c r="S356" s="7" t="s">
        <v>90</v>
      </c>
      <c r="T356" s="15">
        <f>IF(S356="oui",Parametres!$B$5,"")</f>
        <v>500</v>
      </c>
      <c r="U356" s="7" t="s">
        <v>134</v>
      </c>
      <c r="V356" s="15">
        <f t="shared" si="20"/>
        <v>500</v>
      </c>
      <c r="W356" s="15" t="str">
        <f t="shared" si="21"/>
        <v/>
      </c>
      <c r="X356" s="6" t="s">
        <v>90</v>
      </c>
      <c r="Y356" s="7" t="s">
        <v>133</v>
      </c>
      <c r="Z356" s="10"/>
      <c r="AA356" s="6" t="s">
        <v>93</v>
      </c>
      <c r="AB356" s="7" t="s">
        <v>160</v>
      </c>
      <c r="AC356" s="10"/>
      <c r="AD356" s="9" t="str">
        <f t="shared" si="22"/>
        <v>oui</v>
      </c>
      <c r="AE356" s="9" t="str">
        <f t="shared" si="23"/>
        <v>TAE manquant</v>
      </c>
      <c r="AF356" s="7"/>
      <c r="AG356" s="10"/>
      <c r="AH356" s="10"/>
      <c r="AI356" s="7" t="s">
        <v>160</v>
      </c>
      <c r="AJ356" s="10"/>
      <c r="AK356" s="10"/>
      <c r="AL356" s="10"/>
      <c r="AM356" s="11" t="s">
        <v>131</v>
      </c>
      <c r="AN356" s="11" t="s">
        <v>131</v>
      </c>
      <c r="AO356" s="11" t="s">
        <v>131</v>
      </c>
      <c r="AP356" s="11" t="s">
        <v>131</v>
      </c>
      <c r="AQ356" s="11"/>
      <c r="AR356" s="7"/>
    </row>
    <row r="357" spans="1:44" ht="14.4" x14ac:dyDescent="0.3">
      <c r="A357" s="6" t="s">
        <v>270</v>
      </c>
      <c r="B357" s="6" t="s">
        <v>1953</v>
      </c>
      <c r="C357" s="6" t="s">
        <v>1967</v>
      </c>
      <c r="D357" s="6" t="s">
        <v>1955</v>
      </c>
      <c r="E357" s="6" t="s">
        <v>1968</v>
      </c>
      <c r="F357" s="7" t="s">
        <v>125</v>
      </c>
      <c r="G357" s="10"/>
      <c r="H357" s="7" t="s">
        <v>93</v>
      </c>
      <c r="I357" s="7"/>
      <c r="J357" s="10"/>
      <c r="K357" s="6" t="s">
        <v>90</v>
      </c>
      <c r="L357" s="7"/>
      <c r="M357" s="14"/>
      <c r="N357" s="7" t="s">
        <v>93</v>
      </c>
      <c r="O357" s="10"/>
      <c r="P357" s="7" t="s">
        <v>90</v>
      </c>
      <c r="Q357" s="15">
        <f>IF(P357="oui",MIN(Parametres!$B$4,MAX(Parametres!$B$3,IF(M357="",Parametres!$B$3,ROUND(M357*10%,0)))),"")</f>
        <v>0</v>
      </c>
      <c r="R357" s="7" t="s">
        <v>134</v>
      </c>
      <c r="S357" s="7" t="s">
        <v>90</v>
      </c>
      <c r="T357" s="15">
        <f>IF(S357="oui",Parametres!$B$5,"")</f>
        <v>500</v>
      </c>
      <c r="U357" s="7" t="s">
        <v>134</v>
      </c>
      <c r="V357" s="15">
        <f t="shared" si="20"/>
        <v>500</v>
      </c>
      <c r="W357" s="15" t="str">
        <f t="shared" si="21"/>
        <v/>
      </c>
      <c r="X357" s="6" t="s">
        <v>90</v>
      </c>
      <c r="Y357" s="7" t="s">
        <v>133</v>
      </c>
      <c r="Z357" s="10"/>
      <c r="AA357" s="6" t="s">
        <v>93</v>
      </c>
      <c r="AB357" s="7" t="s">
        <v>160</v>
      </c>
      <c r="AC357" s="10"/>
      <c r="AD357" s="9" t="str">
        <f t="shared" si="22"/>
        <v>oui</v>
      </c>
      <c r="AE357" s="9" t="str">
        <f t="shared" si="23"/>
        <v>TAE manquant</v>
      </c>
      <c r="AF357" s="7"/>
      <c r="AG357" s="10"/>
      <c r="AH357" s="10"/>
      <c r="AI357" s="7" t="s">
        <v>160</v>
      </c>
      <c r="AJ357" s="10"/>
      <c r="AK357" s="10"/>
      <c r="AL357" s="10"/>
      <c r="AM357" s="11" t="s">
        <v>131</v>
      </c>
      <c r="AN357" s="11" t="s">
        <v>131</v>
      </c>
      <c r="AO357" s="11" t="s">
        <v>131</v>
      </c>
      <c r="AP357" s="11" t="s">
        <v>131</v>
      </c>
      <c r="AQ357" s="11"/>
      <c r="AR357" s="7"/>
    </row>
    <row r="358" spans="1:44" ht="14.4" x14ac:dyDescent="0.3">
      <c r="A358" s="6" t="s">
        <v>270</v>
      </c>
      <c r="B358" s="6" t="s">
        <v>1953</v>
      </c>
      <c r="C358" s="6" t="s">
        <v>1971</v>
      </c>
      <c r="D358" s="6" t="s">
        <v>1955</v>
      </c>
      <c r="E358" s="6" t="s">
        <v>1972</v>
      </c>
      <c r="F358" s="7" t="s">
        <v>125</v>
      </c>
      <c r="G358" s="10"/>
      <c r="H358" s="7" t="s">
        <v>93</v>
      </c>
      <c r="I358" s="7"/>
      <c r="J358" s="10"/>
      <c r="K358" s="6" t="s">
        <v>90</v>
      </c>
      <c r="L358" s="7"/>
      <c r="M358" s="14"/>
      <c r="N358" s="7" t="s">
        <v>93</v>
      </c>
      <c r="O358" s="10"/>
      <c r="P358" s="7" t="s">
        <v>90</v>
      </c>
      <c r="Q358" s="15">
        <f>IF(P358="oui",MIN(Parametres!$B$4,MAX(Parametres!$B$3,IF(M358="",Parametres!$B$3,ROUND(M358*10%,0)))),"")</f>
        <v>0</v>
      </c>
      <c r="R358" s="7" t="s">
        <v>134</v>
      </c>
      <c r="S358" s="7" t="s">
        <v>90</v>
      </c>
      <c r="T358" s="15">
        <f>IF(S358="oui",Parametres!$B$5,"")</f>
        <v>500</v>
      </c>
      <c r="U358" s="7" t="s">
        <v>134</v>
      </c>
      <c r="V358" s="15">
        <f t="shared" si="20"/>
        <v>500</v>
      </c>
      <c r="W358" s="15" t="str">
        <f t="shared" si="21"/>
        <v/>
      </c>
      <c r="X358" s="6" t="s">
        <v>90</v>
      </c>
      <c r="Y358" s="7" t="s">
        <v>133</v>
      </c>
      <c r="Z358" s="10"/>
      <c r="AA358" s="6" t="s">
        <v>93</v>
      </c>
      <c r="AB358" s="7" t="s">
        <v>160</v>
      </c>
      <c r="AC358" s="10"/>
      <c r="AD358" s="9" t="str">
        <f t="shared" si="22"/>
        <v>oui</v>
      </c>
      <c r="AE358" s="9" t="str">
        <f t="shared" si="23"/>
        <v>TAE manquant</v>
      </c>
      <c r="AF358" s="7"/>
      <c r="AG358" s="10"/>
      <c r="AH358" s="10"/>
      <c r="AI358" s="7" t="s">
        <v>160</v>
      </c>
      <c r="AJ358" s="10"/>
      <c r="AK358" s="10"/>
      <c r="AL358" s="10"/>
      <c r="AM358" s="11" t="s">
        <v>131</v>
      </c>
      <c r="AN358" s="11" t="s">
        <v>131</v>
      </c>
      <c r="AO358" s="11" t="s">
        <v>131</v>
      </c>
      <c r="AP358" s="11" t="s">
        <v>131</v>
      </c>
      <c r="AQ358" s="11"/>
      <c r="AR358" s="7"/>
    </row>
    <row r="359" spans="1:44" ht="14.4" x14ac:dyDescent="0.3">
      <c r="A359" s="6" t="s">
        <v>270</v>
      </c>
      <c r="B359" s="6" t="s">
        <v>1953</v>
      </c>
      <c r="C359" s="6" t="s">
        <v>1976</v>
      </c>
      <c r="D359" s="6" t="s">
        <v>1955</v>
      </c>
      <c r="E359" s="6" t="s">
        <v>1977</v>
      </c>
      <c r="F359" s="7" t="s">
        <v>125</v>
      </c>
      <c r="G359" s="10"/>
      <c r="H359" s="7" t="s">
        <v>93</v>
      </c>
      <c r="I359" s="7"/>
      <c r="J359" s="10"/>
      <c r="K359" s="6" t="s">
        <v>90</v>
      </c>
      <c r="L359" s="7"/>
      <c r="M359" s="14"/>
      <c r="N359" s="7" t="s">
        <v>93</v>
      </c>
      <c r="O359" s="10"/>
      <c r="P359" s="7" t="s">
        <v>90</v>
      </c>
      <c r="Q359" s="15">
        <f>IF(P359="oui",MIN(Parametres!$B$4,MAX(Parametres!$B$3,IF(M359="",Parametres!$B$3,ROUND(M359*10%,0)))),"")</f>
        <v>0</v>
      </c>
      <c r="R359" s="7" t="s">
        <v>134</v>
      </c>
      <c r="S359" s="7" t="s">
        <v>90</v>
      </c>
      <c r="T359" s="15">
        <f>IF(S359="oui",Parametres!$B$5,"")</f>
        <v>500</v>
      </c>
      <c r="U359" s="7" t="s">
        <v>134</v>
      </c>
      <c r="V359" s="15">
        <f t="shared" si="20"/>
        <v>500</v>
      </c>
      <c r="W359" s="15" t="str">
        <f t="shared" si="21"/>
        <v/>
      </c>
      <c r="X359" s="6" t="s">
        <v>90</v>
      </c>
      <c r="Y359" s="7" t="s">
        <v>133</v>
      </c>
      <c r="Z359" s="10"/>
      <c r="AA359" s="6" t="s">
        <v>93</v>
      </c>
      <c r="AB359" s="7" t="s">
        <v>160</v>
      </c>
      <c r="AC359" s="10"/>
      <c r="AD359" s="9" t="str">
        <f t="shared" si="22"/>
        <v>oui</v>
      </c>
      <c r="AE359" s="9" t="str">
        <f t="shared" si="23"/>
        <v>TAE manquant</v>
      </c>
      <c r="AF359" s="7"/>
      <c r="AG359" s="10"/>
      <c r="AH359" s="10"/>
      <c r="AI359" s="7" t="s">
        <v>160</v>
      </c>
      <c r="AJ359" s="10"/>
      <c r="AK359" s="10"/>
      <c r="AL359" s="10"/>
      <c r="AM359" s="11" t="s">
        <v>131</v>
      </c>
      <c r="AN359" s="11" t="s">
        <v>131</v>
      </c>
      <c r="AO359" s="11" t="s">
        <v>131</v>
      </c>
      <c r="AP359" s="11" t="s">
        <v>131</v>
      </c>
      <c r="AQ359" s="11"/>
      <c r="AR359" s="7"/>
    </row>
    <row r="360" spans="1:44" ht="14.4" x14ac:dyDescent="0.3">
      <c r="A360" s="6" t="s">
        <v>270</v>
      </c>
      <c r="B360" s="6" t="s">
        <v>1953</v>
      </c>
      <c r="C360" s="6" t="s">
        <v>1979</v>
      </c>
      <c r="D360" s="6" t="s">
        <v>1955</v>
      </c>
      <c r="E360" s="6" t="s">
        <v>1980</v>
      </c>
      <c r="F360" s="7" t="s">
        <v>125</v>
      </c>
      <c r="G360" s="10"/>
      <c r="H360" s="7" t="s">
        <v>93</v>
      </c>
      <c r="I360" s="7"/>
      <c r="J360" s="10"/>
      <c r="K360" s="6" t="s">
        <v>90</v>
      </c>
      <c r="L360" s="7"/>
      <c r="M360" s="14"/>
      <c r="N360" s="7" t="s">
        <v>93</v>
      </c>
      <c r="O360" s="10"/>
      <c r="P360" s="7" t="s">
        <v>90</v>
      </c>
      <c r="Q360" s="15">
        <f>IF(P360="oui",MIN(Parametres!$B$4,MAX(Parametres!$B$3,IF(M360="",Parametres!$B$3,ROUND(M360*10%,0)))),"")</f>
        <v>0</v>
      </c>
      <c r="R360" s="7" t="s">
        <v>134</v>
      </c>
      <c r="S360" s="7" t="s">
        <v>90</v>
      </c>
      <c r="T360" s="15">
        <f>IF(S360="oui",Parametres!$B$5,"")</f>
        <v>500</v>
      </c>
      <c r="U360" s="7" t="s">
        <v>134</v>
      </c>
      <c r="V360" s="15">
        <f t="shared" si="20"/>
        <v>500</v>
      </c>
      <c r="W360" s="15" t="str">
        <f t="shared" si="21"/>
        <v/>
      </c>
      <c r="X360" s="6" t="s">
        <v>90</v>
      </c>
      <c r="Y360" s="7" t="s">
        <v>133</v>
      </c>
      <c r="Z360" s="10"/>
      <c r="AA360" s="6" t="s">
        <v>93</v>
      </c>
      <c r="AB360" s="7" t="s">
        <v>160</v>
      </c>
      <c r="AC360" s="10"/>
      <c r="AD360" s="9" t="str">
        <f t="shared" si="22"/>
        <v>oui</v>
      </c>
      <c r="AE360" s="9" t="str">
        <f t="shared" si="23"/>
        <v>TAE manquant</v>
      </c>
      <c r="AF360" s="7"/>
      <c r="AG360" s="10"/>
      <c r="AH360" s="10"/>
      <c r="AI360" s="7" t="s">
        <v>160</v>
      </c>
      <c r="AJ360" s="10"/>
      <c r="AK360" s="10"/>
      <c r="AL360" s="10"/>
      <c r="AM360" s="11" t="s">
        <v>131</v>
      </c>
      <c r="AN360" s="11" t="s">
        <v>131</v>
      </c>
      <c r="AO360" s="11" t="s">
        <v>131</v>
      </c>
      <c r="AP360" s="11" t="s">
        <v>131</v>
      </c>
      <c r="AQ360" s="11"/>
      <c r="AR360" s="7"/>
    </row>
    <row r="361" spans="1:44" ht="14.4" x14ac:dyDescent="0.3">
      <c r="A361" s="6" t="s">
        <v>202</v>
      </c>
      <c r="B361" s="6" t="s">
        <v>1983</v>
      </c>
      <c r="C361" s="6" t="s">
        <v>1984</v>
      </c>
      <c r="D361" s="6" t="s">
        <v>1985</v>
      </c>
      <c r="E361" s="6" t="s">
        <v>1986</v>
      </c>
      <c r="F361" s="7" t="s">
        <v>125</v>
      </c>
      <c r="G361" s="10"/>
      <c r="H361" s="7" t="s">
        <v>93</v>
      </c>
      <c r="I361" s="7"/>
      <c r="J361" s="10"/>
      <c r="K361" s="6" t="s">
        <v>90</v>
      </c>
      <c r="L361" s="7"/>
      <c r="M361" s="14"/>
      <c r="N361" s="7" t="s">
        <v>93</v>
      </c>
      <c r="O361" s="10"/>
      <c r="P361" s="7" t="s">
        <v>90</v>
      </c>
      <c r="Q361" s="15">
        <f>IF(P361="oui",MIN(Parametres!$B$4,MAX(Parametres!$B$3,IF(M361="",Parametres!$B$3,ROUND(M361*10%,0)))),"")</f>
        <v>0</v>
      </c>
      <c r="R361" s="7" t="s">
        <v>134</v>
      </c>
      <c r="S361" s="7" t="s">
        <v>90</v>
      </c>
      <c r="T361" s="15">
        <f>IF(S361="oui",Parametres!$B$5,"")</f>
        <v>500</v>
      </c>
      <c r="U361" s="7" t="s">
        <v>134</v>
      </c>
      <c r="V361" s="15">
        <f t="shared" si="20"/>
        <v>500</v>
      </c>
      <c r="W361" s="15" t="str">
        <f t="shared" si="21"/>
        <v/>
      </c>
      <c r="X361" s="6" t="s">
        <v>90</v>
      </c>
      <c r="Y361" s="7" t="s">
        <v>133</v>
      </c>
      <c r="Z361" s="10"/>
      <c r="AA361" s="6" t="s">
        <v>93</v>
      </c>
      <c r="AB361" s="7" t="s">
        <v>160</v>
      </c>
      <c r="AC361" s="10"/>
      <c r="AD361" s="9" t="str">
        <f t="shared" si="22"/>
        <v>oui</v>
      </c>
      <c r="AE361" s="9" t="str">
        <f t="shared" si="23"/>
        <v>TAE manquant</v>
      </c>
      <c r="AF361" s="7"/>
      <c r="AG361" s="10"/>
      <c r="AH361" s="10"/>
      <c r="AI361" s="7" t="s">
        <v>160</v>
      </c>
      <c r="AJ361" s="10"/>
      <c r="AK361" s="10"/>
      <c r="AL361" s="10"/>
      <c r="AM361" s="11" t="s">
        <v>131</v>
      </c>
      <c r="AN361" s="11" t="s">
        <v>131</v>
      </c>
      <c r="AO361" s="11" t="s">
        <v>131</v>
      </c>
      <c r="AP361" s="11" t="s">
        <v>131</v>
      </c>
      <c r="AQ361" s="11"/>
      <c r="AR361" s="7"/>
    </row>
    <row r="362" spans="1:44" ht="14.4" x14ac:dyDescent="0.3">
      <c r="A362" s="6" t="s">
        <v>202</v>
      </c>
      <c r="B362" s="6" t="s">
        <v>1983</v>
      </c>
      <c r="C362" s="6" t="s">
        <v>1989</v>
      </c>
      <c r="D362" s="6" t="s">
        <v>1985</v>
      </c>
      <c r="E362" s="6" t="s">
        <v>1990</v>
      </c>
      <c r="F362" s="7" t="s">
        <v>125</v>
      </c>
      <c r="G362" s="10"/>
      <c r="H362" s="7" t="s">
        <v>93</v>
      </c>
      <c r="I362" s="7"/>
      <c r="J362" s="10"/>
      <c r="K362" s="6" t="s">
        <v>90</v>
      </c>
      <c r="L362" s="7"/>
      <c r="M362" s="14"/>
      <c r="N362" s="7" t="s">
        <v>93</v>
      </c>
      <c r="O362" s="10"/>
      <c r="P362" s="7" t="s">
        <v>90</v>
      </c>
      <c r="Q362" s="15">
        <f>IF(P362="oui",MIN(Parametres!$B$4,MAX(Parametres!$B$3,IF(M362="",Parametres!$B$3,ROUND(M362*10%,0)))),"")</f>
        <v>0</v>
      </c>
      <c r="R362" s="7" t="s">
        <v>134</v>
      </c>
      <c r="S362" s="7" t="s">
        <v>90</v>
      </c>
      <c r="T362" s="15">
        <f>IF(S362="oui",Parametres!$B$5,"")</f>
        <v>500</v>
      </c>
      <c r="U362" s="7" t="s">
        <v>134</v>
      </c>
      <c r="V362" s="15">
        <f t="shared" si="20"/>
        <v>500</v>
      </c>
      <c r="W362" s="15" t="str">
        <f t="shared" si="21"/>
        <v/>
      </c>
      <c r="X362" s="6" t="s">
        <v>90</v>
      </c>
      <c r="Y362" s="7" t="s">
        <v>133</v>
      </c>
      <c r="Z362" s="10"/>
      <c r="AA362" s="6" t="s">
        <v>93</v>
      </c>
      <c r="AB362" s="7" t="s">
        <v>160</v>
      </c>
      <c r="AC362" s="10"/>
      <c r="AD362" s="9" t="str">
        <f t="shared" si="22"/>
        <v>oui</v>
      </c>
      <c r="AE362" s="9" t="str">
        <f t="shared" si="23"/>
        <v>TAE manquant</v>
      </c>
      <c r="AF362" s="7"/>
      <c r="AG362" s="10"/>
      <c r="AH362" s="10"/>
      <c r="AI362" s="7" t="s">
        <v>160</v>
      </c>
      <c r="AJ362" s="10"/>
      <c r="AK362" s="10"/>
      <c r="AL362" s="10"/>
      <c r="AM362" s="11" t="s">
        <v>131</v>
      </c>
      <c r="AN362" s="11" t="s">
        <v>131</v>
      </c>
      <c r="AO362" s="11" t="s">
        <v>131</v>
      </c>
      <c r="AP362" s="11" t="s">
        <v>131</v>
      </c>
      <c r="AQ362" s="11"/>
      <c r="AR362" s="7"/>
    </row>
    <row r="363" spans="1:44" ht="14.4" x14ac:dyDescent="0.3">
      <c r="A363" s="6" t="s">
        <v>202</v>
      </c>
      <c r="B363" s="6" t="s">
        <v>1983</v>
      </c>
      <c r="C363" s="6" t="s">
        <v>1995</v>
      </c>
      <c r="D363" s="6" t="s">
        <v>1985</v>
      </c>
      <c r="E363" s="6" t="s">
        <v>1996</v>
      </c>
      <c r="F363" s="7" t="s">
        <v>125</v>
      </c>
      <c r="G363" s="10"/>
      <c r="H363" s="7" t="s">
        <v>93</v>
      </c>
      <c r="I363" s="7"/>
      <c r="J363" s="10"/>
      <c r="K363" s="6" t="s">
        <v>90</v>
      </c>
      <c r="L363" s="7"/>
      <c r="M363" s="14"/>
      <c r="N363" s="7" t="s">
        <v>93</v>
      </c>
      <c r="O363" s="10"/>
      <c r="P363" s="7" t="s">
        <v>90</v>
      </c>
      <c r="Q363" s="15">
        <f>IF(P363="oui",MIN(Parametres!$B$4,MAX(Parametres!$B$3,IF(M363="",Parametres!$B$3,ROUND(M363*10%,0)))),"")</f>
        <v>0</v>
      </c>
      <c r="R363" s="7" t="s">
        <v>134</v>
      </c>
      <c r="S363" s="7" t="s">
        <v>90</v>
      </c>
      <c r="T363" s="15">
        <f>IF(S363="oui",Parametres!$B$5,"")</f>
        <v>500</v>
      </c>
      <c r="U363" s="7" t="s">
        <v>134</v>
      </c>
      <c r="V363" s="15">
        <f t="shared" si="20"/>
        <v>500</v>
      </c>
      <c r="W363" s="15" t="str">
        <f t="shared" si="21"/>
        <v/>
      </c>
      <c r="X363" s="6" t="s">
        <v>90</v>
      </c>
      <c r="Y363" s="7" t="s">
        <v>133</v>
      </c>
      <c r="Z363" s="10"/>
      <c r="AA363" s="6" t="s">
        <v>93</v>
      </c>
      <c r="AB363" s="7" t="s">
        <v>160</v>
      </c>
      <c r="AC363" s="10"/>
      <c r="AD363" s="9" t="str">
        <f t="shared" si="22"/>
        <v>oui</v>
      </c>
      <c r="AE363" s="9" t="str">
        <f t="shared" si="23"/>
        <v>TAE manquant</v>
      </c>
      <c r="AF363" s="7"/>
      <c r="AG363" s="10"/>
      <c r="AH363" s="10"/>
      <c r="AI363" s="7" t="s">
        <v>160</v>
      </c>
      <c r="AJ363" s="10"/>
      <c r="AK363" s="10"/>
      <c r="AL363" s="10"/>
      <c r="AM363" s="11" t="s">
        <v>131</v>
      </c>
      <c r="AN363" s="11" t="s">
        <v>131</v>
      </c>
      <c r="AO363" s="11" t="s">
        <v>131</v>
      </c>
      <c r="AP363" s="11" t="s">
        <v>131</v>
      </c>
      <c r="AQ363" s="11"/>
      <c r="AR363" s="7"/>
    </row>
    <row r="364" spans="1:44" ht="14.4" x14ac:dyDescent="0.3">
      <c r="A364" s="6" t="s">
        <v>202</v>
      </c>
      <c r="B364" s="6" t="s">
        <v>1983</v>
      </c>
      <c r="C364" s="6" t="s">
        <v>1999</v>
      </c>
      <c r="D364" s="6" t="s">
        <v>1985</v>
      </c>
      <c r="E364" s="6" t="s">
        <v>2000</v>
      </c>
      <c r="F364" s="7" t="s">
        <v>125</v>
      </c>
      <c r="G364" s="10"/>
      <c r="H364" s="7" t="s">
        <v>93</v>
      </c>
      <c r="I364" s="7"/>
      <c r="J364" s="10"/>
      <c r="K364" s="6" t="s">
        <v>90</v>
      </c>
      <c r="L364" s="7"/>
      <c r="M364" s="14"/>
      <c r="N364" s="7" t="s">
        <v>93</v>
      </c>
      <c r="O364" s="10"/>
      <c r="P364" s="7" t="s">
        <v>90</v>
      </c>
      <c r="Q364" s="15">
        <f>IF(P364="oui",MIN(Parametres!$B$4,MAX(Parametres!$B$3,IF(M364="",Parametres!$B$3,ROUND(M364*10%,0)))),"")</f>
        <v>0</v>
      </c>
      <c r="R364" s="7" t="s">
        <v>134</v>
      </c>
      <c r="S364" s="7" t="s">
        <v>90</v>
      </c>
      <c r="T364" s="15">
        <f>IF(S364="oui",Parametres!$B$5,"")</f>
        <v>500</v>
      </c>
      <c r="U364" s="7" t="s">
        <v>134</v>
      </c>
      <c r="V364" s="15">
        <f t="shared" si="20"/>
        <v>500</v>
      </c>
      <c r="W364" s="15" t="str">
        <f t="shared" si="21"/>
        <v/>
      </c>
      <c r="X364" s="6" t="s">
        <v>90</v>
      </c>
      <c r="Y364" s="7" t="s">
        <v>133</v>
      </c>
      <c r="Z364" s="10"/>
      <c r="AA364" s="6" t="s">
        <v>93</v>
      </c>
      <c r="AB364" s="7" t="s">
        <v>160</v>
      </c>
      <c r="AC364" s="10"/>
      <c r="AD364" s="9" t="str">
        <f t="shared" si="22"/>
        <v>oui</v>
      </c>
      <c r="AE364" s="9" t="str">
        <f t="shared" si="23"/>
        <v>TAE manquant</v>
      </c>
      <c r="AF364" s="7"/>
      <c r="AG364" s="10"/>
      <c r="AH364" s="10"/>
      <c r="AI364" s="7" t="s">
        <v>160</v>
      </c>
      <c r="AJ364" s="10"/>
      <c r="AK364" s="10"/>
      <c r="AL364" s="10"/>
      <c r="AM364" s="11" t="s">
        <v>131</v>
      </c>
      <c r="AN364" s="11" t="s">
        <v>131</v>
      </c>
      <c r="AO364" s="11" t="s">
        <v>131</v>
      </c>
      <c r="AP364" s="11" t="s">
        <v>131</v>
      </c>
      <c r="AQ364" s="11"/>
      <c r="AR364" s="7"/>
    </row>
    <row r="365" spans="1:44" ht="14.4" x14ac:dyDescent="0.3">
      <c r="A365" s="6" t="s">
        <v>202</v>
      </c>
      <c r="B365" s="6" t="s">
        <v>1983</v>
      </c>
      <c r="C365" s="6" t="s">
        <v>2003</v>
      </c>
      <c r="D365" s="6" t="s">
        <v>1985</v>
      </c>
      <c r="E365" s="6" t="s">
        <v>2004</v>
      </c>
      <c r="F365" s="7" t="s">
        <v>125</v>
      </c>
      <c r="G365" s="10"/>
      <c r="H365" s="7" t="s">
        <v>93</v>
      </c>
      <c r="I365" s="7"/>
      <c r="J365" s="10"/>
      <c r="K365" s="6" t="s">
        <v>90</v>
      </c>
      <c r="L365" s="7"/>
      <c r="M365" s="14"/>
      <c r="N365" s="7" t="s">
        <v>93</v>
      </c>
      <c r="O365" s="10"/>
      <c r="P365" s="7" t="s">
        <v>90</v>
      </c>
      <c r="Q365" s="15">
        <f>IF(P365="oui",MIN(Parametres!$B$4,MAX(Parametres!$B$3,IF(M365="",Parametres!$B$3,ROUND(M365*10%,0)))),"")</f>
        <v>0</v>
      </c>
      <c r="R365" s="7" t="s">
        <v>134</v>
      </c>
      <c r="S365" s="7" t="s">
        <v>90</v>
      </c>
      <c r="T365" s="15">
        <f>IF(S365="oui",Parametres!$B$5,"")</f>
        <v>500</v>
      </c>
      <c r="U365" s="7" t="s">
        <v>134</v>
      </c>
      <c r="V365" s="15">
        <f t="shared" si="20"/>
        <v>500</v>
      </c>
      <c r="W365" s="15" t="str">
        <f t="shared" si="21"/>
        <v/>
      </c>
      <c r="X365" s="6" t="s">
        <v>90</v>
      </c>
      <c r="Y365" s="7" t="s">
        <v>133</v>
      </c>
      <c r="Z365" s="10"/>
      <c r="AA365" s="6" t="s">
        <v>93</v>
      </c>
      <c r="AB365" s="7" t="s">
        <v>160</v>
      </c>
      <c r="AC365" s="10"/>
      <c r="AD365" s="9" t="str">
        <f t="shared" si="22"/>
        <v>oui</v>
      </c>
      <c r="AE365" s="9" t="str">
        <f t="shared" si="23"/>
        <v>TAE manquant</v>
      </c>
      <c r="AF365" s="7"/>
      <c r="AG365" s="10"/>
      <c r="AH365" s="10"/>
      <c r="AI365" s="7" t="s">
        <v>160</v>
      </c>
      <c r="AJ365" s="10"/>
      <c r="AK365" s="10"/>
      <c r="AL365" s="10"/>
      <c r="AM365" s="11" t="s">
        <v>131</v>
      </c>
      <c r="AN365" s="11" t="s">
        <v>131</v>
      </c>
      <c r="AO365" s="11" t="s">
        <v>131</v>
      </c>
      <c r="AP365" s="11" t="s">
        <v>131</v>
      </c>
      <c r="AQ365" s="11"/>
      <c r="AR365" s="7"/>
    </row>
    <row r="366" spans="1:44" ht="14.4" x14ac:dyDescent="0.3">
      <c r="A366" s="6" t="s">
        <v>202</v>
      </c>
      <c r="B366" s="6" t="s">
        <v>1983</v>
      </c>
      <c r="C366" s="6" t="s">
        <v>2007</v>
      </c>
      <c r="D366" s="6" t="s">
        <v>1985</v>
      </c>
      <c r="E366" s="6" t="s">
        <v>2008</v>
      </c>
      <c r="F366" s="7" t="s">
        <v>125</v>
      </c>
      <c r="G366" s="10"/>
      <c r="H366" s="7" t="s">
        <v>93</v>
      </c>
      <c r="I366" s="7"/>
      <c r="J366" s="10"/>
      <c r="K366" s="6" t="s">
        <v>90</v>
      </c>
      <c r="L366" s="7"/>
      <c r="M366" s="14"/>
      <c r="N366" s="7" t="s">
        <v>93</v>
      </c>
      <c r="O366" s="10"/>
      <c r="P366" s="7" t="s">
        <v>90</v>
      </c>
      <c r="Q366" s="15">
        <f>IF(P366="oui",MIN(Parametres!$B$4,MAX(Parametres!$B$3,IF(M366="",Parametres!$B$3,ROUND(M366*10%,0)))),"")</f>
        <v>0</v>
      </c>
      <c r="R366" s="7" t="s">
        <v>134</v>
      </c>
      <c r="S366" s="7" t="s">
        <v>90</v>
      </c>
      <c r="T366" s="15">
        <f>IF(S366="oui",Parametres!$B$5,"")</f>
        <v>500</v>
      </c>
      <c r="U366" s="7" t="s">
        <v>134</v>
      </c>
      <c r="V366" s="15">
        <f t="shared" si="20"/>
        <v>500</v>
      </c>
      <c r="W366" s="15" t="str">
        <f t="shared" si="21"/>
        <v/>
      </c>
      <c r="X366" s="6" t="s">
        <v>90</v>
      </c>
      <c r="Y366" s="7" t="s">
        <v>133</v>
      </c>
      <c r="Z366" s="10"/>
      <c r="AA366" s="6" t="s">
        <v>93</v>
      </c>
      <c r="AB366" s="7" t="s">
        <v>160</v>
      </c>
      <c r="AC366" s="10"/>
      <c r="AD366" s="9" t="str">
        <f t="shared" si="22"/>
        <v>oui</v>
      </c>
      <c r="AE366" s="9" t="str">
        <f t="shared" si="23"/>
        <v>TAE manquant</v>
      </c>
      <c r="AF366" s="7"/>
      <c r="AG366" s="10"/>
      <c r="AH366" s="10"/>
      <c r="AI366" s="7" t="s">
        <v>160</v>
      </c>
      <c r="AJ366" s="10"/>
      <c r="AK366" s="10"/>
      <c r="AL366" s="10"/>
      <c r="AM366" s="11" t="s">
        <v>131</v>
      </c>
      <c r="AN366" s="11" t="s">
        <v>131</v>
      </c>
      <c r="AO366" s="11" t="s">
        <v>131</v>
      </c>
      <c r="AP366" s="11" t="s">
        <v>131</v>
      </c>
      <c r="AQ366" s="11"/>
      <c r="AR366" s="7"/>
    </row>
    <row r="367" spans="1:44" ht="14.4" x14ac:dyDescent="0.3">
      <c r="A367" s="6" t="s">
        <v>202</v>
      </c>
      <c r="B367" s="6" t="s">
        <v>1983</v>
      </c>
      <c r="C367" s="6" t="s">
        <v>2011</v>
      </c>
      <c r="D367" s="6" t="s">
        <v>1985</v>
      </c>
      <c r="E367" s="6" t="s">
        <v>2012</v>
      </c>
      <c r="F367" s="7" t="s">
        <v>125</v>
      </c>
      <c r="G367" s="10"/>
      <c r="H367" s="7" t="s">
        <v>93</v>
      </c>
      <c r="I367" s="7"/>
      <c r="J367" s="10"/>
      <c r="K367" s="6" t="s">
        <v>90</v>
      </c>
      <c r="L367" s="7"/>
      <c r="M367" s="14"/>
      <c r="N367" s="7" t="s">
        <v>93</v>
      </c>
      <c r="O367" s="10"/>
      <c r="P367" s="7" t="s">
        <v>90</v>
      </c>
      <c r="Q367" s="15">
        <f>IF(P367="oui",MIN(Parametres!$B$4,MAX(Parametres!$B$3,IF(M367="",Parametres!$B$3,ROUND(M367*10%,0)))),"")</f>
        <v>0</v>
      </c>
      <c r="R367" s="7" t="s">
        <v>134</v>
      </c>
      <c r="S367" s="7" t="s">
        <v>90</v>
      </c>
      <c r="T367" s="15">
        <f>IF(S367="oui",Parametres!$B$5,"")</f>
        <v>500</v>
      </c>
      <c r="U367" s="7" t="s">
        <v>134</v>
      </c>
      <c r="V367" s="15">
        <f t="shared" si="20"/>
        <v>500</v>
      </c>
      <c r="W367" s="15" t="str">
        <f t="shared" si="21"/>
        <v/>
      </c>
      <c r="X367" s="6" t="s">
        <v>90</v>
      </c>
      <c r="Y367" s="7" t="s">
        <v>133</v>
      </c>
      <c r="Z367" s="10"/>
      <c r="AA367" s="6" t="s">
        <v>93</v>
      </c>
      <c r="AB367" s="7" t="s">
        <v>160</v>
      </c>
      <c r="AC367" s="10"/>
      <c r="AD367" s="9" t="str">
        <f t="shared" si="22"/>
        <v>oui</v>
      </c>
      <c r="AE367" s="9" t="str">
        <f t="shared" si="23"/>
        <v>TAE manquant</v>
      </c>
      <c r="AF367" s="7"/>
      <c r="AG367" s="10"/>
      <c r="AH367" s="10"/>
      <c r="AI367" s="7" t="s">
        <v>160</v>
      </c>
      <c r="AJ367" s="10"/>
      <c r="AK367" s="10"/>
      <c r="AL367" s="10"/>
      <c r="AM367" s="11" t="s">
        <v>131</v>
      </c>
      <c r="AN367" s="11" t="s">
        <v>131</v>
      </c>
      <c r="AO367" s="11" t="s">
        <v>131</v>
      </c>
      <c r="AP367" s="11" t="s">
        <v>131</v>
      </c>
      <c r="AQ367" s="11"/>
      <c r="AR367" s="7"/>
    </row>
    <row r="368" spans="1:44" ht="14.4" x14ac:dyDescent="0.3">
      <c r="A368" s="6" t="s">
        <v>202</v>
      </c>
      <c r="B368" s="6" t="s">
        <v>1983</v>
      </c>
      <c r="C368" s="6" t="s">
        <v>2016</v>
      </c>
      <c r="D368" s="6" t="s">
        <v>1985</v>
      </c>
      <c r="E368" s="6" t="s">
        <v>2017</v>
      </c>
      <c r="F368" s="7" t="s">
        <v>125</v>
      </c>
      <c r="G368" s="10"/>
      <c r="H368" s="7" t="s">
        <v>93</v>
      </c>
      <c r="I368" s="7"/>
      <c r="J368" s="10"/>
      <c r="K368" s="6" t="s">
        <v>90</v>
      </c>
      <c r="L368" s="7"/>
      <c r="M368" s="14"/>
      <c r="N368" s="7" t="s">
        <v>93</v>
      </c>
      <c r="O368" s="10"/>
      <c r="P368" s="7" t="s">
        <v>90</v>
      </c>
      <c r="Q368" s="15">
        <f>IF(P368="oui",MIN(Parametres!$B$4,MAX(Parametres!$B$3,IF(M368="",Parametres!$B$3,ROUND(M368*10%,0)))),"")</f>
        <v>0</v>
      </c>
      <c r="R368" s="7" t="s">
        <v>134</v>
      </c>
      <c r="S368" s="7" t="s">
        <v>90</v>
      </c>
      <c r="T368" s="15">
        <f>IF(S368="oui",Parametres!$B$5,"")</f>
        <v>500</v>
      </c>
      <c r="U368" s="7" t="s">
        <v>134</v>
      </c>
      <c r="V368" s="15">
        <f t="shared" si="20"/>
        <v>500</v>
      </c>
      <c r="W368" s="15" t="str">
        <f t="shared" si="21"/>
        <v/>
      </c>
      <c r="X368" s="6" t="s">
        <v>90</v>
      </c>
      <c r="Y368" s="7" t="s">
        <v>133</v>
      </c>
      <c r="Z368" s="10"/>
      <c r="AA368" s="6" t="s">
        <v>93</v>
      </c>
      <c r="AB368" s="7" t="s">
        <v>160</v>
      </c>
      <c r="AC368" s="10"/>
      <c r="AD368" s="9" t="str">
        <f t="shared" si="22"/>
        <v>oui</v>
      </c>
      <c r="AE368" s="9" t="str">
        <f t="shared" si="23"/>
        <v>TAE manquant</v>
      </c>
      <c r="AF368" s="7"/>
      <c r="AG368" s="10"/>
      <c r="AH368" s="10"/>
      <c r="AI368" s="7" t="s">
        <v>160</v>
      </c>
      <c r="AJ368" s="10"/>
      <c r="AK368" s="10"/>
      <c r="AL368" s="10"/>
      <c r="AM368" s="11" t="s">
        <v>131</v>
      </c>
      <c r="AN368" s="11" t="s">
        <v>131</v>
      </c>
      <c r="AO368" s="11" t="s">
        <v>131</v>
      </c>
      <c r="AP368" s="11" t="s">
        <v>131</v>
      </c>
      <c r="AQ368" s="11"/>
      <c r="AR368" s="7"/>
    </row>
    <row r="369" spans="1:44" ht="14.4" x14ac:dyDescent="0.3">
      <c r="A369" s="6" t="s">
        <v>202</v>
      </c>
      <c r="B369" s="6" t="s">
        <v>1983</v>
      </c>
      <c r="C369" s="6" t="s">
        <v>2021</v>
      </c>
      <c r="D369" s="6" t="s">
        <v>1985</v>
      </c>
      <c r="E369" s="6" t="s">
        <v>2022</v>
      </c>
      <c r="F369" s="7" t="s">
        <v>125</v>
      </c>
      <c r="G369" s="10"/>
      <c r="H369" s="7" t="s">
        <v>93</v>
      </c>
      <c r="I369" s="7"/>
      <c r="J369" s="10"/>
      <c r="K369" s="6" t="s">
        <v>90</v>
      </c>
      <c r="L369" s="7"/>
      <c r="M369" s="14"/>
      <c r="N369" s="7" t="s">
        <v>93</v>
      </c>
      <c r="O369" s="10"/>
      <c r="P369" s="7" t="s">
        <v>90</v>
      </c>
      <c r="Q369" s="15">
        <f>IF(P369="oui",MIN(Parametres!$B$4,MAX(Parametres!$B$3,IF(M369="",Parametres!$B$3,ROUND(M369*10%,0)))),"")</f>
        <v>0</v>
      </c>
      <c r="R369" s="7" t="s">
        <v>134</v>
      </c>
      <c r="S369" s="7" t="s">
        <v>90</v>
      </c>
      <c r="T369" s="15">
        <f>IF(S369="oui",Parametres!$B$5,"")</f>
        <v>500</v>
      </c>
      <c r="U369" s="7" t="s">
        <v>134</v>
      </c>
      <c r="V369" s="15">
        <f t="shared" si="20"/>
        <v>500</v>
      </c>
      <c r="W369" s="15" t="str">
        <f t="shared" si="21"/>
        <v/>
      </c>
      <c r="X369" s="6" t="s">
        <v>90</v>
      </c>
      <c r="Y369" s="7" t="s">
        <v>133</v>
      </c>
      <c r="Z369" s="10"/>
      <c r="AA369" s="6" t="s">
        <v>93</v>
      </c>
      <c r="AB369" s="7" t="s">
        <v>160</v>
      </c>
      <c r="AC369" s="10"/>
      <c r="AD369" s="9" t="str">
        <f t="shared" si="22"/>
        <v>oui</v>
      </c>
      <c r="AE369" s="9" t="str">
        <f t="shared" si="23"/>
        <v>TAE manquant</v>
      </c>
      <c r="AF369" s="7"/>
      <c r="AG369" s="10"/>
      <c r="AH369" s="10"/>
      <c r="AI369" s="7" t="s">
        <v>160</v>
      </c>
      <c r="AJ369" s="10"/>
      <c r="AK369" s="10"/>
      <c r="AL369" s="10"/>
      <c r="AM369" s="11" t="s">
        <v>131</v>
      </c>
      <c r="AN369" s="11" t="s">
        <v>131</v>
      </c>
      <c r="AO369" s="11" t="s">
        <v>131</v>
      </c>
      <c r="AP369" s="11" t="s">
        <v>131</v>
      </c>
      <c r="AQ369" s="11"/>
      <c r="AR369" s="7"/>
    </row>
    <row r="370" spans="1:44" ht="14.4" x14ac:dyDescent="0.3">
      <c r="A370" s="6" t="s">
        <v>202</v>
      </c>
      <c r="B370" s="6" t="s">
        <v>1983</v>
      </c>
      <c r="C370" s="6" t="s">
        <v>2026</v>
      </c>
      <c r="D370" s="6" t="s">
        <v>1985</v>
      </c>
      <c r="E370" s="6" t="s">
        <v>2027</v>
      </c>
      <c r="F370" s="7" t="s">
        <v>125</v>
      </c>
      <c r="G370" s="10"/>
      <c r="H370" s="7" t="s">
        <v>93</v>
      </c>
      <c r="I370" s="7"/>
      <c r="J370" s="10"/>
      <c r="K370" s="6" t="s">
        <v>90</v>
      </c>
      <c r="L370" s="7"/>
      <c r="M370" s="14"/>
      <c r="N370" s="7" t="s">
        <v>93</v>
      </c>
      <c r="O370" s="10"/>
      <c r="P370" s="7" t="s">
        <v>90</v>
      </c>
      <c r="Q370" s="15">
        <f>IF(P370="oui",MIN(Parametres!$B$4,MAX(Parametres!$B$3,IF(M370="",Parametres!$B$3,ROUND(M370*10%,0)))),"")</f>
        <v>0</v>
      </c>
      <c r="R370" s="7" t="s">
        <v>134</v>
      </c>
      <c r="S370" s="7" t="s">
        <v>90</v>
      </c>
      <c r="T370" s="15">
        <f>IF(S370="oui",Parametres!$B$5,"")</f>
        <v>500</v>
      </c>
      <c r="U370" s="7" t="s">
        <v>134</v>
      </c>
      <c r="V370" s="15">
        <f t="shared" si="20"/>
        <v>500</v>
      </c>
      <c r="W370" s="15" t="str">
        <f t="shared" si="21"/>
        <v/>
      </c>
      <c r="X370" s="6" t="s">
        <v>90</v>
      </c>
      <c r="Y370" s="7" t="s">
        <v>133</v>
      </c>
      <c r="Z370" s="10"/>
      <c r="AA370" s="6" t="s">
        <v>93</v>
      </c>
      <c r="AB370" s="7" t="s">
        <v>160</v>
      </c>
      <c r="AC370" s="10"/>
      <c r="AD370" s="9" t="str">
        <f t="shared" si="22"/>
        <v>oui</v>
      </c>
      <c r="AE370" s="9" t="str">
        <f t="shared" si="23"/>
        <v>TAE manquant</v>
      </c>
      <c r="AF370" s="7"/>
      <c r="AG370" s="10"/>
      <c r="AH370" s="10"/>
      <c r="AI370" s="7" t="s">
        <v>160</v>
      </c>
      <c r="AJ370" s="10"/>
      <c r="AK370" s="10"/>
      <c r="AL370" s="10"/>
      <c r="AM370" s="11" t="s">
        <v>131</v>
      </c>
      <c r="AN370" s="11" t="s">
        <v>131</v>
      </c>
      <c r="AO370" s="11" t="s">
        <v>131</v>
      </c>
      <c r="AP370" s="11" t="s">
        <v>131</v>
      </c>
      <c r="AQ370" s="11"/>
      <c r="AR370" s="7"/>
    </row>
    <row r="371" spans="1:44" ht="14.4" x14ac:dyDescent="0.3">
      <c r="A371" s="6" t="s">
        <v>202</v>
      </c>
      <c r="B371" s="6" t="s">
        <v>1983</v>
      </c>
      <c r="C371" s="6" t="s">
        <v>2030</v>
      </c>
      <c r="D371" s="6" t="s">
        <v>1985</v>
      </c>
      <c r="E371" s="6" t="s">
        <v>2031</v>
      </c>
      <c r="F371" s="7" t="s">
        <v>125</v>
      </c>
      <c r="G371" s="10"/>
      <c r="H371" s="7" t="s">
        <v>93</v>
      </c>
      <c r="I371" s="7"/>
      <c r="J371" s="10"/>
      <c r="K371" s="6" t="s">
        <v>90</v>
      </c>
      <c r="L371" s="7"/>
      <c r="M371" s="14"/>
      <c r="N371" s="7" t="s">
        <v>93</v>
      </c>
      <c r="O371" s="10"/>
      <c r="P371" s="7" t="s">
        <v>90</v>
      </c>
      <c r="Q371" s="15">
        <f>IF(P371="oui",MIN(Parametres!$B$4,MAX(Parametres!$B$3,IF(M371="",Parametres!$B$3,ROUND(M371*10%,0)))),"")</f>
        <v>0</v>
      </c>
      <c r="R371" s="7" t="s">
        <v>134</v>
      </c>
      <c r="S371" s="7" t="s">
        <v>90</v>
      </c>
      <c r="T371" s="15">
        <f>IF(S371="oui",Parametres!$B$5,"")</f>
        <v>500</v>
      </c>
      <c r="U371" s="7" t="s">
        <v>134</v>
      </c>
      <c r="V371" s="15">
        <f t="shared" si="20"/>
        <v>500</v>
      </c>
      <c r="W371" s="15" t="str">
        <f t="shared" si="21"/>
        <v/>
      </c>
      <c r="X371" s="6" t="s">
        <v>90</v>
      </c>
      <c r="Y371" s="7" t="s">
        <v>133</v>
      </c>
      <c r="Z371" s="10"/>
      <c r="AA371" s="6" t="s">
        <v>93</v>
      </c>
      <c r="AB371" s="7" t="s">
        <v>160</v>
      </c>
      <c r="AC371" s="10"/>
      <c r="AD371" s="9" t="str">
        <f t="shared" si="22"/>
        <v>oui</v>
      </c>
      <c r="AE371" s="9" t="str">
        <f t="shared" si="23"/>
        <v>TAE manquant</v>
      </c>
      <c r="AF371" s="7"/>
      <c r="AG371" s="10"/>
      <c r="AH371" s="10"/>
      <c r="AI371" s="7" t="s">
        <v>160</v>
      </c>
      <c r="AJ371" s="10"/>
      <c r="AK371" s="10"/>
      <c r="AL371" s="10"/>
      <c r="AM371" s="11" t="s">
        <v>131</v>
      </c>
      <c r="AN371" s="11" t="s">
        <v>131</v>
      </c>
      <c r="AO371" s="11" t="s">
        <v>131</v>
      </c>
      <c r="AP371" s="11" t="s">
        <v>131</v>
      </c>
      <c r="AQ371" s="11"/>
      <c r="AR371" s="7"/>
    </row>
    <row r="372" spans="1:44" ht="14.4" x14ac:dyDescent="0.3">
      <c r="A372" s="6" t="s">
        <v>202</v>
      </c>
      <c r="B372" s="6" t="s">
        <v>1983</v>
      </c>
      <c r="C372" s="6" t="s">
        <v>2034</v>
      </c>
      <c r="D372" s="6" t="s">
        <v>1985</v>
      </c>
      <c r="E372" s="6" t="s">
        <v>2035</v>
      </c>
      <c r="F372" s="7" t="s">
        <v>125</v>
      </c>
      <c r="G372" s="10"/>
      <c r="H372" s="7" t="s">
        <v>93</v>
      </c>
      <c r="I372" s="7"/>
      <c r="J372" s="10"/>
      <c r="K372" s="6" t="s">
        <v>90</v>
      </c>
      <c r="L372" s="7"/>
      <c r="M372" s="14"/>
      <c r="N372" s="7" t="s">
        <v>93</v>
      </c>
      <c r="O372" s="10"/>
      <c r="P372" s="7" t="s">
        <v>90</v>
      </c>
      <c r="Q372" s="15">
        <f>IF(P372="oui",MIN(Parametres!$B$4,MAX(Parametres!$B$3,IF(M372="",Parametres!$B$3,ROUND(M372*10%,0)))),"")</f>
        <v>0</v>
      </c>
      <c r="R372" s="7" t="s">
        <v>134</v>
      </c>
      <c r="S372" s="7" t="s">
        <v>90</v>
      </c>
      <c r="T372" s="15">
        <f>IF(S372="oui",Parametres!$B$5,"")</f>
        <v>500</v>
      </c>
      <c r="U372" s="7" t="s">
        <v>134</v>
      </c>
      <c r="V372" s="15">
        <f t="shared" si="20"/>
        <v>500</v>
      </c>
      <c r="W372" s="15" t="str">
        <f t="shared" si="21"/>
        <v/>
      </c>
      <c r="X372" s="6" t="s">
        <v>90</v>
      </c>
      <c r="Y372" s="7" t="s">
        <v>133</v>
      </c>
      <c r="Z372" s="10"/>
      <c r="AA372" s="6" t="s">
        <v>93</v>
      </c>
      <c r="AB372" s="7" t="s">
        <v>160</v>
      </c>
      <c r="AC372" s="10"/>
      <c r="AD372" s="9" t="str">
        <f t="shared" si="22"/>
        <v>oui</v>
      </c>
      <c r="AE372" s="9" t="str">
        <f t="shared" si="23"/>
        <v>TAE manquant</v>
      </c>
      <c r="AF372" s="7"/>
      <c r="AG372" s="10"/>
      <c r="AH372" s="10"/>
      <c r="AI372" s="7" t="s">
        <v>160</v>
      </c>
      <c r="AJ372" s="10"/>
      <c r="AK372" s="10"/>
      <c r="AL372" s="10"/>
      <c r="AM372" s="11" t="s">
        <v>131</v>
      </c>
      <c r="AN372" s="11" t="s">
        <v>131</v>
      </c>
      <c r="AO372" s="11" t="s">
        <v>131</v>
      </c>
      <c r="AP372" s="11" t="s">
        <v>131</v>
      </c>
      <c r="AQ372" s="11"/>
      <c r="AR372" s="7"/>
    </row>
    <row r="373" spans="1:44" ht="14.4" x14ac:dyDescent="0.3">
      <c r="A373" s="6" t="s">
        <v>202</v>
      </c>
      <c r="B373" s="6" t="s">
        <v>1983</v>
      </c>
      <c r="C373" s="6" t="s">
        <v>2040</v>
      </c>
      <c r="D373" s="6" t="s">
        <v>1985</v>
      </c>
      <c r="E373" s="6" t="s">
        <v>2041</v>
      </c>
      <c r="F373" s="7" t="s">
        <v>125</v>
      </c>
      <c r="G373" s="10"/>
      <c r="H373" s="7" t="s">
        <v>93</v>
      </c>
      <c r="I373" s="7"/>
      <c r="J373" s="10"/>
      <c r="K373" s="6" t="s">
        <v>90</v>
      </c>
      <c r="L373" s="7"/>
      <c r="M373" s="14"/>
      <c r="N373" s="7" t="s">
        <v>93</v>
      </c>
      <c r="O373" s="10"/>
      <c r="P373" s="7" t="s">
        <v>90</v>
      </c>
      <c r="Q373" s="15">
        <f>IF(P373="oui",MIN(Parametres!$B$4,MAX(Parametres!$B$3,IF(M373="",Parametres!$B$3,ROUND(M373*10%,0)))),"")</f>
        <v>0</v>
      </c>
      <c r="R373" s="7" t="s">
        <v>134</v>
      </c>
      <c r="S373" s="7" t="s">
        <v>90</v>
      </c>
      <c r="T373" s="15">
        <f>IF(S373="oui",Parametres!$B$5,"")</f>
        <v>500</v>
      </c>
      <c r="U373" s="7" t="s">
        <v>134</v>
      </c>
      <c r="V373" s="15">
        <f t="shared" si="20"/>
        <v>500</v>
      </c>
      <c r="W373" s="15" t="str">
        <f t="shared" si="21"/>
        <v/>
      </c>
      <c r="X373" s="6" t="s">
        <v>90</v>
      </c>
      <c r="Y373" s="7" t="s">
        <v>133</v>
      </c>
      <c r="Z373" s="10"/>
      <c r="AA373" s="6" t="s">
        <v>93</v>
      </c>
      <c r="AB373" s="7" t="s">
        <v>160</v>
      </c>
      <c r="AC373" s="10"/>
      <c r="AD373" s="9" t="str">
        <f t="shared" si="22"/>
        <v>oui</v>
      </c>
      <c r="AE373" s="9" t="str">
        <f t="shared" si="23"/>
        <v>TAE manquant</v>
      </c>
      <c r="AF373" s="7"/>
      <c r="AG373" s="10"/>
      <c r="AH373" s="10"/>
      <c r="AI373" s="7" t="s">
        <v>160</v>
      </c>
      <c r="AJ373" s="10"/>
      <c r="AK373" s="10"/>
      <c r="AL373" s="10"/>
      <c r="AM373" s="11" t="s">
        <v>131</v>
      </c>
      <c r="AN373" s="11" t="s">
        <v>131</v>
      </c>
      <c r="AO373" s="11" t="s">
        <v>131</v>
      </c>
      <c r="AP373" s="11" t="s">
        <v>131</v>
      </c>
      <c r="AQ373" s="11"/>
      <c r="AR373" s="7"/>
    </row>
    <row r="374" spans="1:44" ht="14.4" x14ac:dyDescent="0.3">
      <c r="A374" s="6" t="s">
        <v>262</v>
      </c>
      <c r="B374" s="6" t="s">
        <v>2046</v>
      </c>
      <c r="C374" s="6" t="s">
        <v>2047</v>
      </c>
      <c r="D374" s="6" t="s">
        <v>2048</v>
      </c>
      <c r="E374" s="6" t="s">
        <v>2049</v>
      </c>
      <c r="F374" s="7" t="s">
        <v>125</v>
      </c>
      <c r="G374" s="10"/>
      <c r="H374" s="7" t="s">
        <v>93</v>
      </c>
      <c r="I374" s="7"/>
      <c r="J374" s="10"/>
      <c r="K374" s="6" t="s">
        <v>90</v>
      </c>
      <c r="L374" s="7"/>
      <c r="M374" s="14"/>
      <c r="N374" s="7" t="s">
        <v>93</v>
      </c>
      <c r="O374" s="10"/>
      <c r="P374" s="7" t="s">
        <v>90</v>
      </c>
      <c r="Q374" s="15">
        <f>IF(P374="oui",MIN(Parametres!$B$4,MAX(Parametres!$B$3,IF(M374="",Parametres!$B$3,ROUND(M374*10%,0)))),"")</f>
        <v>0</v>
      </c>
      <c r="R374" s="7" t="s">
        <v>134</v>
      </c>
      <c r="S374" s="7" t="s">
        <v>90</v>
      </c>
      <c r="T374" s="15">
        <f>IF(S374="oui",Parametres!$B$5,"")</f>
        <v>500</v>
      </c>
      <c r="U374" s="7" t="s">
        <v>134</v>
      </c>
      <c r="V374" s="15">
        <f t="shared" si="20"/>
        <v>500</v>
      </c>
      <c r="W374" s="15" t="str">
        <f t="shared" si="21"/>
        <v/>
      </c>
      <c r="X374" s="6" t="s">
        <v>90</v>
      </c>
      <c r="Y374" s="7" t="s">
        <v>133</v>
      </c>
      <c r="Z374" s="10"/>
      <c r="AA374" s="6" t="s">
        <v>93</v>
      </c>
      <c r="AB374" s="7" t="s">
        <v>160</v>
      </c>
      <c r="AC374" s="10"/>
      <c r="AD374" s="9" t="str">
        <f t="shared" si="22"/>
        <v>oui</v>
      </c>
      <c r="AE374" s="9" t="str">
        <f t="shared" si="23"/>
        <v>TAE manquant</v>
      </c>
      <c r="AF374" s="7"/>
      <c r="AG374" s="10"/>
      <c r="AH374" s="10"/>
      <c r="AI374" s="7" t="s">
        <v>160</v>
      </c>
      <c r="AJ374" s="10"/>
      <c r="AK374" s="10"/>
      <c r="AL374" s="10"/>
      <c r="AM374" s="11" t="s">
        <v>131</v>
      </c>
      <c r="AN374" s="11" t="s">
        <v>131</v>
      </c>
      <c r="AO374" s="11" t="s">
        <v>131</v>
      </c>
      <c r="AP374" s="11" t="s">
        <v>131</v>
      </c>
      <c r="AQ374" s="11"/>
      <c r="AR374" s="7"/>
    </row>
    <row r="375" spans="1:44" ht="14.4" x14ac:dyDescent="0.3">
      <c r="A375" s="6" t="s">
        <v>262</v>
      </c>
      <c r="B375" s="6" t="s">
        <v>2046</v>
      </c>
      <c r="C375" s="6" t="s">
        <v>2052</v>
      </c>
      <c r="D375" s="6" t="s">
        <v>2048</v>
      </c>
      <c r="E375" s="6" t="s">
        <v>2053</v>
      </c>
      <c r="F375" s="7" t="s">
        <v>125</v>
      </c>
      <c r="G375" s="10"/>
      <c r="H375" s="7" t="s">
        <v>93</v>
      </c>
      <c r="I375" s="7"/>
      <c r="J375" s="10"/>
      <c r="K375" s="6" t="s">
        <v>90</v>
      </c>
      <c r="L375" s="7"/>
      <c r="M375" s="14"/>
      <c r="N375" s="7" t="s">
        <v>93</v>
      </c>
      <c r="O375" s="10"/>
      <c r="P375" s="7" t="s">
        <v>90</v>
      </c>
      <c r="Q375" s="15">
        <f>IF(P375="oui",MIN(Parametres!$B$4,MAX(Parametres!$B$3,IF(M375="",Parametres!$B$3,ROUND(M375*10%,0)))),"")</f>
        <v>0</v>
      </c>
      <c r="R375" s="7" t="s">
        <v>134</v>
      </c>
      <c r="S375" s="7" t="s">
        <v>90</v>
      </c>
      <c r="T375" s="15">
        <f>IF(S375="oui",Parametres!$B$5,"")</f>
        <v>500</v>
      </c>
      <c r="U375" s="7" t="s">
        <v>134</v>
      </c>
      <c r="V375" s="15">
        <f t="shared" si="20"/>
        <v>500</v>
      </c>
      <c r="W375" s="15" t="str">
        <f t="shared" si="21"/>
        <v/>
      </c>
      <c r="X375" s="6" t="s">
        <v>90</v>
      </c>
      <c r="Y375" s="7" t="s">
        <v>133</v>
      </c>
      <c r="Z375" s="10"/>
      <c r="AA375" s="6" t="s">
        <v>93</v>
      </c>
      <c r="AB375" s="7" t="s">
        <v>160</v>
      </c>
      <c r="AC375" s="10"/>
      <c r="AD375" s="9" t="str">
        <f t="shared" si="22"/>
        <v>oui</v>
      </c>
      <c r="AE375" s="9" t="str">
        <f t="shared" si="23"/>
        <v>TAE manquant</v>
      </c>
      <c r="AF375" s="7"/>
      <c r="AG375" s="10"/>
      <c r="AH375" s="10"/>
      <c r="AI375" s="7" t="s">
        <v>160</v>
      </c>
      <c r="AJ375" s="10"/>
      <c r="AK375" s="10"/>
      <c r="AL375" s="10"/>
      <c r="AM375" s="11" t="s">
        <v>131</v>
      </c>
      <c r="AN375" s="11" t="s">
        <v>131</v>
      </c>
      <c r="AO375" s="11" t="s">
        <v>131</v>
      </c>
      <c r="AP375" s="11" t="s">
        <v>131</v>
      </c>
      <c r="AQ375" s="11"/>
      <c r="AR375" s="7"/>
    </row>
    <row r="376" spans="1:44" ht="14.4" x14ac:dyDescent="0.3">
      <c r="A376" s="6" t="s">
        <v>262</v>
      </c>
      <c r="B376" s="6" t="s">
        <v>2046</v>
      </c>
      <c r="C376" s="6" t="s">
        <v>2056</v>
      </c>
      <c r="D376" s="6" t="s">
        <v>2048</v>
      </c>
      <c r="E376" s="6" t="s">
        <v>2057</v>
      </c>
      <c r="F376" s="7" t="s">
        <v>125</v>
      </c>
      <c r="G376" s="10"/>
      <c r="H376" s="7" t="s">
        <v>93</v>
      </c>
      <c r="I376" s="7"/>
      <c r="J376" s="10"/>
      <c r="K376" s="6" t="s">
        <v>90</v>
      </c>
      <c r="L376" s="7"/>
      <c r="M376" s="14"/>
      <c r="N376" s="7" t="s">
        <v>93</v>
      </c>
      <c r="O376" s="10"/>
      <c r="P376" s="7" t="s">
        <v>90</v>
      </c>
      <c r="Q376" s="15">
        <f>IF(P376="oui",MIN(Parametres!$B$4,MAX(Parametres!$B$3,IF(M376="",Parametres!$B$3,ROUND(M376*10%,0)))),"")</f>
        <v>0</v>
      </c>
      <c r="R376" s="7" t="s">
        <v>134</v>
      </c>
      <c r="S376" s="7" t="s">
        <v>90</v>
      </c>
      <c r="T376" s="15">
        <f>IF(S376="oui",Parametres!$B$5,"")</f>
        <v>500</v>
      </c>
      <c r="U376" s="7" t="s">
        <v>134</v>
      </c>
      <c r="V376" s="15">
        <f t="shared" si="20"/>
        <v>500</v>
      </c>
      <c r="W376" s="15" t="str">
        <f t="shared" si="21"/>
        <v/>
      </c>
      <c r="X376" s="6" t="s">
        <v>90</v>
      </c>
      <c r="Y376" s="7" t="s">
        <v>133</v>
      </c>
      <c r="Z376" s="10"/>
      <c r="AA376" s="6" t="s">
        <v>93</v>
      </c>
      <c r="AB376" s="7" t="s">
        <v>160</v>
      </c>
      <c r="AC376" s="10"/>
      <c r="AD376" s="9" t="str">
        <f t="shared" si="22"/>
        <v>oui</v>
      </c>
      <c r="AE376" s="9" t="str">
        <f t="shared" si="23"/>
        <v>TAE manquant</v>
      </c>
      <c r="AF376" s="7"/>
      <c r="AG376" s="10"/>
      <c r="AH376" s="10"/>
      <c r="AI376" s="7" t="s">
        <v>160</v>
      </c>
      <c r="AJ376" s="10"/>
      <c r="AK376" s="10"/>
      <c r="AL376" s="10"/>
      <c r="AM376" s="11" t="s">
        <v>131</v>
      </c>
      <c r="AN376" s="11" t="s">
        <v>131</v>
      </c>
      <c r="AO376" s="11" t="s">
        <v>131</v>
      </c>
      <c r="AP376" s="11" t="s">
        <v>131</v>
      </c>
      <c r="AQ376" s="11"/>
      <c r="AR376" s="7"/>
    </row>
    <row r="377" spans="1:44" ht="14.4" x14ac:dyDescent="0.3">
      <c r="A377" s="6" t="s">
        <v>262</v>
      </c>
      <c r="B377" s="6" t="s">
        <v>2046</v>
      </c>
      <c r="C377" s="6" t="s">
        <v>2061</v>
      </c>
      <c r="D377" s="6" t="s">
        <v>2048</v>
      </c>
      <c r="E377" s="6" t="s">
        <v>2062</v>
      </c>
      <c r="F377" s="7" t="s">
        <v>125</v>
      </c>
      <c r="G377" s="10"/>
      <c r="H377" s="7" t="s">
        <v>93</v>
      </c>
      <c r="I377" s="7"/>
      <c r="J377" s="10"/>
      <c r="K377" s="6" t="s">
        <v>90</v>
      </c>
      <c r="L377" s="7"/>
      <c r="M377" s="14"/>
      <c r="N377" s="7" t="s">
        <v>93</v>
      </c>
      <c r="O377" s="10"/>
      <c r="P377" s="7" t="s">
        <v>90</v>
      </c>
      <c r="Q377" s="15">
        <f>IF(P377="oui",MIN(Parametres!$B$4,MAX(Parametres!$B$3,IF(M377="",Parametres!$B$3,ROUND(M377*10%,0)))),"")</f>
        <v>0</v>
      </c>
      <c r="R377" s="7" t="s">
        <v>134</v>
      </c>
      <c r="S377" s="7" t="s">
        <v>90</v>
      </c>
      <c r="T377" s="15">
        <f>IF(S377="oui",Parametres!$B$5,"")</f>
        <v>500</v>
      </c>
      <c r="U377" s="7" t="s">
        <v>134</v>
      </c>
      <c r="V377" s="15">
        <f t="shared" si="20"/>
        <v>500</v>
      </c>
      <c r="W377" s="15" t="str">
        <f t="shared" si="21"/>
        <v/>
      </c>
      <c r="X377" s="6" t="s">
        <v>90</v>
      </c>
      <c r="Y377" s="7" t="s">
        <v>133</v>
      </c>
      <c r="Z377" s="10"/>
      <c r="AA377" s="6" t="s">
        <v>93</v>
      </c>
      <c r="AB377" s="7" t="s">
        <v>160</v>
      </c>
      <c r="AC377" s="10"/>
      <c r="AD377" s="9" t="str">
        <f t="shared" si="22"/>
        <v>oui</v>
      </c>
      <c r="AE377" s="9" t="str">
        <f t="shared" si="23"/>
        <v>TAE manquant</v>
      </c>
      <c r="AF377" s="7"/>
      <c r="AG377" s="10"/>
      <c r="AH377" s="10"/>
      <c r="AI377" s="7" t="s">
        <v>160</v>
      </c>
      <c r="AJ377" s="10"/>
      <c r="AK377" s="10"/>
      <c r="AL377" s="10"/>
      <c r="AM377" s="11" t="s">
        <v>131</v>
      </c>
      <c r="AN377" s="11" t="s">
        <v>131</v>
      </c>
      <c r="AO377" s="11" t="s">
        <v>131</v>
      </c>
      <c r="AP377" s="11" t="s">
        <v>131</v>
      </c>
      <c r="AQ377" s="11"/>
      <c r="AR377" s="7"/>
    </row>
    <row r="378" spans="1:44" ht="14.4" x14ac:dyDescent="0.3">
      <c r="A378" s="6" t="s">
        <v>262</v>
      </c>
      <c r="B378" s="6" t="s">
        <v>2046</v>
      </c>
      <c r="C378" s="6" t="s">
        <v>2066</v>
      </c>
      <c r="D378" s="6" t="s">
        <v>2048</v>
      </c>
      <c r="E378" s="6" t="s">
        <v>2067</v>
      </c>
      <c r="F378" s="7" t="s">
        <v>125</v>
      </c>
      <c r="G378" s="10"/>
      <c r="H378" s="7" t="s">
        <v>93</v>
      </c>
      <c r="I378" s="7"/>
      <c r="J378" s="10"/>
      <c r="K378" s="6" t="s">
        <v>90</v>
      </c>
      <c r="L378" s="7"/>
      <c r="M378" s="14"/>
      <c r="N378" s="7" t="s">
        <v>93</v>
      </c>
      <c r="O378" s="10"/>
      <c r="P378" s="7" t="s">
        <v>90</v>
      </c>
      <c r="Q378" s="15">
        <f>IF(P378="oui",MIN(Parametres!$B$4,MAX(Parametres!$B$3,IF(M378="",Parametres!$B$3,ROUND(M378*10%,0)))),"")</f>
        <v>0</v>
      </c>
      <c r="R378" s="7" t="s">
        <v>134</v>
      </c>
      <c r="S378" s="7" t="s">
        <v>90</v>
      </c>
      <c r="T378" s="15">
        <f>IF(S378="oui",Parametres!$B$5,"")</f>
        <v>500</v>
      </c>
      <c r="U378" s="7" t="s">
        <v>134</v>
      </c>
      <c r="V378" s="15">
        <f t="shared" si="20"/>
        <v>500</v>
      </c>
      <c r="W378" s="15" t="str">
        <f t="shared" si="21"/>
        <v/>
      </c>
      <c r="X378" s="6" t="s">
        <v>90</v>
      </c>
      <c r="Y378" s="7" t="s">
        <v>133</v>
      </c>
      <c r="Z378" s="10"/>
      <c r="AA378" s="6" t="s">
        <v>93</v>
      </c>
      <c r="AB378" s="7" t="s">
        <v>160</v>
      </c>
      <c r="AC378" s="10"/>
      <c r="AD378" s="9" t="str">
        <f t="shared" si="22"/>
        <v>oui</v>
      </c>
      <c r="AE378" s="9" t="str">
        <f t="shared" si="23"/>
        <v>TAE manquant</v>
      </c>
      <c r="AF378" s="7"/>
      <c r="AG378" s="10"/>
      <c r="AH378" s="10"/>
      <c r="AI378" s="7" t="s">
        <v>160</v>
      </c>
      <c r="AJ378" s="10"/>
      <c r="AK378" s="10"/>
      <c r="AL378" s="10"/>
      <c r="AM378" s="11" t="s">
        <v>131</v>
      </c>
      <c r="AN378" s="11" t="s">
        <v>131</v>
      </c>
      <c r="AO378" s="11" t="s">
        <v>131</v>
      </c>
      <c r="AP378" s="11" t="s">
        <v>131</v>
      </c>
      <c r="AQ378" s="11"/>
      <c r="AR378" s="7"/>
    </row>
    <row r="379" spans="1:44" ht="14.4" x14ac:dyDescent="0.3">
      <c r="A379" s="6" t="s">
        <v>262</v>
      </c>
      <c r="B379" s="6" t="s">
        <v>2046</v>
      </c>
      <c r="C379" s="6" t="s">
        <v>2070</v>
      </c>
      <c r="D379" s="6" t="s">
        <v>2048</v>
      </c>
      <c r="E379" s="6" t="s">
        <v>2071</v>
      </c>
      <c r="F379" s="7" t="s">
        <v>125</v>
      </c>
      <c r="G379" s="10"/>
      <c r="H379" s="7" t="s">
        <v>93</v>
      </c>
      <c r="I379" s="7"/>
      <c r="J379" s="10"/>
      <c r="K379" s="6" t="s">
        <v>90</v>
      </c>
      <c r="L379" s="7"/>
      <c r="M379" s="14"/>
      <c r="N379" s="7" t="s">
        <v>93</v>
      </c>
      <c r="O379" s="10"/>
      <c r="P379" s="7" t="s">
        <v>90</v>
      </c>
      <c r="Q379" s="15">
        <f>IF(P379="oui",MIN(Parametres!$B$4,MAX(Parametres!$B$3,IF(M379="",Parametres!$B$3,ROUND(M379*10%,0)))),"")</f>
        <v>0</v>
      </c>
      <c r="R379" s="7" t="s">
        <v>134</v>
      </c>
      <c r="S379" s="7" t="s">
        <v>90</v>
      </c>
      <c r="T379" s="15">
        <f>IF(S379="oui",Parametres!$B$5,"")</f>
        <v>500</v>
      </c>
      <c r="U379" s="7" t="s">
        <v>134</v>
      </c>
      <c r="V379" s="15">
        <f t="shared" si="20"/>
        <v>500</v>
      </c>
      <c r="W379" s="15" t="str">
        <f t="shared" si="21"/>
        <v/>
      </c>
      <c r="X379" s="6" t="s">
        <v>90</v>
      </c>
      <c r="Y379" s="7" t="s">
        <v>133</v>
      </c>
      <c r="Z379" s="10"/>
      <c r="AA379" s="6" t="s">
        <v>93</v>
      </c>
      <c r="AB379" s="7" t="s">
        <v>160</v>
      </c>
      <c r="AC379" s="10"/>
      <c r="AD379" s="9" t="str">
        <f t="shared" si="22"/>
        <v>oui</v>
      </c>
      <c r="AE379" s="9" t="str">
        <f t="shared" si="23"/>
        <v>TAE manquant</v>
      </c>
      <c r="AF379" s="7"/>
      <c r="AG379" s="10"/>
      <c r="AH379" s="10"/>
      <c r="AI379" s="7" t="s">
        <v>160</v>
      </c>
      <c r="AJ379" s="10"/>
      <c r="AK379" s="10"/>
      <c r="AL379" s="10"/>
      <c r="AM379" s="11" t="s">
        <v>131</v>
      </c>
      <c r="AN379" s="11" t="s">
        <v>131</v>
      </c>
      <c r="AO379" s="11" t="s">
        <v>131</v>
      </c>
      <c r="AP379" s="11" t="s">
        <v>131</v>
      </c>
      <c r="AQ379" s="11"/>
      <c r="AR379" s="7"/>
    </row>
    <row r="380" spans="1:44" ht="14.4" x14ac:dyDescent="0.3">
      <c r="A380" s="6" t="s">
        <v>262</v>
      </c>
      <c r="B380" s="6" t="s">
        <v>2046</v>
      </c>
      <c r="C380" s="6" t="s">
        <v>2075</v>
      </c>
      <c r="D380" s="6" t="s">
        <v>2048</v>
      </c>
      <c r="E380" s="6" t="s">
        <v>2076</v>
      </c>
      <c r="F380" s="7" t="s">
        <v>125</v>
      </c>
      <c r="G380" s="10"/>
      <c r="H380" s="7" t="s">
        <v>93</v>
      </c>
      <c r="I380" s="7"/>
      <c r="J380" s="10"/>
      <c r="K380" s="6" t="s">
        <v>90</v>
      </c>
      <c r="L380" s="7"/>
      <c r="M380" s="14"/>
      <c r="N380" s="7" t="s">
        <v>93</v>
      </c>
      <c r="O380" s="10"/>
      <c r="P380" s="7" t="s">
        <v>90</v>
      </c>
      <c r="Q380" s="15">
        <f>IF(P380="oui",MIN(Parametres!$B$4,MAX(Parametres!$B$3,IF(M380="",Parametres!$B$3,ROUND(M380*10%,0)))),"")</f>
        <v>0</v>
      </c>
      <c r="R380" s="7" t="s">
        <v>134</v>
      </c>
      <c r="S380" s="7" t="s">
        <v>90</v>
      </c>
      <c r="T380" s="15">
        <f>IF(S380="oui",Parametres!$B$5,"")</f>
        <v>500</v>
      </c>
      <c r="U380" s="7" t="s">
        <v>134</v>
      </c>
      <c r="V380" s="15">
        <f t="shared" si="20"/>
        <v>500</v>
      </c>
      <c r="W380" s="15" t="str">
        <f t="shared" si="21"/>
        <v/>
      </c>
      <c r="X380" s="6" t="s">
        <v>90</v>
      </c>
      <c r="Y380" s="7" t="s">
        <v>133</v>
      </c>
      <c r="Z380" s="10"/>
      <c r="AA380" s="6" t="s">
        <v>93</v>
      </c>
      <c r="AB380" s="7" t="s">
        <v>160</v>
      </c>
      <c r="AC380" s="10"/>
      <c r="AD380" s="9" t="str">
        <f t="shared" si="22"/>
        <v>oui</v>
      </c>
      <c r="AE380" s="9" t="str">
        <f t="shared" si="23"/>
        <v>TAE manquant</v>
      </c>
      <c r="AF380" s="7"/>
      <c r="AG380" s="10"/>
      <c r="AH380" s="10"/>
      <c r="AI380" s="7" t="s">
        <v>160</v>
      </c>
      <c r="AJ380" s="10"/>
      <c r="AK380" s="10"/>
      <c r="AL380" s="10"/>
      <c r="AM380" s="11" t="s">
        <v>131</v>
      </c>
      <c r="AN380" s="11" t="s">
        <v>131</v>
      </c>
      <c r="AO380" s="11" t="s">
        <v>131</v>
      </c>
      <c r="AP380" s="11" t="s">
        <v>131</v>
      </c>
      <c r="AQ380" s="11"/>
      <c r="AR380" s="7"/>
    </row>
    <row r="381" spans="1:44" ht="14.4" x14ac:dyDescent="0.3">
      <c r="A381" s="6" t="s">
        <v>262</v>
      </c>
      <c r="B381" s="6" t="s">
        <v>2046</v>
      </c>
      <c r="C381" s="6" t="s">
        <v>2078</v>
      </c>
      <c r="D381" s="6" t="s">
        <v>2048</v>
      </c>
      <c r="E381" s="6" t="s">
        <v>2079</v>
      </c>
      <c r="F381" s="7" t="s">
        <v>125</v>
      </c>
      <c r="G381" s="10"/>
      <c r="H381" s="7" t="s">
        <v>93</v>
      </c>
      <c r="I381" s="7"/>
      <c r="J381" s="10"/>
      <c r="K381" s="6" t="s">
        <v>90</v>
      </c>
      <c r="L381" s="7"/>
      <c r="M381" s="14"/>
      <c r="N381" s="7" t="s">
        <v>93</v>
      </c>
      <c r="O381" s="10"/>
      <c r="P381" s="7" t="s">
        <v>90</v>
      </c>
      <c r="Q381" s="15">
        <f>IF(P381="oui",MIN(Parametres!$B$4,MAX(Parametres!$B$3,IF(M381="",Parametres!$B$3,ROUND(M381*10%,0)))),"")</f>
        <v>0</v>
      </c>
      <c r="R381" s="7" t="s">
        <v>134</v>
      </c>
      <c r="S381" s="7" t="s">
        <v>90</v>
      </c>
      <c r="T381" s="15">
        <f>IF(S381="oui",Parametres!$B$5,"")</f>
        <v>500</v>
      </c>
      <c r="U381" s="7" t="s">
        <v>134</v>
      </c>
      <c r="V381" s="15">
        <f t="shared" si="20"/>
        <v>500</v>
      </c>
      <c r="W381" s="15" t="str">
        <f t="shared" si="21"/>
        <v/>
      </c>
      <c r="X381" s="6" t="s">
        <v>90</v>
      </c>
      <c r="Y381" s="7" t="s">
        <v>133</v>
      </c>
      <c r="Z381" s="10"/>
      <c r="AA381" s="6" t="s">
        <v>93</v>
      </c>
      <c r="AB381" s="7" t="s">
        <v>160</v>
      </c>
      <c r="AC381" s="10"/>
      <c r="AD381" s="9" t="str">
        <f t="shared" si="22"/>
        <v>oui</v>
      </c>
      <c r="AE381" s="9" t="str">
        <f t="shared" si="23"/>
        <v>TAE manquant</v>
      </c>
      <c r="AF381" s="7"/>
      <c r="AG381" s="10"/>
      <c r="AH381" s="10"/>
      <c r="AI381" s="7" t="s">
        <v>160</v>
      </c>
      <c r="AJ381" s="10"/>
      <c r="AK381" s="10"/>
      <c r="AL381" s="10"/>
      <c r="AM381" s="11" t="s">
        <v>131</v>
      </c>
      <c r="AN381" s="11" t="s">
        <v>131</v>
      </c>
      <c r="AO381" s="11" t="s">
        <v>131</v>
      </c>
      <c r="AP381" s="11" t="s">
        <v>131</v>
      </c>
      <c r="AQ381" s="11"/>
      <c r="AR381" s="7"/>
    </row>
    <row r="382" spans="1:44" ht="14.4" x14ac:dyDescent="0.3">
      <c r="A382" s="6" t="s">
        <v>262</v>
      </c>
      <c r="B382" s="6" t="s">
        <v>2046</v>
      </c>
      <c r="C382" s="6" t="s">
        <v>2082</v>
      </c>
      <c r="D382" s="6" t="s">
        <v>2048</v>
      </c>
      <c r="E382" s="6" t="s">
        <v>2083</v>
      </c>
      <c r="F382" s="7" t="s">
        <v>125</v>
      </c>
      <c r="G382" s="10"/>
      <c r="H382" s="7" t="s">
        <v>93</v>
      </c>
      <c r="I382" s="7"/>
      <c r="J382" s="10"/>
      <c r="K382" s="6" t="s">
        <v>90</v>
      </c>
      <c r="L382" s="7"/>
      <c r="M382" s="14"/>
      <c r="N382" s="7" t="s">
        <v>93</v>
      </c>
      <c r="O382" s="10"/>
      <c r="P382" s="7" t="s">
        <v>90</v>
      </c>
      <c r="Q382" s="15">
        <f>IF(P382="oui",MIN(Parametres!$B$4,MAX(Parametres!$B$3,IF(M382="",Parametres!$B$3,ROUND(M382*10%,0)))),"")</f>
        <v>0</v>
      </c>
      <c r="R382" s="7" t="s">
        <v>134</v>
      </c>
      <c r="S382" s="7" t="s">
        <v>90</v>
      </c>
      <c r="T382" s="15">
        <f>IF(S382="oui",Parametres!$B$5,"")</f>
        <v>500</v>
      </c>
      <c r="U382" s="7" t="s">
        <v>134</v>
      </c>
      <c r="V382" s="15">
        <f t="shared" si="20"/>
        <v>500</v>
      </c>
      <c r="W382" s="15" t="str">
        <f t="shared" si="21"/>
        <v/>
      </c>
      <c r="X382" s="6" t="s">
        <v>90</v>
      </c>
      <c r="Y382" s="7" t="s">
        <v>133</v>
      </c>
      <c r="Z382" s="10"/>
      <c r="AA382" s="6" t="s">
        <v>93</v>
      </c>
      <c r="AB382" s="7" t="s">
        <v>160</v>
      </c>
      <c r="AC382" s="10"/>
      <c r="AD382" s="9" t="str">
        <f t="shared" si="22"/>
        <v>oui</v>
      </c>
      <c r="AE382" s="9" t="str">
        <f t="shared" si="23"/>
        <v>TAE manquant</v>
      </c>
      <c r="AF382" s="7"/>
      <c r="AG382" s="10"/>
      <c r="AH382" s="10"/>
      <c r="AI382" s="7" t="s">
        <v>160</v>
      </c>
      <c r="AJ382" s="10"/>
      <c r="AK382" s="10"/>
      <c r="AL382" s="10"/>
      <c r="AM382" s="11" t="s">
        <v>131</v>
      </c>
      <c r="AN382" s="11" t="s">
        <v>131</v>
      </c>
      <c r="AO382" s="11" t="s">
        <v>131</v>
      </c>
      <c r="AP382" s="11" t="s">
        <v>131</v>
      </c>
      <c r="AQ382" s="11"/>
      <c r="AR382" s="7"/>
    </row>
    <row r="383" spans="1:44" ht="14.4" x14ac:dyDescent="0.3">
      <c r="A383" s="6" t="s">
        <v>262</v>
      </c>
      <c r="B383" s="6" t="s">
        <v>2046</v>
      </c>
      <c r="C383" s="6" t="s">
        <v>2086</v>
      </c>
      <c r="D383" s="6" t="s">
        <v>2048</v>
      </c>
      <c r="E383" s="6" t="s">
        <v>2087</v>
      </c>
      <c r="F383" s="7" t="s">
        <v>125</v>
      </c>
      <c r="G383" s="10"/>
      <c r="H383" s="7" t="s">
        <v>93</v>
      </c>
      <c r="I383" s="7"/>
      <c r="J383" s="10"/>
      <c r="K383" s="6" t="s">
        <v>90</v>
      </c>
      <c r="L383" s="7"/>
      <c r="M383" s="14"/>
      <c r="N383" s="7" t="s">
        <v>93</v>
      </c>
      <c r="O383" s="10"/>
      <c r="P383" s="7" t="s">
        <v>90</v>
      </c>
      <c r="Q383" s="15">
        <f>IF(P383="oui",MIN(Parametres!$B$4,MAX(Parametres!$B$3,IF(M383="",Parametres!$B$3,ROUND(M383*10%,0)))),"")</f>
        <v>0</v>
      </c>
      <c r="R383" s="7" t="s">
        <v>134</v>
      </c>
      <c r="S383" s="7" t="s">
        <v>90</v>
      </c>
      <c r="T383" s="15">
        <f>IF(S383="oui",Parametres!$B$5,"")</f>
        <v>500</v>
      </c>
      <c r="U383" s="7" t="s">
        <v>134</v>
      </c>
      <c r="V383" s="15">
        <f t="shared" si="20"/>
        <v>500</v>
      </c>
      <c r="W383" s="15" t="str">
        <f t="shared" si="21"/>
        <v/>
      </c>
      <c r="X383" s="6" t="s">
        <v>90</v>
      </c>
      <c r="Y383" s="7" t="s">
        <v>133</v>
      </c>
      <c r="Z383" s="10"/>
      <c r="AA383" s="6" t="s">
        <v>93</v>
      </c>
      <c r="AB383" s="7" t="s">
        <v>160</v>
      </c>
      <c r="AC383" s="10"/>
      <c r="AD383" s="9" t="str">
        <f t="shared" si="22"/>
        <v>oui</v>
      </c>
      <c r="AE383" s="9" t="str">
        <f t="shared" si="23"/>
        <v>TAE manquant</v>
      </c>
      <c r="AF383" s="7"/>
      <c r="AG383" s="10"/>
      <c r="AH383" s="10"/>
      <c r="AI383" s="7" t="s">
        <v>160</v>
      </c>
      <c r="AJ383" s="10"/>
      <c r="AK383" s="10"/>
      <c r="AL383" s="10"/>
      <c r="AM383" s="11" t="s">
        <v>131</v>
      </c>
      <c r="AN383" s="11" t="s">
        <v>131</v>
      </c>
      <c r="AO383" s="11" t="s">
        <v>131</v>
      </c>
      <c r="AP383" s="11" t="s">
        <v>131</v>
      </c>
      <c r="AQ383" s="11"/>
      <c r="AR383" s="7"/>
    </row>
    <row r="384" spans="1:44" ht="14.4" x14ac:dyDescent="0.3">
      <c r="A384" s="6" t="s">
        <v>262</v>
      </c>
      <c r="B384" s="6" t="s">
        <v>2046</v>
      </c>
      <c r="C384" s="6" t="s">
        <v>2091</v>
      </c>
      <c r="D384" s="6" t="s">
        <v>2048</v>
      </c>
      <c r="E384" s="6" t="s">
        <v>2092</v>
      </c>
      <c r="F384" s="7" t="s">
        <v>125</v>
      </c>
      <c r="G384" s="10"/>
      <c r="H384" s="7" t="s">
        <v>93</v>
      </c>
      <c r="I384" s="7"/>
      <c r="J384" s="10"/>
      <c r="K384" s="6" t="s">
        <v>90</v>
      </c>
      <c r="L384" s="7"/>
      <c r="M384" s="14"/>
      <c r="N384" s="7" t="s">
        <v>93</v>
      </c>
      <c r="O384" s="10"/>
      <c r="P384" s="7" t="s">
        <v>90</v>
      </c>
      <c r="Q384" s="15">
        <f>IF(P384="oui",MIN(Parametres!$B$4,MAX(Parametres!$B$3,IF(M384="",Parametres!$B$3,ROUND(M384*10%,0)))),"")</f>
        <v>0</v>
      </c>
      <c r="R384" s="7" t="s">
        <v>134</v>
      </c>
      <c r="S384" s="7" t="s">
        <v>90</v>
      </c>
      <c r="T384" s="15">
        <f>IF(S384="oui",Parametres!$B$5,"")</f>
        <v>500</v>
      </c>
      <c r="U384" s="7" t="s">
        <v>134</v>
      </c>
      <c r="V384" s="15">
        <f t="shared" si="20"/>
        <v>500</v>
      </c>
      <c r="W384" s="15" t="str">
        <f t="shared" si="21"/>
        <v/>
      </c>
      <c r="X384" s="6" t="s">
        <v>90</v>
      </c>
      <c r="Y384" s="7" t="s">
        <v>133</v>
      </c>
      <c r="Z384" s="10"/>
      <c r="AA384" s="6" t="s">
        <v>93</v>
      </c>
      <c r="AB384" s="7" t="s">
        <v>160</v>
      </c>
      <c r="AC384" s="10"/>
      <c r="AD384" s="9" t="str">
        <f t="shared" si="22"/>
        <v>oui</v>
      </c>
      <c r="AE384" s="9" t="str">
        <f t="shared" si="23"/>
        <v>TAE manquant</v>
      </c>
      <c r="AF384" s="7"/>
      <c r="AG384" s="10"/>
      <c r="AH384" s="10"/>
      <c r="AI384" s="7" t="s">
        <v>160</v>
      </c>
      <c r="AJ384" s="10"/>
      <c r="AK384" s="10"/>
      <c r="AL384" s="10"/>
      <c r="AM384" s="11" t="s">
        <v>131</v>
      </c>
      <c r="AN384" s="11" t="s">
        <v>131</v>
      </c>
      <c r="AO384" s="11" t="s">
        <v>131</v>
      </c>
      <c r="AP384" s="11" t="s">
        <v>131</v>
      </c>
      <c r="AQ384" s="11"/>
      <c r="AR384" s="7"/>
    </row>
    <row r="385" spans="1:44" ht="14.4" x14ac:dyDescent="0.3">
      <c r="A385" s="6" t="s">
        <v>262</v>
      </c>
      <c r="B385" s="6" t="s">
        <v>2046</v>
      </c>
      <c r="C385" s="6" t="s">
        <v>2095</v>
      </c>
      <c r="D385" s="6" t="s">
        <v>2048</v>
      </c>
      <c r="E385" s="6" t="s">
        <v>2096</v>
      </c>
      <c r="F385" s="7" t="s">
        <v>125</v>
      </c>
      <c r="G385" s="10"/>
      <c r="H385" s="7" t="s">
        <v>93</v>
      </c>
      <c r="I385" s="7"/>
      <c r="J385" s="10"/>
      <c r="K385" s="6" t="s">
        <v>90</v>
      </c>
      <c r="L385" s="7"/>
      <c r="M385" s="14"/>
      <c r="N385" s="7" t="s">
        <v>93</v>
      </c>
      <c r="O385" s="10"/>
      <c r="P385" s="7" t="s">
        <v>90</v>
      </c>
      <c r="Q385" s="15">
        <f>IF(P385="oui",MIN(Parametres!$B$4,MAX(Parametres!$B$3,IF(M385="",Parametres!$B$3,ROUND(M385*10%,0)))),"")</f>
        <v>0</v>
      </c>
      <c r="R385" s="7" t="s">
        <v>134</v>
      </c>
      <c r="S385" s="7" t="s">
        <v>90</v>
      </c>
      <c r="T385" s="15">
        <f>IF(S385="oui",Parametres!$B$5,"")</f>
        <v>500</v>
      </c>
      <c r="U385" s="7" t="s">
        <v>134</v>
      </c>
      <c r="V385" s="15">
        <f t="shared" si="20"/>
        <v>500</v>
      </c>
      <c r="W385" s="15" t="str">
        <f t="shared" si="21"/>
        <v/>
      </c>
      <c r="X385" s="6" t="s">
        <v>90</v>
      </c>
      <c r="Y385" s="7" t="s">
        <v>133</v>
      </c>
      <c r="Z385" s="10"/>
      <c r="AA385" s="6" t="s">
        <v>93</v>
      </c>
      <c r="AB385" s="7" t="s">
        <v>160</v>
      </c>
      <c r="AC385" s="10"/>
      <c r="AD385" s="9" t="str">
        <f t="shared" si="22"/>
        <v>oui</v>
      </c>
      <c r="AE385" s="9" t="str">
        <f t="shared" si="23"/>
        <v>TAE manquant</v>
      </c>
      <c r="AF385" s="7"/>
      <c r="AG385" s="10"/>
      <c r="AH385" s="10"/>
      <c r="AI385" s="7" t="s">
        <v>160</v>
      </c>
      <c r="AJ385" s="10"/>
      <c r="AK385" s="10"/>
      <c r="AL385" s="10"/>
      <c r="AM385" s="11" t="s">
        <v>131</v>
      </c>
      <c r="AN385" s="11" t="s">
        <v>131</v>
      </c>
      <c r="AO385" s="11" t="s">
        <v>131</v>
      </c>
      <c r="AP385" s="11" t="s">
        <v>131</v>
      </c>
      <c r="AQ385" s="11"/>
      <c r="AR385" s="7"/>
    </row>
    <row r="386" spans="1:44" ht="14.4" x14ac:dyDescent="0.3">
      <c r="A386" s="6" t="s">
        <v>262</v>
      </c>
      <c r="B386" s="6" t="s">
        <v>2046</v>
      </c>
      <c r="C386" s="6" t="s">
        <v>2099</v>
      </c>
      <c r="D386" s="6" t="s">
        <v>2048</v>
      </c>
      <c r="E386" s="6" t="s">
        <v>2100</v>
      </c>
      <c r="F386" s="7" t="s">
        <v>125</v>
      </c>
      <c r="G386" s="10"/>
      <c r="H386" s="7" t="s">
        <v>93</v>
      </c>
      <c r="I386" s="7"/>
      <c r="J386" s="10"/>
      <c r="K386" s="6" t="s">
        <v>90</v>
      </c>
      <c r="L386" s="7"/>
      <c r="M386" s="14"/>
      <c r="N386" s="7" t="s">
        <v>93</v>
      </c>
      <c r="O386" s="10"/>
      <c r="P386" s="7" t="s">
        <v>90</v>
      </c>
      <c r="Q386" s="15">
        <f>IF(P386="oui",MIN(Parametres!$B$4,MAX(Parametres!$B$3,IF(M386="",Parametres!$B$3,ROUND(M386*10%,0)))),"")</f>
        <v>0</v>
      </c>
      <c r="R386" s="7" t="s">
        <v>134</v>
      </c>
      <c r="S386" s="7" t="s">
        <v>90</v>
      </c>
      <c r="T386" s="15">
        <f>IF(S386="oui",Parametres!$B$5,"")</f>
        <v>500</v>
      </c>
      <c r="U386" s="7" t="s">
        <v>134</v>
      </c>
      <c r="V386" s="15">
        <f t="shared" ref="V386:V449" si="24">SUM(Q386,T386)</f>
        <v>500</v>
      </c>
      <c r="W386" s="15" t="str">
        <f t="shared" ref="W386:W449" si="25">IF(M386="","",M386-V386)</f>
        <v/>
      </c>
      <c r="X386" s="6" t="s">
        <v>90</v>
      </c>
      <c r="Y386" s="7" t="s">
        <v>133</v>
      </c>
      <c r="Z386" s="10"/>
      <c r="AA386" s="6" t="s">
        <v>93</v>
      </c>
      <c r="AB386" s="7" t="s">
        <v>160</v>
      </c>
      <c r="AC386" s="10"/>
      <c r="AD386" s="9" t="str">
        <f t="shared" ref="AD386:AD449" si="26">IF(K386&lt;&gt;"oui","oui",IF(OR(AND(X386="oui",Y386&lt;&gt;"fait"),AND(AA386="oui",AB386&lt;&gt;"fait"),AND(P386="oui",R386&lt;&gt;"valide"),AND(S386="oui",U386&lt;&gt;"valide"),N386&lt;&gt;"oui"),"oui","non"))</f>
        <v>oui</v>
      </c>
      <c r="AE386" s="9" t="str">
        <f t="shared" ref="AE386:AE449" si="27">IF(K386&lt;&gt;"oui","Résidence ou logement non vendable",IF(AND(X386="oui",Y386&lt;&gt;"fait"),"TAE manquant",IF(AND(AA386="oui",AB386&lt;&gt;"fait"),"SPANC manquant",IF(AND(P386="oui",R386&lt;&gt;"valide"),"Chèque primo non validé",IF(AND(S386="oui",U386&lt;&gt;"valide"),"Chèque CINOR non validé",IF(N386&lt;&gt;"oui","Prix non confirmé",""))))))</f>
        <v>TAE manquant</v>
      </c>
      <c r="AF386" s="7"/>
      <c r="AG386" s="10"/>
      <c r="AH386" s="10"/>
      <c r="AI386" s="7" t="s">
        <v>160</v>
      </c>
      <c r="AJ386" s="10"/>
      <c r="AK386" s="10"/>
      <c r="AL386" s="10"/>
      <c r="AM386" s="11" t="s">
        <v>131</v>
      </c>
      <c r="AN386" s="11" t="s">
        <v>131</v>
      </c>
      <c r="AO386" s="11" t="s">
        <v>131</v>
      </c>
      <c r="AP386" s="11" t="s">
        <v>131</v>
      </c>
      <c r="AQ386" s="11"/>
      <c r="AR386" s="7"/>
    </row>
    <row r="387" spans="1:44" ht="14.4" x14ac:dyDescent="0.3">
      <c r="A387" s="6" t="s">
        <v>262</v>
      </c>
      <c r="B387" s="6" t="s">
        <v>2046</v>
      </c>
      <c r="C387" s="6" t="s">
        <v>2103</v>
      </c>
      <c r="D387" s="6" t="s">
        <v>2048</v>
      </c>
      <c r="E387" s="6" t="s">
        <v>2104</v>
      </c>
      <c r="F387" s="7" t="s">
        <v>125</v>
      </c>
      <c r="G387" s="10"/>
      <c r="H387" s="7" t="s">
        <v>93</v>
      </c>
      <c r="I387" s="7"/>
      <c r="J387" s="10"/>
      <c r="K387" s="6" t="s">
        <v>90</v>
      </c>
      <c r="L387" s="7"/>
      <c r="M387" s="14"/>
      <c r="N387" s="7" t="s">
        <v>93</v>
      </c>
      <c r="O387" s="10"/>
      <c r="P387" s="7" t="s">
        <v>90</v>
      </c>
      <c r="Q387" s="15">
        <f>IF(P387="oui",MIN(Parametres!$B$4,MAX(Parametres!$B$3,IF(M387="",Parametres!$B$3,ROUND(M387*10%,0)))),"")</f>
        <v>0</v>
      </c>
      <c r="R387" s="7" t="s">
        <v>134</v>
      </c>
      <c r="S387" s="7" t="s">
        <v>90</v>
      </c>
      <c r="T387" s="15">
        <f>IF(S387="oui",Parametres!$B$5,"")</f>
        <v>500</v>
      </c>
      <c r="U387" s="7" t="s">
        <v>134</v>
      </c>
      <c r="V387" s="15">
        <f t="shared" si="24"/>
        <v>500</v>
      </c>
      <c r="W387" s="15" t="str">
        <f t="shared" si="25"/>
        <v/>
      </c>
      <c r="X387" s="6" t="s">
        <v>90</v>
      </c>
      <c r="Y387" s="7" t="s">
        <v>133</v>
      </c>
      <c r="Z387" s="10"/>
      <c r="AA387" s="6" t="s">
        <v>93</v>
      </c>
      <c r="AB387" s="7" t="s">
        <v>160</v>
      </c>
      <c r="AC387" s="10"/>
      <c r="AD387" s="9" t="str">
        <f t="shared" si="26"/>
        <v>oui</v>
      </c>
      <c r="AE387" s="9" t="str">
        <f t="shared" si="27"/>
        <v>TAE manquant</v>
      </c>
      <c r="AF387" s="7"/>
      <c r="AG387" s="10"/>
      <c r="AH387" s="10"/>
      <c r="AI387" s="7" t="s">
        <v>160</v>
      </c>
      <c r="AJ387" s="10"/>
      <c r="AK387" s="10"/>
      <c r="AL387" s="10"/>
      <c r="AM387" s="11" t="s">
        <v>131</v>
      </c>
      <c r="AN387" s="11" t="s">
        <v>131</v>
      </c>
      <c r="AO387" s="11" t="s">
        <v>131</v>
      </c>
      <c r="AP387" s="11" t="s">
        <v>131</v>
      </c>
      <c r="AQ387" s="11"/>
      <c r="AR387" s="7"/>
    </row>
    <row r="388" spans="1:44" ht="14.4" x14ac:dyDescent="0.3">
      <c r="A388" s="6" t="s">
        <v>262</v>
      </c>
      <c r="B388" s="6" t="s">
        <v>2046</v>
      </c>
      <c r="C388" s="6" t="s">
        <v>2110</v>
      </c>
      <c r="D388" s="6" t="s">
        <v>2048</v>
      </c>
      <c r="E388" s="6" t="s">
        <v>2111</v>
      </c>
      <c r="F388" s="7" t="s">
        <v>125</v>
      </c>
      <c r="G388" s="10"/>
      <c r="H388" s="7" t="s">
        <v>93</v>
      </c>
      <c r="I388" s="7"/>
      <c r="J388" s="10"/>
      <c r="K388" s="6" t="s">
        <v>90</v>
      </c>
      <c r="L388" s="7"/>
      <c r="M388" s="14"/>
      <c r="N388" s="7" t="s">
        <v>93</v>
      </c>
      <c r="O388" s="10"/>
      <c r="P388" s="7" t="s">
        <v>90</v>
      </c>
      <c r="Q388" s="15">
        <f>IF(P388="oui",MIN(Parametres!$B$4,MAX(Parametres!$B$3,IF(M388="",Parametres!$B$3,ROUND(M388*10%,0)))),"")</f>
        <v>0</v>
      </c>
      <c r="R388" s="7" t="s">
        <v>134</v>
      </c>
      <c r="S388" s="7" t="s">
        <v>90</v>
      </c>
      <c r="T388" s="15">
        <f>IF(S388="oui",Parametres!$B$5,"")</f>
        <v>500</v>
      </c>
      <c r="U388" s="7" t="s">
        <v>134</v>
      </c>
      <c r="V388" s="15">
        <f t="shared" si="24"/>
        <v>500</v>
      </c>
      <c r="W388" s="15" t="str">
        <f t="shared" si="25"/>
        <v/>
      </c>
      <c r="X388" s="6" t="s">
        <v>90</v>
      </c>
      <c r="Y388" s="7" t="s">
        <v>133</v>
      </c>
      <c r="Z388" s="10"/>
      <c r="AA388" s="6" t="s">
        <v>93</v>
      </c>
      <c r="AB388" s="7" t="s">
        <v>160</v>
      </c>
      <c r="AC388" s="10"/>
      <c r="AD388" s="9" t="str">
        <f t="shared" si="26"/>
        <v>oui</v>
      </c>
      <c r="AE388" s="9" t="str">
        <f t="shared" si="27"/>
        <v>TAE manquant</v>
      </c>
      <c r="AF388" s="7"/>
      <c r="AG388" s="10"/>
      <c r="AH388" s="10"/>
      <c r="AI388" s="7" t="s">
        <v>160</v>
      </c>
      <c r="AJ388" s="10"/>
      <c r="AK388" s="10"/>
      <c r="AL388" s="10"/>
      <c r="AM388" s="11" t="s">
        <v>131</v>
      </c>
      <c r="AN388" s="11" t="s">
        <v>131</v>
      </c>
      <c r="AO388" s="11" t="s">
        <v>131</v>
      </c>
      <c r="AP388" s="11" t="s">
        <v>131</v>
      </c>
      <c r="AQ388" s="11"/>
      <c r="AR388" s="7"/>
    </row>
    <row r="389" spans="1:44" ht="14.4" x14ac:dyDescent="0.3">
      <c r="A389" s="6" t="s">
        <v>270</v>
      </c>
      <c r="B389" s="6" t="s">
        <v>2114</v>
      </c>
      <c r="C389" s="6" t="s">
        <v>2115</v>
      </c>
      <c r="D389" s="6" t="s">
        <v>2116</v>
      </c>
      <c r="E389" s="6" t="s">
        <v>2117</v>
      </c>
      <c r="F389" s="7" t="s">
        <v>125</v>
      </c>
      <c r="G389" s="10"/>
      <c r="H389" s="7" t="s">
        <v>93</v>
      </c>
      <c r="I389" s="7"/>
      <c r="J389" s="10"/>
      <c r="K389" s="6" t="s">
        <v>90</v>
      </c>
      <c r="L389" s="7"/>
      <c r="M389" s="14"/>
      <c r="N389" s="7" t="s">
        <v>93</v>
      </c>
      <c r="O389" s="10"/>
      <c r="P389" s="7" t="s">
        <v>90</v>
      </c>
      <c r="Q389" s="15">
        <f>IF(P389="oui",MIN(Parametres!$B$4,MAX(Parametres!$B$3,IF(M389="",Parametres!$B$3,ROUND(M389*10%,0)))),"")</f>
        <v>0</v>
      </c>
      <c r="R389" s="7" t="s">
        <v>134</v>
      </c>
      <c r="S389" s="7" t="s">
        <v>90</v>
      </c>
      <c r="T389" s="15">
        <f>IF(S389="oui",Parametres!$B$5,"")</f>
        <v>500</v>
      </c>
      <c r="U389" s="7" t="s">
        <v>134</v>
      </c>
      <c r="V389" s="15">
        <f t="shared" si="24"/>
        <v>500</v>
      </c>
      <c r="W389" s="15" t="str">
        <f t="shared" si="25"/>
        <v/>
      </c>
      <c r="X389" s="6" t="s">
        <v>90</v>
      </c>
      <c r="Y389" s="7" t="s">
        <v>133</v>
      </c>
      <c r="Z389" s="10"/>
      <c r="AA389" s="6" t="s">
        <v>93</v>
      </c>
      <c r="AB389" s="7" t="s">
        <v>160</v>
      </c>
      <c r="AC389" s="10"/>
      <c r="AD389" s="9" t="str">
        <f t="shared" si="26"/>
        <v>oui</v>
      </c>
      <c r="AE389" s="9" t="str">
        <f t="shared" si="27"/>
        <v>TAE manquant</v>
      </c>
      <c r="AF389" s="7"/>
      <c r="AG389" s="10"/>
      <c r="AH389" s="10"/>
      <c r="AI389" s="7" t="s">
        <v>160</v>
      </c>
      <c r="AJ389" s="10"/>
      <c r="AK389" s="10"/>
      <c r="AL389" s="10"/>
      <c r="AM389" s="11" t="s">
        <v>131</v>
      </c>
      <c r="AN389" s="11" t="s">
        <v>131</v>
      </c>
      <c r="AO389" s="11" t="s">
        <v>131</v>
      </c>
      <c r="AP389" s="11" t="s">
        <v>131</v>
      </c>
      <c r="AQ389" s="11"/>
      <c r="AR389" s="7"/>
    </row>
    <row r="390" spans="1:44" ht="14.4" x14ac:dyDescent="0.3">
      <c r="A390" s="6" t="s">
        <v>270</v>
      </c>
      <c r="B390" s="6" t="s">
        <v>2114</v>
      </c>
      <c r="C390" s="6" t="s">
        <v>2121</v>
      </c>
      <c r="D390" s="6" t="s">
        <v>2116</v>
      </c>
      <c r="E390" s="6" t="s">
        <v>2122</v>
      </c>
      <c r="F390" s="7" t="s">
        <v>125</v>
      </c>
      <c r="G390" s="10"/>
      <c r="H390" s="7" t="s">
        <v>93</v>
      </c>
      <c r="I390" s="7"/>
      <c r="J390" s="10"/>
      <c r="K390" s="6" t="s">
        <v>90</v>
      </c>
      <c r="L390" s="7"/>
      <c r="M390" s="14"/>
      <c r="N390" s="7" t="s">
        <v>93</v>
      </c>
      <c r="O390" s="10"/>
      <c r="P390" s="7" t="s">
        <v>90</v>
      </c>
      <c r="Q390" s="15">
        <f>IF(P390="oui",MIN(Parametres!$B$4,MAX(Parametres!$B$3,IF(M390="",Parametres!$B$3,ROUND(M390*10%,0)))),"")</f>
        <v>0</v>
      </c>
      <c r="R390" s="7" t="s">
        <v>134</v>
      </c>
      <c r="S390" s="7" t="s">
        <v>90</v>
      </c>
      <c r="T390" s="15">
        <f>IF(S390="oui",Parametres!$B$5,"")</f>
        <v>500</v>
      </c>
      <c r="U390" s="7" t="s">
        <v>134</v>
      </c>
      <c r="V390" s="15">
        <f t="shared" si="24"/>
        <v>500</v>
      </c>
      <c r="W390" s="15" t="str">
        <f t="shared" si="25"/>
        <v/>
      </c>
      <c r="X390" s="6" t="s">
        <v>90</v>
      </c>
      <c r="Y390" s="7" t="s">
        <v>133</v>
      </c>
      <c r="Z390" s="10"/>
      <c r="AA390" s="6" t="s">
        <v>93</v>
      </c>
      <c r="AB390" s="7" t="s">
        <v>160</v>
      </c>
      <c r="AC390" s="10"/>
      <c r="AD390" s="9" t="str">
        <f t="shared" si="26"/>
        <v>oui</v>
      </c>
      <c r="AE390" s="9" t="str">
        <f t="shared" si="27"/>
        <v>TAE manquant</v>
      </c>
      <c r="AF390" s="7"/>
      <c r="AG390" s="10"/>
      <c r="AH390" s="10"/>
      <c r="AI390" s="7" t="s">
        <v>160</v>
      </c>
      <c r="AJ390" s="10"/>
      <c r="AK390" s="10"/>
      <c r="AL390" s="10"/>
      <c r="AM390" s="11" t="s">
        <v>131</v>
      </c>
      <c r="AN390" s="11" t="s">
        <v>131</v>
      </c>
      <c r="AO390" s="11" t="s">
        <v>131</v>
      </c>
      <c r="AP390" s="11" t="s">
        <v>131</v>
      </c>
      <c r="AQ390" s="11"/>
      <c r="AR390" s="7"/>
    </row>
    <row r="391" spans="1:44" ht="14.4" x14ac:dyDescent="0.3">
      <c r="A391" s="6" t="s">
        <v>270</v>
      </c>
      <c r="B391" s="6" t="s">
        <v>2114</v>
      </c>
      <c r="C391" s="6" t="s">
        <v>2125</v>
      </c>
      <c r="D391" s="6" t="s">
        <v>2116</v>
      </c>
      <c r="E391" s="6" t="s">
        <v>2126</v>
      </c>
      <c r="F391" s="7" t="s">
        <v>125</v>
      </c>
      <c r="G391" s="10"/>
      <c r="H391" s="7" t="s">
        <v>93</v>
      </c>
      <c r="I391" s="7"/>
      <c r="J391" s="10"/>
      <c r="K391" s="6" t="s">
        <v>90</v>
      </c>
      <c r="L391" s="7"/>
      <c r="M391" s="14"/>
      <c r="N391" s="7" t="s">
        <v>93</v>
      </c>
      <c r="O391" s="10"/>
      <c r="P391" s="7" t="s">
        <v>90</v>
      </c>
      <c r="Q391" s="15">
        <f>IF(P391="oui",MIN(Parametres!$B$4,MAX(Parametres!$B$3,IF(M391="",Parametres!$B$3,ROUND(M391*10%,0)))),"")</f>
        <v>0</v>
      </c>
      <c r="R391" s="7" t="s">
        <v>134</v>
      </c>
      <c r="S391" s="7" t="s">
        <v>90</v>
      </c>
      <c r="T391" s="15">
        <f>IF(S391="oui",Parametres!$B$5,"")</f>
        <v>500</v>
      </c>
      <c r="U391" s="7" t="s">
        <v>134</v>
      </c>
      <c r="V391" s="15">
        <f t="shared" si="24"/>
        <v>500</v>
      </c>
      <c r="W391" s="15" t="str">
        <f t="shared" si="25"/>
        <v/>
      </c>
      <c r="X391" s="6" t="s">
        <v>90</v>
      </c>
      <c r="Y391" s="7" t="s">
        <v>133</v>
      </c>
      <c r="Z391" s="10"/>
      <c r="AA391" s="6" t="s">
        <v>93</v>
      </c>
      <c r="AB391" s="7" t="s">
        <v>160</v>
      </c>
      <c r="AC391" s="10"/>
      <c r="AD391" s="9" t="str">
        <f t="shared" si="26"/>
        <v>oui</v>
      </c>
      <c r="AE391" s="9" t="str">
        <f t="shared" si="27"/>
        <v>TAE manquant</v>
      </c>
      <c r="AF391" s="7"/>
      <c r="AG391" s="10"/>
      <c r="AH391" s="10"/>
      <c r="AI391" s="7" t="s">
        <v>160</v>
      </c>
      <c r="AJ391" s="10"/>
      <c r="AK391" s="10"/>
      <c r="AL391" s="10"/>
      <c r="AM391" s="11" t="s">
        <v>131</v>
      </c>
      <c r="AN391" s="11" t="s">
        <v>131</v>
      </c>
      <c r="AO391" s="11" t="s">
        <v>131</v>
      </c>
      <c r="AP391" s="11" t="s">
        <v>131</v>
      </c>
      <c r="AQ391" s="11"/>
      <c r="AR391" s="7"/>
    </row>
    <row r="392" spans="1:44" ht="14.4" x14ac:dyDescent="0.3">
      <c r="A392" s="6" t="s">
        <v>270</v>
      </c>
      <c r="B392" s="6" t="s">
        <v>2114</v>
      </c>
      <c r="C392" s="6" t="s">
        <v>2130</v>
      </c>
      <c r="D392" s="6" t="s">
        <v>2116</v>
      </c>
      <c r="E392" s="6" t="s">
        <v>2131</v>
      </c>
      <c r="F392" s="7" t="s">
        <v>125</v>
      </c>
      <c r="G392" s="10"/>
      <c r="H392" s="7" t="s">
        <v>93</v>
      </c>
      <c r="I392" s="7"/>
      <c r="J392" s="10"/>
      <c r="K392" s="6" t="s">
        <v>90</v>
      </c>
      <c r="L392" s="7"/>
      <c r="M392" s="14"/>
      <c r="N392" s="7" t="s">
        <v>93</v>
      </c>
      <c r="O392" s="10"/>
      <c r="P392" s="7" t="s">
        <v>90</v>
      </c>
      <c r="Q392" s="15">
        <f>IF(P392="oui",MIN(Parametres!$B$4,MAX(Parametres!$B$3,IF(M392="",Parametres!$B$3,ROUND(M392*10%,0)))),"")</f>
        <v>0</v>
      </c>
      <c r="R392" s="7" t="s">
        <v>134</v>
      </c>
      <c r="S392" s="7" t="s">
        <v>90</v>
      </c>
      <c r="T392" s="15">
        <f>IF(S392="oui",Parametres!$B$5,"")</f>
        <v>500</v>
      </c>
      <c r="U392" s="7" t="s">
        <v>134</v>
      </c>
      <c r="V392" s="15">
        <f t="shared" si="24"/>
        <v>500</v>
      </c>
      <c r="W392" s="15" t="str">
        <f t="shared" si="25"/>
        <v/>
      </c>
      <c r="X392" s="6" t="s">
        <v>90</v>
      </c>
      <c r="Y392" s="7" t="s">
        <v>133</v>
      </c>
      <c r="Z392" s="10"/>
      <c r="AA392" s="6" t="s">
        <v>93</v>
      </c>
      <c r="AB392" s="7" t="s">
        <v>160</v>
      </c>
      <c r="AC392" s="10"/>
      <c r="AD392" s="9" t="str">
        <f t="shared" si="26"/>
        <v>oui</v>
      </c>
      <c r="AE392" s="9" t="str">
        <f t="shared" si="27"/>
        <v>TAE manquant</v>
      </c>
      <c r="AF392" s="7"/>
      <c r="AG392" s="10"/>
      <c r="AH392" s="10"/>
      <c r="AI392" s="7" t="s">
        <v>160</v>
      </c>
      <c r="AJ392" s="10"/>
      <c r="AK392" s="10"/>
      <c r="AL392" s="10"/>
      <c r="AM392" s="11" t="s">
        <v>131</v>
      </c>
      <c r="AN392" s="11" t="s">
        <v>131</v>
      </c>
      <c r="AO392" s="11" t="s">
        <v>131</v>
      </c>
      <c r="AP392" s="11" t="s">
        <v>131</v>
      </c>
      <c r="AQ392" s="11"/>
      <c r="AR392" s="7"/>
    </row>
    <row r="393" spans="1:44" ht="14.4" x14ac:dyDescent="0.3">
      <c r="A393" s="6" t="s">
        <v>270</v>
      </c>
      <c r="B393" s="6" t="s">
        <v>2114</v>
      </c>
      <c r="C393" s="6" t="s">
        <v>2136</v>
      </c>
      <c r="D393" s="6" t="s">
        <v>2116</v>
      </c>
      <c r="E393" s="6" t="s">
        <v>2137</v>
      </c>
      <c r="F393" s="7" t="s">
        <v>125</v>
      </c>
      <c r="G393" s="10"/>
      <c r="H393" s="7" t="s">
        <v>93</v>
      </c>
      <c r="I393" s="7"/>
      <c r="J393" s="10"/>
      <c r="K393" s="6" t="s">
        <v>90</v>
      </c>
      <c r="L393" s="7"/>
      <c r="M393" s="14"/>
      <c r="N393" s="7" t="s">
        <v>93</v>
      </c>
      <c r="O393" s="10"/>
      <c r="P393" s="7" t="s">
        <v>90</v>
      </c>
      <c r="Q393" s="15">
        <f>IF(P393="oui",MIN(Parametres!$B$4,MAX(Parametres!$B$3,IF(M393="",Parametres!$B$3,ROUND(M393*10%,0)))),"")</f>
        <v>0</v>
      </c>
      <c r="R393" s="7" t="s">
        <v>134</v>
      </c>
      <c r="S393" s="7" t="s">
        <v>90</v>
      </c>
      <c r="T393" s="15">
        <f>IF(S393="oui",Parametres!$B$5,"")</f>
        <v>500</v>
      </c>
      <c r="U393" s="7" t="s">
        <v>134</v>
      </c>
      <c r="V393" s="15">
        <f t="shared" si="24"/>
        <v>500</v>
      </c>
      <c r="W393" s="15" t="str">
        <f t="shared" si="25"/>
        <v/>
      </c>
      <c r="X393" s="6" t="s">
        <v>90</v>
      </c>
      <c r="Y393" s="7" t="s">
        <v>133</v>
      </c>
      <c r="Z393" s="10"/>
      <c r="AA393" s="6" t="s">
        <v>93</v>
      </c>
      <c r="AB393" s="7" t="s">
        <v>160</v>
      </c>
      <c r="AC393" s="10"/>
      <c r="AD393" s="9" t="str">
        <f t="shared" si="26"/>
        <v>oui</v>
      </c>
      <c r="AE393" s="9" t="str">
        <f t="shared" si="27"/>
        <v>TAE manquant</v>
      </c>
      <c r="AF393" s="7"/>
      <c r="AG393" s="10"/>
      <c r="AH393" s="10"/>
      <c r="AI393" s="7" t="s">
        <v>160</v>
      </c>
      <c r="AJ393" s="10"/>
      <c r="AK393" s="10"/>
      <c r="AL393" s="10"/>
      <c r="AM393" s="11" t="s">
        <v>131</v>
      </c>
      <c r="AN393" s="11" t="s">
        <v>131</v>
      </c>
      <c r="AO393" s="11" t="s">
        <v>131</v>
      </c>
      <c r="AP393" s="11" t="s">
        <v>131</v>
      </c>
      <c r="AQ393" s="11"/>
      <c r="AR393" s="7"/>
    </row>
    <row r="394" spans="1:44" ht="14.4" x14ac:dyDescent="0.3">
      <c r="A394" s="6" t="s">
        <v>270</v>
      </c>
      <c r="B394" s="6" t="s">
        <v>2114</v>
      </c>
      <c r="C394" s="6" t="s">
        <v>2140</v>
      </c>
      <c r="D394" s="6" t="s">
        <v>2116</v>
      </c>
      <c r="E394" s="6" t="s">
        <v>2141</v>
      </c>
      <c r="F394" s="7" t="s">
        <v>125</v>
      </c>
      <c r="G394" s="10"/>
      <c r="H394" s="7" t="s">
        <v>93</v>
      </c>
      <c r="I394" s="7"/>
      <c r="J394" s="10"/>
      <c r="K394" s="6" t="s">
        <v>90</v>
      </c>
      <c r="L394" s="7"/>
      <c r="M394" s="14"/>
      <c r="N394" s="7" t="s">
        <v>93</v>
      </c>
      <c r="O394" s="10"/>
      <c r="P394" s="7" t="s">
        <v>90</v>
      </c>
      <c r="Q394" s="15">
        <f>IF(P394="oui",MIN(Parametres!$B$4,MAX(Parametres!$B$3,IF(M394="",Parametres!$B$3,ROUND(M394*10%,0)))),"")</f>
        <v>0</v>
      </c>
      <c r="R394" s="7" t="s">
        <v>134</v>
      </c>
      <c r="S394" s="7" t="s">
        <v>90</v>
      </c>
      <c r="T394" s="15">
        <f>IF(S394="oui",Parametres!$B$5,"")</f>
        <v>500</v>
      </c>
      <c r="U394" s="7" t="s">
        <v>134</v>
      </c>
      <c r="V394" s="15">
        <f t="shared" si="24"/>
        <v>500</v>
      </c>
      <c r="W394" s="15" t="str">
        <f t="shared" si="25"/>
        <v/>
      </c>
      <c r="X394" s="6" t="s">
        <v>90</v>
      </c>
      <c r="Y394" s="7" t="s">
        <v>133</v>
      </c>
      <c r="Z394" s="10"/>
      <c r="AA394" s="6" t="s">
        <v>93</v>
      </c>
      <c r="AB394" s="7" t="s">
        <v>160</v>
      </c>
      <c r="AC394" s="10"/>
      <c r="AD394" s="9" t="str">
        <f t="shared" si="26"/>
        <v>oui</v>
      </c>
      <c r="AE394" s="9" t="str">
        <f t="shared" si="27"/>
        <v>TAE manquant</v>
      </c>
      <c r="AF394" s="7"/>
      <c r="AG394" s="10"/>
      <c r="AH394" s="10"/>
      <c r="AI394" s="7" t="s">
        <v>160</v>
      </c>
      <c r="AJ394" s="10"/>
      <c r="AK394" s="10"/>
      <c r="AL394" s="10"/>
      <c r="AM394" s="11" t="s">
        <v>131</v>
      </c>
      <c r="AN394" s="11" t="s">
        <v>131</v>
      </c>
      <c r="AO394" s="11" t="s">
        <v>131</v>
      </c>
      <c r="AP394" s="11" t="s">
        <v>131</v>
      </c>
      <c r="AQ394" s="11"/>
      <c r="AR394" s="7"/>
    </row>
    <row r="395" spans="1:44" ht="14.4" x14ac:dyDescent="0.3">
      <c r="A395" s="6" t="s">
        <v>270</v>
      </c>
      <c r="B395" s="6" t="s">
        <v>2114</v>
      </c>
      <c r="C395" s="6" t="s">
        <v>2145</v>
      </c>
      <c r="D395" s="6" t="s">
        <v>2116</v>
      </c>
      <c r="E395" s="6" t="s">
        <v>2146</v>
      </c>
      <c r="F395" s="7" t="s">
        <v>125</v>
      </c>
      <c r="G395" s="10"/>
      <c r="H395" s="7" t="s">
        <v>93</v>
      </c>
      <c r="I395" s="7"/>
      <c r="J395" s="10"/>
      <c r="K395" s="6" t="s">
        <v>90</v>
      </c>
      <c r="L395" s="7"/>
      <c r="M395" s="14"/>
      <c r="N395" s="7" t="s">
        <v>93</v>
      </c>
      <c r="O395" s="10"/>
      <c r="P395" s="7" t="s">
        <v>90</v>
      </c>
      <c r="Q395" s="15">
        <f>IF(P395="oui",MIN(Parametres!$B$4,MAX(Parametres!$B$3,IF(M395="",Parametres!$B$3,ROUND(M395*10%,0)))),"")</f>
        <v>0</v>
      </c>
      <c r="R395" s="7" t="s">
        <v>134</v>
      </c>
      <c r="S395" s="7" t="s">
        <v>90</v>
      </c>
      <c r="T395" s="15">
        <f>IF(S395="oui",Parametres!$B$5,"")</f>
        <v>500</v>
      </c>
      <c r="U395" s="7" t="s">
        <v>134</v>
      </c>
      <c r="V395" s="15">
        <f t="shared" si="24"/>
        <v>500</v>
      </c>
      <c r="W395" s="15" t="str">
        <f t="shared" si="25"/>
        <v/>
      </c>
      <c r="X395" s="6" t="s">
        <v>90</v>
      </c>
      <c r="Y395" s="7" t="s">
        <v>133</v>
      </c>
      <c r="Z395" s="10"/>
      <c r="AA395" s="6" t="s">
        <v>93</v>
      </c>
      <c r="AB395" s="7" t="s">
        <v>160</v>
      </c>
      <c r="AC395" s="10"/>
      <c r="AD395" s="9" t="str">
        <f t="shared" si="26"/>
        <v>oui</v>
      </c>
      <c r="AE395" s="9" t="str">
        <f t="shared" si="27"/>
        <v>TAE manquant</v>
      </c>
      <c r="AF395" s="7"/>
      <c r="AG395" s="10"/>
      <c r="AH395" s="10"/>
      <c r="AI395" s="7" t="s">
        <v>160</v>
      </c>
      <c r="AJ395" s="10"/>
      <c r="AK395" s="10"/>
      <c r="AL395" s="10"/>
      <c r="AM395" s="11" t="s">
        <v>131</v>
      </c>
      <c r="AN395" s="11" t="s">
        <v>131</v>
      </c>
      <c r="AO395" s="11" t="s">
        <v>131</v>
      </c>
      <c r="AP395" s="11" t="s">
        <v>131</v>
      </c>
      <c r="AQ395" s="11"/>
      <c r="AR395" s="7"/>
    </row>
    <row r="396" spans="1:44" ht="14.4" x14ac:dyDescent="0.3">
      <c r="A396" s="6" t="s">
        <v>270</v>
      </c>
      <c r="B396" s="6" t="s">
        <v>2114</v>
      </c>
      <c r="C396" s="6" t="s">
        <v>2151</v>
      </c>
      <c r="D396" s="6" t="s">
        <v>2116</v>
      </c>
      <c r="E396" s="6" t="s">
        <v>2152</v>
      </c>
      <c r="F396" s="7" t="s">
        <v>125</v>
      </c>
      <c r="G396" s="10"/>
      <c r="H396" s="7" t="s">
        <v>93</v>
      </c>
      <c r="I396" s="7"/>
      <c r="J396" s="10"/>
      <c r="K396" s="6" t="s">
        <v>90</v>
      </c>
      <c r="L396" s="7"/>
      <c r="M396" s="14"/>
      <c r="N396" s="7" t="s">
        <v>93</v>
      </c>
      <c r="O396" s="10"/>
      <c r="P396" s="7" t="s">
        <v>90</v>
      </c>
      <c r="Q396" s="15">
        <f>IF(P396="oui",MIN(Parametres!$B$4,MAX(Parametres!$B$3,IF(M396="",Parametres!$B$3,ROUND(M396*10%,0)))),"")</f>
        <v>0</v>
      </c>
      <c r="R396" s="7" t="s">
        <v>134</v>
      </c>
      <c r="S396" s="7" t="s">
        <v>90</v>
      </c>
      <c r="T396" s="15">
        <f>IF(S396="oui",Parametres!$B$5,"")</f>
        <v>500</v>
      </c>
      <c r="U396" s="7" t="s">
        <v>134</v>
      </c>
      <c r="V396" s="15">
        <f t="shared" si="24"/>
        <v>500</v>
      </c>
      <c r="W396" s="15" t="str">
        <f t="shared" si="25"/>
        <v/>
      </c>
      <c r="X396" s="6" t="s">
        <v>90</v>
      </c>
      <c r="Y396" s="7" t="s">
        <v>133</v>
      </c>
      <c r="Z396" s="10"/>
      <c r="AA396" s="6" t="s">
        <v>93</v>
      </c>
      <c r="AB396" s="7" t="s">
        <v>160</v>
      </c>
      <c r="AC396" s="10"/>
      <c r="AD396" s="9" t="str">
        <f t="shared" si="26"/>
        <v>oui</v>
      </c>
      <c r="AE396" s="9" t="str">
        <f t="shared" si="27"/>
        <v>TAE manquant</v>
      </c>
      <c r="AF396" s="7"/>
      <c r="AG396" s="10"/>
      <c r="AH396" s="10"/>
      <c r="AI396" s="7" t="s">
        <v>160</v>
      </c>
      <c r="AJ396" s="10"/>
      <c r="AK396" s="10"/>
      <c r="AL396" s="10"/>
      <c r="AM396" s="11" t="s">
        <v>131</v>
      </c>
      <c r="AN396" s="11" t="s">
        <v>131</v>
      </c>
      <c r="AO396" s="11" t="s">
        <v>131</v>
      </c>
      <c r="AP396" s="11" t="s">
        <v>131</v>
      </c>
      <c r="AQ396" s="11"/>
      <c r="AR396" s="7"/>
    </row>
    <row r="397" spans="1:44" ht="14.4" x14ac:dyDescent="0.3">
      <c r="A397" s="6" t="s">
        <v>270</v>
      </c>
      <c r="B397" s="6" t="s">
        <v>2114</v>
      </c>
      <c r="C397" s="6" t="s">
        <v>2155</v>
      </c>
      <c r="D397" s="6" t="s">
        <v>2116</v>
      </c>
      <c r="E397" s="6" t="s">
        <v>2156</v>
      </c>
      <c r="F397" s="7" t="s">
        <v>125</v>
      </c>
      <c r="G397" s="10"/>
      <c r="H397" s="7" t="s">
        <v>93</v>
      </c>
      <c r="I397" s="7"/>
      <c r="J397" s="10"/>
      <c r="K397" s="6" t="s">
        <v>90</v>
      </c>
      <c r="L397" s="7"/>
      <c r="M397" s="14"/>
      <c r="N397" s="7" t="s">
        <v>93</v>
      </c>
      <c r="O397" s="10"/>
      <c r="P397" s="7" t="s">
        <v>90</v>
      </c>
      <c r="Q397" s="15">
        <f>IF(P397="oui",MIN(Parametres!$B$4,MAX(Parametres!$B$3,IF(M397="",Parametres!$B$3,ROUND(M397*10%,0)))),"")</f>
        <v>0</v>
      </c>
      <c r="R397" s="7" t="s">
        <v>134</v>
      </c>
      <c r="S397" s="7" t="s">
        <v>90</v>
      </c>
      <c r="T397" s="15">
        <f>IF(S397="oui",Parametres!$B$5,"")</f>
        <v>500</v>
      </c>
      <c r="U397" s="7" t="s">
        <v>134</v>
      </c>
      <c r="V397" s="15">
        <f t="shared" si="24"/>
        <v>500</v>
      </c>
      <c r="W397" s="15" t="str">
        <f t="shared" si="25"/>
        <v/>
      </c>
      <c r="X397" s="6" t="s">
        <v>90</v>
      </c>
      <c r="Y397" s="7" t="s">
        <v>133</v>
      </c>
      <c r="Z397" s="10"/>
      <c r="AA397" s="6" t="s">
        <v>93</v>
      </c>
      <c r="AB397" s="7" t="s">
        <v>160</v>
      </c>
      <c r="AC397" s="10"/>
      <c r="AD397" s="9" t="str">
        <f t="shared" si="26"/>
        <v>oui</v>
      </c>
      <c r="AE397" s="9" t="str">
        <f t="shared" si="27"/>
        <v>TAE manquant</v>
      </c>
      <c r="AF397" s="7"/>
      <c r="AG397" s="10"/>
      <c r="AH397" s="10"/>
      <c r="AI397" s="7" t="s">
        <v>160</v>
      </c>
      <c r="AJ397" s="10"/>
      <c r="AK397" s="10"/>
      <c r="AL397" s="10"/>
      <c r="AM397" s="11" t="s">
        <v>131</v>
      </c>
      <c r="AN397" s="11" t="s">
        <v>131</v>
      </c>
      <c r="AO397" s="11" t="s">
        <v>131</v>
      </c>
      <c r="AP397" s="11" t="s">
        <v>131</v>
      </c>
      <c r="AQ397" s="11"/>
      <c r="AR397" s="7"/>
    </row>
    <row r="398" spans="1:44" ht="14.4" x14ac:dyDescent="0.3">
      <c r="A398" s="6" t="s">
        <v>270</v>
      </c>
      <c r="B398" s="6" t="s">
        <v>2114</v>
      </c>
      <c r="C398" s="6" t="s">
        <v>2160</v>
      </c>
      <c r="D398" s="6" t="s">
        <v>2116</v>
      </c>
      <c r="E398" s="6" t="s">
        <v>2161</v>
      </c>
      <c r="F398" s="7" t="s">
        <v>125</v>
      </c>
      <c r="G398" s="10"/>
      <c r="H398" s="7" t="s">
        <v>93</v>
      </c>
      <c r="I398" s="7"/>
      <c r="J398" s="10"/>
      <c r="K398" s="6" t="s">
        <v>90</v>
      </c>
      <c r="L398" s="7"/>
      <c r="M398" s="14"/>
      <c r="N398" s="7" t="s">
        <v>93</v>
      </c>
      <c r="O398" s="10"/>
      <c r="P398" s="7" t="s">
        <v>90</v>
      </c>
      <c r="Q398" s="15">
        <f>IF(P398="oui",MIN(Parametres!$B$4,MAX(Parametres!$B$3,IF(M398="",Parametres!$B$3,ROUND(M398*10%,0)))),"")</f>
        <v>0</v>
      </c>
      <c r="R398" s="7" t="s">
        <v>134</v>
      </c>
      <c r="S398" s="7" t="s">
        <v>90</v>
      </c>
      <c r="T398" s="15">
        <f>IF(S398="oui",Parametres!$B$5,"")</f>
        <v>500</v>
      </c>
      <c r="U398" s="7" t="s">
        <v>134</v>
      </c>
      <c r="V398" s="15">
        <f t="shared" si="24"/>
        <v>500</v>
      </c>
      <c r="W398" s="15" t="str">
        <f t="shared" si="25"/>
        <v/>
      </c>
      <c r="X398" s="6" t="s">
        <v>90</v>
      </c>
      <c r="Y398" s="7" t="s">
        <v>133</v>
      </c>
      <c r="Z398" s="10"/>
      <c r="AA398" s="6" t="s">
        <v>93</v>
      </c>
      <c r="AB398" s="7" t="s">
        <v>160</v>
      </c>
      <c r="AC398" s="10"/>
      <c r="AD398" s="9" t="str">
        <f t="shared" si="26"/>
        <v>oui</v>
      </c>
      <c r="AE398" s="9" t="str">
        <f t="shared" si="27"/>
        <v>TAE manquant</v>
      </c>
      <c r="AF398" s="7"/>
      <c r="AG398" s="10"/>
      <c r="AH398" s="10"/>
      <c r="AI398" s="7" t="s">
        <v>160</v>
      </c>
      <c r="AJ398" s="10"/>
      <c r="AK398" s="10"/>
      <c r="AL398" s="10"/>
      <c r="AM398" s="11" t="s">
        <v>131</v>
      </c>
      <c r="AN398" s="11" t="s">
        <v>131</v>
      </c>
      <c r="AO398" s="11" t="s">
        <v>131</v>
      </c>
      <c r="AP398" s="11" t="s">
        <v>131</v>
      </c>
      <c r="AQ398" s="11"/>
      <c r="AR398" s="7"/>
    </row>
    <row r="399" spans="1:44" ht="14.4" x14ac:dyDescent="0.3">
      <c r="A399" s="6" t="s">
        <v>270</v>
      </c>
      <c r="B399" s="6" t="s">
        <v>2114</v>
      </c>
      <c r="C399" s="6" t="s">
        <v>2165</v>
      </c>
      <c r="D399" s="6" t="s">
        <v>2116</v>
      </c>
      <c r="E399" s="6" t="s">
        <v>2166</v>
      </c>
      <c r="F399" s="7" t="s">
        <v>125</v>
      </c>
      <c r="G399" s="10"/>
      <c r="H399" s="7" t="s">
        <v>93</v>
      </c>
      <c r="I399" s="7"/>
      <c r="J399" s="10"/>
      <c r="K399" s="6" t="s">
        <v>90</v>
      </c>
      <c r="L399" s="7"/>
      <c r="M399" s="14"/>
      <c r="N399" s="7" t="s">
        <v>93</v>
      </c>
      <c r="O399" s="10"/>
      <c r="P399" s="7" t="s">
        <v>90</v>
      </c>
      <c r="Q399" s="15">
        <f>IF(P399="oui",MIN(Parametres!$B$4,MAX(Parametres!$B$3,IF(M399="",Parametres!$B$3,ROUND(M399*10%,0)))),"")</f>
        <v>0</v>
      </c>
      <c r="R399" s="7" t="s">
        <v>134</v>
      </c>
      <c r="S399" s="7" t="s">
        <v>90</v>
      </c>
      <c r="T399" s="15">
        <f>IF(S399="oui",Parametres!$B$5,"")</f>
        <v>500</v>
      </c>
      <c r="U399" s="7" t="s">
        <v>134</v>
      </c>
      <c r="V399" s="15">
        <f t="shared" si="24"/>
        <v>500</v>
      </c>
      <c r="W399" s="15" t="str">
        <f t="shared" si="25"/>
        <v/>
      </c>
      <c r="X399" s="6" t="s">
        <v>90</v>
      </c>
      <c r="Y399" s="7" t="s">
        <v>133</v>
      </c>
      <c r="Z399" s="10"/>
      <c r="AA399" s="6" t="s">
        <v>93</v>
      </c>
      <c r="AB399" s="7" t="s">
        <v>160</v>
      </c>
      <c r="AC399" s="10"/>
      <c r="AD399" s="9" t="str">
        <f t="shared" si="26"/>
        <v>oui</v>
      </c>
      <c r="AE399" s="9" t="str">
        <f t="shared" si="27"/>
        <v>TAE manquant</v>
      </c>
      <c r="AF399" s="7"/>
      <c r="AG399" s="10"/>
      <c r="AH399" s="10"/>
      <c r="AI399" s="7" t="s">
        <v>160</v>
      </c>
      <c r="AJ399" s="10"/>
      <c r="AK399" s="10"/>
      <c r="AL399" s="10"/>
      <c r="AM399" s="11" t="s">
        <v>131</v>
      </c>
      <c r="AN399" s="11" t="s">
        <v>131</v>
      </c>
      <c r="AO399" s="11" t="s">
        <v>131</v>
      </c>
      <c r="AP399" s="11" t="s">
        <v>131</v>
      </c>
      <c r="AQ399" s="11"/>
      <c r="AR399" s="7"/>
    </row>
    <row r="400" spans="1:44" ht="14.4" x14ac:dyDescent="0.3">
      <c r="A400" s="6" t="s">
        <v>270</v>
      </c>
      <c r="B400" s="6" t="s">
        <v>2114</v>
      </c>
      <c r="C400" s="6" t="s">
        <v>2168</v>
      </c>
      <c r="D400" s="6" t="s">
        <v>2116</v>
      </c>
      <c r="E400" s="6" t="s">
        <v>2169</v>
      </c>
      <c r="F400" s="7" t="s">
        <v>125</v>
      </c>
      <c r="G400" s="10"/>
      <c r="H400" s="7" t="s">
        <v>93</v>
      </c>
      <c r="I400" s="7"/>
      <c r="J400" s="10"/>
      <c r="K400" s="6" t="s">
        <v>90</v>
      </c>
      <c r="L400" s="7"/>
      <c r="M400" s="14"/>
      <c r="N400" s="7" t="s">
        <v>93</v>
      </c>
      <c r="O400" s="10"/>
      <c r="P400" s="7" t="s">
        <v>90</v>
      </c>
      <c r="Q400" s="15">
        <f>IF(P400="oui",MIN(Parametres!$B$4,MAX(Parametres!$B$3,IF(M400="",Parametres!$B$3,ROUND(M400*10%,0)))),"")</f>
        <v>0</v>
      </c>
      <c r="R400" s="7" t="s">
        <v>134</v>
      </c>
      <c r="S400" s="7" t="s">
        <v>90</v>
      </c>
      <c r="T400" s="15">
        <f>IF(S400="oui",Parametres!$B$5,"")</f>
        <v>500</v>
      </c>
      <c r="U400" s="7" t="s">
        <v>134</v>
      </c>
      <c r="V400" s="15">
        <f t="shared" si="24"/>
        <v>500</v>
      </c>
      <c r="W400" s="15" t="str">
        <f t="shared" si="25"/>
        <v/>
      </c>
      <c r="X400" s="6" t="s">
        <v>90</v>
      </c>
      <c r="Y400" s="7" t="s">
        <v>133</v>
      </c>
      <c r="Z400" s="10"/>
      <c r="AA400" s="6" t="s">
        <v>93</v>
      </c>
      <c r="AB400" s="7" t="s">
        <v>160</v>
      </c>
      <c r="AC400" s="10"/>
      <c r="AD400" s="9" t="str">
        <f t="shared" si="26"/>
        <v>oui</v>
      </c>
      <c r="AE400" s="9" t="str">
        <f t="shared" si="27"/>
        <v>TAE manquant</v>
      </c>
      <c r="AF400" s="7"/>
      <c r="AG400" s="10"/>
      <c r="AH400" s="10"/>
      <c r="AI400" s="7" t="s">
        <v>160</v>
      </c>
      <c r="AJ400" s="10"/>
      <c r="AK400" s="10"/>
      <c r="AL400" s="10"/>
      <c r="AM400" s="11" t="s">
        <v>131</v>
      </c>
      <c r="AN400" s="11" t="s">
        <v>131</v>
      </c>
      <c r="AO400" s="11" t="s">
        <v>131</v>
      </c>
      <c r="AP400" s="11" t="s">
        <v>131</v>
      </c>
      <c r="AQ400" s="11"/>
      <c r="AR400" s="7"/>
    </row>
    <row r="401" spans="1:44" ht="14.4" x14ac:dyDescent="0.3">
      <c r="A401" s="6" t="s">
        <v>270</v>
      </c>
      <c r="B401" s="6" t="s">
        <v>2114</v>
      </c>
      <c r="C401" s="6" t="s">
        <v>2174</v>
      </c>
      <c r="D401" s="6" t="s">
        <v>2116</v>
      </c>
      <c r="E401" s="6" t="s">
        <v>2175</v>
      </c>
      <c r="F401" s="7" t="s">
        <v>125</v>
      </c>
      <c r="G401" s="10"/>
      <c r="H401" s="7" t="s">
        <v>93</v>
      </c>
      <c r="I401" s="7"/>
      <c r="J401" s="10"/>
      <c r="K401" s="6" t="s">
        <v>90</v>
      </c>
      <c r="L401" s="7"/>
      <c r="M401" s="14"/>
      <c r="N401" s="7" t="s">
        <v>93</v>
      </c>
      <c r="O401" s="10"/>
      <c r="P401" s="7" t="s">
        <v>90</v>
      </c>
      <c r="Q401" s="15">
        <f>IF(P401="oui",MIN(Parametres!$B$4,MAX(Parametres!$B$3,IF(M401="",Parametres!$B$3,ROUND(M401*10%,0)))),"")</f>
        <v>0</v>
      </c>
      <c r="R401" s="7" t="s">
        <v>134</v>
      </c>
      <c r="S401" s="7" t="s">
        <v>90</v>
      </c>
      <c r="T401" s="15">
        <f>IF(S401="oui",Parametres!$B$5,"")</f>
        <v>500</v>
      </c>
      <c r="U401" s="7" t="s">
        <v>134</v>
      </c>
      <c r="V401" s="15">
        <f t="shared" si="24"/>
        <v>500</v>
      </c>
      <c r="W401" s="15" t="str">
        <f t="shared" si="25"/>
        <v/>
      </c>
      <c r="X401" s="6" t="s">
        <v>90</v>
      </c>
      <c r="Y401" s="7" t="s">
        <v>133</v>
      </c>
      <c r="Z401" s="10"/>
      <c r="AA401" s="6" t="s">
        <v>93</v>
      </c>
      <c r="AB401" s="7" t="s">
        <v>160</v>
      </c>
      <c r="AC401" s="10"/>
      <c r="AD401" s="9" t="str">
        <f t="shared" si="26"/>
        <v>oui</v>
      </c>
      <c r="AE401" s="9" t="str">
        <f t="shared" si="27"/>
        <v>TAE manquant</v>
      </c>
      <c r="AF401" s="7"/>
      <c r="AG401" s="10"/>
      <c r="AH401" s="10"/>
      <c r="AI401" s="7" t="s">
        <v>160</v>
      </c>
      <c r="AJ401" s="10"/>
      <c r="AK401" s="10"/>
      <c r="AL401" s="10"/>
      <c r="AM401" s="11" t="s">
        <v>131</v>
      </c>
      <c r="AN401" s="11" t="s">
        <v>131</v>
      </c>
      <c r="AO401" s="11" t="s">
        <v>131</v>
      </c>
      <c r="AP401" s="11" t="s">
        <v>131</v>
      </c>
      <c r="AQ401" s="11"/>
      <c r="AR401" s="7"/>
    </row>
    <row r="402" spans="1:44" ht="14.4" x14ac:dyDescent="0.3">
      <c r="A402" s="6" t="s">
        <v>270</v>
      </c>
      <c r="B402" s="6" t="s">
        <v>2114</v>
      </c>
      <c r="C402" s="6" t="s">
        <v>2177</v>
      </c>
      <c r="D402" s="6" t="s">
        <v>2116</v>
      </c>
      <c r="E402" s="6" t="s">
        <v>2178</v>
      </c>
      <c r="F402" s="7" t="s">
        <v>125</v>
      </c>
      <c r="G402" s="10"/>
      <c r="H402" s="7" t="s">
        <v>93</v>
      </c>
      <c r="I402" s="7"/>
      <c r="J402" s="10"/>
      <c r="K402" s="6" t="s">
        <v>90</v>
      </c>
      <c r="L402" s="7"/>
      <c r="M402" s="14"/>
      <c r="N402" s="7" t="s">
        <v>93</v>
      </c>
      <c r="O402" s="10"/>
      <c r="P402" s="7" t="s">
        <v>90</v>
      </c>
      <c r="Q402" s="15">
        <f>IF(P402="oui",MIN(Parametres!$B$4,MAX(Parametres!$B$3,IF(M402="",Parametres!$B$3,ROUND(M402*10%,0)))),"")</f>
        <v>0</v>
      </c>
      <c r="R402" s="7" t="s">
        <v>134</v>
      </c>
      <c r="S402" s="7" t="s">
        <v>90</v>
      </c>
      <c r="T402" s="15">
        <f>IF(S402="oui",Parametres!$B$5,"")</f>
        <v>500</v>
      </c>
      <c r="U402" s="7" t="s">
        <v>134</v>
      </c>
      <c r="V402" s="15">
        <f t="shared" si="24"/>
        <v>500</v>
      </c>
      <c r="W402" s="15" t="str">
        <f t="shared" si="25"/>
        <v/>
      </c>
      <c r="X402" s="6" t="s">
        <v>90</v>
      </c>
      <c r="Y402" s="7" t="s">
        <v>133</v>
      </c>
      <c r="Z402" s="10"/>
      <c r="AA402" s="6" t="s">
        <v>93</v>
      </c>
      <c r="AB402" s="7" t="s">
        <v>160</v>
      </c>
      <c r="AC402" s="10"/>
      <c r="AD402" s="9" t="str">
        <f t="shared" si="26"/>
        <v>oui</v>
      </c>
      <c r="AE402" s="9" t="str">
        <f t="shared" si="27"/>
        <v>TAE manquant</v>
      </c>
      <c r="AF402" s="7"/>
      <c r="AG402" s="10"/>
      <c r="AH402" s="10"/>
      <c r="AI402" s="7" t="s">
        <v>160</v>
      </c>
      <c r="AJ402" s="10"/>
      <c r="AK402" s="10"/>
      <c r="AL402" s="10"/>
      <c r="AM402" s="11" t="s">
        <v>131</v>
      </c>
      <c r="AN402" s="11" t="s">
        <v>131</v>
      </c>
      <c r="AO402" s="11" t="s">
        <v>131</v>
      </c>
      <c r="AP402" s="11" t="s">
        <v>131</v>
      </c>
      <c r="AQ402" s="11"/>
      <c r="AR402" s="7"/>
    </row>
    <row r="403" spans="1:44" ht="14.4" x14ac:dyDescent="0.3">
      <c r="A403" s="6" t="s">
        <v>270</v>
      </c>
      <c r="B403" s="6" t="s">
        <v>2114</v>
      </c>
      <c r="C403" s="6" t="s">
        <v>2183</v>
      </c>
      <c r="D403" s="6" t="s">
        <v>2116</v>
      </c>
      <c r="E403" s="6" t="s">
        <v>2184</v>
      </c>
      <c r="F403" s="7" t="s">
        <v>125</v>
      </c>
      <c r="G403" s="10"/>
      <c r="H403" s="7" t="s">
        <v>93</v>
      </c>
      <c r="I403" s="7"/>
      <c r="J403" s="10"/>
      <c r="K403" s="6" t="s">
        <v>90</v>
      </c>
      <c r="L403" s="7"/>
      <c r="M403" s="14"/>
      <c r="N403" s="7" t="s">
        <v>93</v>
      </c>
      <c r="O403" s="10"/>
      <c r="P403" s="7" t="s">
        <v>90</v>
      </c>
      <c r="Q403" s="15">
        <f>IF(P403="oui",MIN(Parametres!$B$4,MAX(Parametres!$B$3,IF(M403="",Parametres!$B$3,ROUND(M403*10%,0)))),"")</f>
        <v>0</v>
      </c>
      <c r="R403" s="7" t="s">
        <v>134</v>
      </c>
      <c r="S403" s="7" t="s">
        <v>90</v>
      </c>
      <c r="T403" s="15">
        <f>IF(S403="oui",Parametres!$B$5,"")</f>
        <v>500</v>
      </c>
      <c r="U403" s="7" t="s">
        <v>134</v>
      </c>
      <c r="V403" s="15">
        <f t="shared" si="24"/>
        <v>500</v>
      </c>
      <c r="W403" s="15" t="str">
        <f t="shared" si="25"/>
        <v/>
      </c>
      <c r="X403" s="6" t="s">
        <v>90</v>
      </c>
      <c r="Y403" s="7" t="s">
        <v>133</v>
      </c>
      <c r="Z403" s="10"/>
      <c r="AA403" s="6" t="s">
        <v>93</v>
      </c>
      <c r="AB403" s="7" t="s">
        <v>160</v>
      </c>
      <c r="AC403" s="10"/>
      <c r="AD403" s="9" t="str">
        <f t="shared" si="26"/>
        <v>oui</v>
      </c>
      <c r="AE403" s="9" t="str">
        <f t="shared" si="27"/>
        <v>TAE manquant</v>
      </c>
      <c r="AF403" s="7"/>
      <c r="AG403" s="10"/>
      <c r="AH403" s="10"/>
      <c r="AI403" s="7" t="s">
        <v>160</v>
      </c>
      <c r="AJ403" s="10"/>
      <c r="AK403" s="10"/>
      <c r="AL403" s="10"/>
      <c r="AM403" s="11" t="s">
        <v>131</v>
      </c>
      <c r="AN403" s="11" t="s">
        <v>131</v>
      </c>
      <c r="AO403" s="11" t="s">
        <v>131</v>
      </c>
      <c r="AP403" s="11" t="s">
        <v>131</v>
      </c>
      <c r="AQ403" s="11"/>
      <c r="AR403" s="7"/>
    </row>
    <row r="404" spans="1:44" ht="14.4" x14ac:dyDescent="0.3">
      <c r="A404" s="6" t="s">
        <v>270</v>
      </c>
      <c r="B404" s="6" t="s">
        <v>2114</v>
      </c>
      <c r="C404" s="6" t="s">
        <v>2189</v>
      </c>
      <c r="D404" s="6" t="s">
        <v>2116</v>
      </c>
      <c r="E404" s="6" t="s">
        <v>2190</v>
      </c>
      <c r="F404" s="7" t="s">
        <v>125</v>
      </c>
      <c r="G404" s="10"/>
      <c r="H404" s="7" t="s">
        <v>93</v>
      </c>
      <c r="I404" s="7"/>
      <c r="J404" s="10"/>
      <c r="K404" s="6" t="s">
        <v>90</v>
      </c>
      <c r="L404" s="7"/>
      <c r="M404" s="14"/>
      <c r="N404" s="7" t="s">
        <v>93</v>
      </c>
      <c r="O404" s="10"/>
      <c r="P404" s="7" t="s">
        <v>90</v>
      </c>
      <c r="Q404" s="15">
        <f>IF(P404="oui",MIN(Parametres!$B$4,MAX(Parametres!$B$3,IF(M404="",Parametres!$B$3,ROUND(M404*10%,0)))),"")</f>
        <v>0</v>
      </c>
      <c r="R404" s="7" t="s">
        <v>134</v>
      </c>
      <c r="S404" s="7" t="s">
        <v>90</v>
      </c>
      <c r="T404" s="15">
        <f>IF(S404="oui",Parametres!$B$5,"")</f>
        <v>500</v>
      </c>
      <c r="U404" s="7" t="s">
        <v>134</v>
      </c>
      <c r="V404" s="15">
        <f t="shared" si="24"/>
        <v>500</v>
      </c>
      <c r="W404" s="15" t="str">
        <f t="shared" si="25"/>
        <v/>
      </c>
      <c r="X404" s="6" t="s">
        <v>90</v>
      </c>
      <c r="Y404" s="7" t="s">
        <v>133</v>
      </c>
      <c r="Z404" s="10"/>
      <c r="AA404" s="6" t="s">
        <v>93</v>
      </c>
      <c r="AB404" s="7" t="s">
        <v>160</v>
      </c>
      <c r="AC404" s="10"/>
      <c r="AD404" s="9" t="str">
        <f t="shared" si="26"/>
        <v>oui</v>
      </c>
      <c r="AE404" s="9" t="str">
        <f t="shared" si="27"/>
        <v>TAE manquant</v>
      </c>
      <c r="AF404" s="7"/>
      <c r="AG404" s="10"/>
      <c r="AH404" s="10"/>
      <c r="AI404" s="7" t="s">
        <v>160</v>
      </c>
      <c r="AJ404" s="10"/>
      <c r="AK404" s="10"/>
      <c r="AL404" s="10"/>
      <c r="AM404" s="11" t="s">
        <v>131</v>
      </c>
      <c r="AN404" s="11" t="s">
        <v>131</v>
      </c>
      <c r="AO404" s="11" t="s">
        <v>131</v>
      </c>
      <c r="AP404" s="11" t="s">
        <v>131</v>
      </c>
      <c r="AQ404" s="11"/>
      <c r="AR404" s="7"/>
    </row>
    <row r="405" spans="1:44" ht="14.4" x14ac:dyDescent="0.3">
      <c r="A405" s="6" t="s">
        <v>270</v>
      </c>
      <c r="B405" s="6" t="s">
        <v>2114</v>
      </c>
      <c r="C405" s="6" t="s">
        <v>2195</v>
      </c>
      <c r="D405" s="6" t="s">
        <v>2116</v>
      </c>
      <c r="E405" s="6" t="s">
        <v>2196</v>
      </c>
      <c r="F405" s="7" t="s">
        <v>125</v>
      </c>
      <c r="G405" s="10"/>
      <c r="H405" s="7" t="s">
        <v>93</v>
      </c>
      <c r="I405" s="7"/>
      <c r="J405" s="10"/>
      <c r="K405" s="6" t="s">
        <v>90</v>
      </c>
      <c r="L405" s="7"/>
      <c r="M405" s="14"/>
      <c r="N405" s="7" t="s">
        <v>93</v>
      </c>
      <c r="O405" s="10"/>
      <c r="P405" s="7" t="s">
        <v>90</v>
      </c>
      <c r="Q405" s="15">
        <f>IF(P405="oui",MIN(Parametres!$B$4,MAX(Parametres!$B$3,IF(M405="",Parametres!$B$3,ROUND(M405*10%,0)))),"")</f>
        <v>0</v>
      </c>
      <c r="R405" s="7" t="s">
        <v>134</v>
      </c>
      <c r="S405" s="7" t="s">
        <v>90</v>
      </c>
      <c r="T405" s="15">
        <f>IF(S405="oui",Parametres!$B$5,"")</f>
        <v>500</v>
      </c>
      <c r="U405" s="7" t="s">
        <v>134</v>
      </c>
      <c r="V405" s="15">
        <f t="shared" si="24"/>
        <v>500</v>
      </c>
      <c r="W405" s="15" t="str">
        <f t="shared" si="25"/>
        <v/>
      </c>
      <c r="X405" s="6" t="s">
        <v>90</v>
      </c>
      <c r="Y405" s="7" t="s">
        <v>133</v>
      </c>
      <c r="Z405" s="10"/>
      <c r="AA405" s="6" t="s">
        <v>93</v>
      </c>
      <c r="AB405" s="7" t="s">
        <v>160</v>
      </c>
      <c r="AC405" s="10"/>
      <c r="AD405" s="9" t="str">
        <f t="shared" si="26"/>
        <v>oui</v>
      </c>
      <c r="AE405" s="9" t="str">
        <f t="shared" si="27"/>
        <v>TAE manquant</v>
      </c>
      <c r="AF405" s="7"/>
      <c r="AG405" s="10"/>
      <c r="AH405" s="10"/>
      <c r="AI405" s="7" t="s">
        <v>160</v>
      </c>
      <c r="AJ405" s="10"/>
      <c r="AK405" s="10"/>
      <c r="AL405" s="10"/>
      <c r="AM405" s="11" t="s">
        <v>131</v>
      </c>
      <c r="AN405" s="11" t="s">
        <v>131</v>
      </c>
      <c r="AO405" s="11" t="s">
        <v>131</v>
      </c>
      <c r="AP405" s="11" t="s">
        <v>131</v>
      </c>
      <c r="AQ405" s="11"/>
      <c r="AR405" s="7"/>
    </row>
    <row r="406" spans="1:44" ht="14.4" x14ac:dyDescent="0.3">
      <c r="A406" s="6" t="s">
        <v>270</v>
      </c>
      <c r="B406" s="6" t="s">
        <v>2114</v>
      </c>
      <c r="C406" s="6" t="s">
        <v>2200</v>
      </c>
      <c r="D406" s="6" t="s">
        <v>2116</v>
      </c>
      <c r="E406" s="6" t="s">
        <v>2201</v>
      </c>
      <c r="F406" s="7" t="s">
        <v>125</v>
      </c>
      <c r="G406" s="10"/>
      <c r="H406" s="7" t="s">
        <v>93</v>
      </c>
      <c r="I406" s="7"/>
      <c r="J406" s="10"/>
      <c r="K406" s="6" t="s">
        <v>90</v>
      </c>
      <c r="L406" s="7"/>
      <c r="M406" s="14"/>
      <c r="N406" s="7" t="s">
        <v>93</v>
      </c>
      <c r="O406" s="10"/>
      <c r="P406" s="7" t="s">
        <v>90</v>
      </c>
      <c r="Q406" s="15">
        <f>IF(P406="oui",MIN(Parametres!$B$4,MAX(Parametres!$B$3,IF(M406="",Parametres!$B$3,ROUND(M406*10%,0)))),"")</f>
        <v>0</v>
      </c>
      <c r="R406" s="7" t="s">
        <v>134</v>
      </c>
      <c r="S406" s="7" t="s">
        <v>90</v>
      </c>
      <c r="T406" s="15">
        <f>IF(S406="oui",Parametres!$B$5,"")</f>
        <v>500</v>
      </c>
      <c r="U406" s="7" t="s">
        <v>134</v>
      </c>
      <c r="V406" s="15">
        <f t="shared" si="24"/>
        <v>500</v>
      </c>
      <c r="W406" s="15" t="str">
        <f t="shared" si="25"/>
        <v/>
      </c>
      <c r="X406" s="6" t="s">
        <v>90</v>
      </c>
      <c r="Y406" s="7" t="s">
        <v>133</v>
      </c>
      <c r="Z406" s="10"/>
      <c r="AA406" s="6" t="s">
        <v>93</v>
      </c>
      <c r="AB406" s="7" t="s">
        <v>160</v>
      </c>
      <c r="AC406" s="10"/>
      <c r="AD406" s="9" t="str">
        <f t="shared" si="26"/>
        <v>oui</v>
      </c>
      <c r="AE406" s="9" t="str">
        <f t="shared" si="27"/>
        <v>TAE manquant</v>
      </c>
      <c r="AF406" s="7"/>
      <c r="AG406" s="10"/>
      <c r="AH406" s="10"/>
      <c r="AI406" s="7" t="s">
        <v>160</v>
      </c>
      <c r="AJ406" s="10"/>
      <c r="AK406" s="10"/>
      <c r="AL406" s="10"/>
      <c r="AM406" s="11" t="s">
        <v>131</v>
      </c>
      <c r="AN406" s="11" t="s">
        <v>131</v>
      </c>
      <c r="AO406" s="11" t="s">
        <v>131</v>
      </c>
      <c r="AP406" s="11" t="s">
        <v>131</v>
      </c>
      <c r="AQ406" s="11"/>
      <c r="AR406" s="7"/>
    </row>
    <row r="407" spans="1:44" ht="14.4" x14ac:dyDescent="0.3">
      <c r="A407" s="6" t="s">
        <v>270</v>
      </c>
      <c r="B407" s="6" t="s">
        <v>2114</v>
      </c>
      <c r="C407" s="6" t="s">
        <v>2205</v>
      </c>
      <c r="D407" s="6" t="s">
        <v>2116</v>
      </c>
      <c r="E407" s="6" t="s">
        <v>2206</v>
      </c>
      <c r="F407" s="7" t="s">
        <v>125</v>
      </c>
      <c r="G407" s="10"/>
      <c r="H407" s="7" t="s">
        <v>93</v>
      </c>
      <c r="I407" s="7"/>
      <c r="J407" s="10"/>
      <c r="K407" s="6" t="s">
        <v>90</v>
      </c>
      <c r="L407" s="7"/>
      <c r="M407" s="14"/>
      <c r="N407" s="7" t="s">
        <v>93</v>
      </c>
      <c r="O407" s="10"/>
      <c r="P407" s="7" t="s">
        <v>90</v>
      </c>
      <c r="Q407" s="15">
        <f>IF(P407="oui",MIN(Parametres!$B$4,MAX(Parametres!$B$3,IF(M407="",Parametres!$B$3,ROUND(M407*10%,0)))),"")</f>
        <v>0</v>
      </c>
      <c r="R407" s="7" t="s">
        <v>134</v>
      </c>
      <c r="S407" s="7" t="s">
        <v>90</v>
      </c>
      <c r="T407" s="15">
        <f>IF(S407="oui",Parametres!$B$5,"")</f>
        <v>500</v>
      </c>
      <c r="U407" s="7" t="s">
        <v>134</v>
      </c>
      <c r="V407" s="15">
        <f t="shared" si="24"/>
        <v>500</v>
      </c>
      <c r="W407" s="15" t="str">
        <f t="shared" si="25"/>
        <v/>
      </c>
      <c r="X407" s="6" t="s">
        <v>90</v>
      </c>
      <c r="Y407" s="7" t="s">
        <v>133</v>
      </c>
      <c r="Z407" s="10"/>
      <c r="AA407" s="6" t="s">
        <v>93</v>
      </c>
      <c r="AB407" s="7" t="s">
        <v>160</v>
      </c>
      <c r="AC407" s="10"/>
      <c r="AD407" s="9" t="str">
        <f t="shared" si="26"/>
        <v>oui</v>
      </c>
      <c r="AE407" s="9" t="str">
        <f t="shared" si="27"/>
        <v>TAE manquant</v>
      </c>
      <c r="AF407" s="7"/>
      <c r="AG407" s="10"/>
      <c r="AH407" s="10"/>
      <c r="AI407" s="7" t="s">
        <v>160</v>
      </c>
      <c r="AJ407" s="10"/>
      <c r="AK407" s="10"/>
      <c r="AL407" s="10"/>
      <c r="AM407" s="11" t="s">
        <v>131</v>
      </c>
      <c r="AN407" s="11" t="s">
        <v>131</v>
      </c>
      <c r="AO407" s="11" t="s">
        <v>131</v>
      </c>
      <c r="AP407" s="11" t="s">
        <v>131</v>
      </c>
      <c r="AQ407" s="11"/>
      <c r="AR407" s="7"/>
    </row>
    <row r="408" spans="1:44" ht="14.4" x14ac:dyDescent="0.3">
      <c r="A408" s="6" t="s">
        <v>270</v>
      </c>
      <c r="B408" s="6" t="s">
        <v>2114</v>
      </c>
      <c r="C408" s="6" t="s">
        <v>2210</v>
      </c>
      <c r="D408" s="6" t="s">
        <v>2116</v>
      </c>
      <c r="E408" s="6" t="s">
        <v>2211</v>
      </c>
      <c r="F408" s="7" t="s">
        <v>125</v>
      </c>
      <c r="G408" s="10"/>
      <c r="H408" s="7" t="s">
        <v>93</v>
      </c>
      <c r="I408" s="7"/>
      <c r="J408" s="10"/>
      <c r="K408" s="6" t="s">
        <v>90</v>
      </c>
      <c r="L408" s="7"/>
      <c r="M408" s="14"/>
      <c r="N408" s="7" t="s">
        <v>93</v>
      </c>
      <c r="O408" s="10"/>
      <c r="P408" s="7" t="s">
        <v>90</v>
      </c>
      <c r="Q408" s="15">
        <f>IF(P408="oui",MIN(Parametres!$B$4,MAX(Parametres!$B$3,IF(M408="",Parametres!$B$3,ROUND(M408*10%,0)))),"")</f>
        <v>0</v>
      </c>
      <c r="R408" s="7" t="s">
        <v>134</v>
      </c>
      <c r="S408" s="7" t="s">
        <v>90</v>
      </c>
      <c r="T408" s="15">
        <f>IF(S408="oui",Parametres!$B$5,"")</f>
        <v>500</v>
      </c>
      <c r="U408" s="7" t="s">
        <v>134</v>
      </c>
      <c r="V408" s="15">
        <f t="shared" si="24"/>
        <v>500</v>
      </c>
      <c r="W408" s="15" t="str">
        <f t="shared" si="25"/>
        <v/>
      </c>
      <c r="X408" s="6" t="s">
        <v>90</v>
      </c>
      <c r="Y408" s="7" t="s">
        <v>133</v>
      </c>
      <c r="Z408" s="10"/>
      <c r="AA408" s="6" t="s">
        <v>93</v>
      </c>
      <c r="AB408" s="7" t="s">
        <v>160</v>
      </c>
      <c r="AC408" s="10"/>
      <c r="AD408" s="9" t="str">
        <f t="shared" si="26"/>
        <v>oui</v>
      </c>
      <c r="AE408" s="9" t="str">
        <f t="shared" si="27"/>
        <v>TAE manquant</v>
      </c>
      <c r="AF408" s="7"/>
      <c r="AG408" s="10"/>
      <c r="AH408" s="10"/>
      <c r="AI408" s="7" t="s">
        <v>160</v>
      </c>
      <c r="AJ408" s="10"/>
      <c r="AK408" s="10"/>
      <c r="AL408" s="10"/>
      <c r="AM408" s="11" t="s">
        <v>131</v>
      </c>
      <c r="AN408" s="11" t="s">
        <v>131</v>
      </c>
      <c r="AO408" s="11" t="s">
        <v>131</v>
      </c>
      <c r="AP408" s="11" t="s">
        <v>131</v>
      </c>
      <c r="AQ408" s="11"/>
      <c r="AR408" s="7"/>
    </row>
    <row r="409" spans="1:44" ht="14.4" x14ac:dyDescent="0.3">
      <c r="A409" s="6" t="s">
        <v>270</v>
      </c>
      <c r="B409" s="6" t="s">
        <v>2114</v>
      </c>
      <c r="C409" s="6" t="s">
        <v>2215</v>
      </c>
      <c r="D409" s="6" t="s">
        <v>2116</v>
      </c>
      <c r="E409" s="6" t="s">
        <v>2216</v>
      </c>
      <c r="F409" s="7" t="s">
        <v>125</v>
      </c>
      <c r="G409" s="10"/>
      <c r="H409" s="7" t="s">
        <v>93</v>
      </c>
      <c r="I409" s="7"/>
      <c r="J409" s="10"/>
      <c r="K409" s="6" t="s">
        <v>90</v>
      </c>
      <c r="L409" s="7"/>
      <c r="M409" s="14"/>
      <c r="N409" s="7" t="s">
        <v>93</v>
      </c>
      <c r="O409" s="10"/>
      <c r="P409" s="7" t="s">
        <v>90</v>
      </c>
      <c r="Q409" s="15">
        <f>IF(P409="oui",MIN(Parametres!$B$4,MAX(Parametres!$B$3,IF(M409="",Parametres!$B$3,ROUND(M409*10%,0)))),"")</f>
        <v>0</v>
      </c>
      <c r="R409" s="7" t="s">
        <v>134</v>
      </c>
      <c r="S409" s="7" t="s">
        <v>90</v>
      </c>
      <c r="T409" s="15">
        <f>IF(S409="oui",Parametres!$B$5,"")</f>
        <v>500</v>
      </c>
      <c r="U409" s="7" t="s">
        <v>134</v>
      </c>
      <c r="V409" s="15">
        <f t="shared" si="24"/>
        <v>500</v>
      </c>
      <c r="W409" s="15" t="str">
        <f t="shared" si="25"/>
        <v/>
      </c>
      <c r="X409" s="6" t="s">
        <v>90</v>
      </c>
      <c r="Y409" s="7" t="s">
        <v>133</v>
      </c>
      <c r="Z409" s="10"/>
      <c r="AA409" s="6" t="s">
        <v>93</v>
      </c>
      <c r="AB409" s="7" t="s">
        <v>160</v>
      </c>
      <c r="AC409" s="10"/>
      <c r="AD409" s="9" t="str">
        <f t="shared" si="26"/>
        <v>oui</v>
      </c>
      <c r="AE409" s="9" t="str">
        <f t="shared" si="27"/>
        <v>TAE manquant</v>
      </c>
      <c r="AF409" s="7"/>
      <c r="AG409" s="10"/>
      <c r="AH409" s="10"/>
      <c r="AI409" s="7" t="s">
        <v>160</v>
      </c>
      <c r="AJ409" s="10"/>
      <c r="AK409" s="10"/>
      <c r="AL409" s="10"/>
      <c r="AM409" s="11" t="s">
        <v>131</v>
      </c>
      <c r="AN409" s="11" t="s">
        <v>131</v>
      </c>
      <c r="AO409" s="11" t="s">
        <v>131</v>
      </c>
      <c r="AP409" s="11" t="s">
        <v>131</v>
      </c>
      <c r="AQ409" s="11"/>
      <c r="AR409" s="7"/>
    </row>
    <row r="410" spans="1:44" ht="14.4" x14ac:dyDescent="0.3">
      <c r="A410" s="6" t="s">
        <v>270</v>
      </c>
      <c r="B410" s="6" t="s">
        <v>2114</v>
      </c>
      <c r="C410" s="6" t="s">
        <v>2219</v>
      </c>
      <c r="D410" s="6" t="s">
        <v>2116</v>
      </c>
      <c r="E410" s="6" t="s">
        <v>2220</v>
      </c>
      <c r="F410" s="7" t="s">
        <v>125</v>
      </c>
      <c r="G410" s="10"/>
      <c r="H410" s="7" t="s">
        <v>93</v>
      </c>
      <c r="I410" s="7"/>
      <c r="J410" s="10"/>
      <c r="K410" s="6" t="s">
        <v>90</v>
      </c>
      <c r="L410" s="7"/>
      <c r="M410" s="14"/>
      <c r="N410" s="7" t="s">
        <v>93</v>
      </c>
      <c r="O410" s="10"/>
      <c r="P410" s="7" t="s">
        <v>90</v>
      </c>
      <c r="Q410" s="15">
        <f>IF(P410="oui",MIN(Parametres!$B$4,MAX(Parametres!$B$3,IF(M410="",Parametres!$B$3,ROUND(M410*10%,0)))),"")</f>
        <v>0</v>
      </c>
      <c r="R410" s="7" t="s">
        <v>134</v>
      </c>
      <c r="S410" s="7" t="s">
        <v>90</v>
      </c>
      <c r="T410" s="15">
        <f>IF(S410="oui",Parametres!$B$5,"")</f>
        <v>500</v>
      </c>
      <c r="U410" s="7" t="s">
        <v>134</v>
      </c>
      <c r="V410" s="15">
        <f t="shared" si="24"/>
        <v>500</v>
      </c>
      <c r="W410" s="15" t="str">
        <f t="shared" si="25"/>
        <v/>
      </c>
      <c r="X410" s="6" t="s">
        <v>90</v>
      </c>
      <c r="Y410" s="7" t="s">
        <v>133</v>
      </c>
      <c r="Z410" s="10"/>
      <c r="AA410" s="6" t="s">
        <v>93</v>
      </c>
      <c r="AB410" s="7" t="s">
        <v>160</v>
      </c>
      <c r="AC410" s="10"/>
      <c r="AD410" s="9" t="str">
        <f t="shared" si="26"/>
        <v>oui</v>
      </c>
      <c r="AE410" s="9" t="str">
        <f t="shared" si="27"/>
        <v>TAE manquant</v>
      </c>
      <c r="AF410" s="7"/>
      <c r="AG410" s="10"/>
      <c r="AH410" s="10"/>
      <c r="AI410" s="7" t="s">
        <v>160</v>
      </c>
      <c r="AJ410" s="10"/>
      <c r="AK410" s="10"/>
      <c r="AL410" s="10"/>
      <c r="AM410" s="11" t="s">
        <v>131</v>
      </c>
      <c r="AN410" s="11" t="s">
        <v>131</v>
      </c>
      <c r="AO410" s="11" t="s">
        <v>131</v>
      </c>
      <c r="AP410" s="11" t="s">
        <v>131</v>
      </c>
      <c r="AQ410" s="11"/>
      <c r="AR410" s="7"/>
    </row>
    <row r="411" spans="1:44" ht="14.4" x14ac:dyDescent="0.3">
      <c r="A411" s="6" t="s">
        <v>270</v>
      </c>
      <c r="B411" s="6" t="s">
        <v>2114</v>
      </c>
      <c r="C411" s="6" t="s">
        <v>2223</v>
      </c>
      <c r="D411" s="6" t="s">
        <v>2116</v>
      </c>
      <c r="E411" s="6" t="s">
        <v>2224</v>
      </c>
      <c r="F411" s="7" t="s">
        <v>125</v>
      </c>
      <c r="G411" s="10"/>
      <c r="H411" s="7" t="s">
        <v>93</v>
      </c>
      <c r="I411" s="7"/>
      <c r="J411" s="10"/>
      <c r="K411" s="6" t="s">
        <v>90</v>
      </c>
      <c r="L411" s="7"/>
      <c r="M411" s="14"/>
      <c r="N411" s="7" t="s">
        <v>93</v>
      </c>
      <c r="O411" s="10"/>
      <c r="P411" s="7" t="s">
        <v>90</v>
      </c>
      <c r="Q411" s="15">
        <f>IF(P411="oui",MIN(Parametres!$B$4,MAX(Parametres!$B$3,IF(M411="",Parametres!$B$3,ROUND(M411*10%,0)))),"")</f>
        <v>0</v>
      </c>
      <c r="R411" s="7" t="s">
        <v>134</v>
      </c>
      <c r="S411" s="7" t="s">
        <v>90</v>
      </c>
      <c r="T411" s="15">
        <f>IF(S411="oui",Parametres!$B$5,"")</f>
        <v>500</v>
      </c>
      <c r="U411" s="7" t="s">
        <v>134</v>
      </c>
      <c r="V411" s="15">
        <f t="shared" si="24"/>
        <v>500</v>
      </c>
      <c r="W411" s="15" t="str">
        <f t="shared" si="25"/>
        <v/>
      </c>
      <c r="X411" s="6" t="s">
        <v>90</v>
      </c>
      <c r="Y411" s="7" t="s">
        <v>133</v>
      </c>
      <c r="Z411" s="10"/>
      <c r="AA411" s="6" t="s">
        <v>93</v>
      </c>
      <c r="AB411" s="7" t="s">
        <v>160</v>
      </c>
      <c r="AC411" s="10"/>
      <c r="AD411" s="9" t="str">
        <f t="shared" si="26"/>
        <v>oui</v>
      </c>
      <c r="AE411" s="9" t="str">
        <f t="shared" si="27"/>
        <v>TAE manquant</v>
      </c>
      <c r="AF411" s="7"/>
      <c r="AG411" s="10"/>
      <c r="AH411" s="10"/>
      <c r="AI411" s="7" t="s">
        <v>160</v>
      </c>
      <c r="AJ411" s="10"/>
      <c r="AK411" s="10"/>
      <c r="AL411" s="10"/>
      <c r="AM411" s="11" t="s">
        <v>131</v>
      </c>
      <c r="AN411" s="11" t="s">
        <v>131</v>
      </c>
      <c r="AO411" s="11" t="s">
        <v>131</v>
      </c>
      <c r="AP411" s="11" t="s">
        <v>131</v>
      </c>
      <c r="AQ411" s="11"/>
      <c r="AR411" s="7"/>
    </row>
    <row r="412" spans="1:44" ht="14.4" x14ac:dyDescent="0.3">
      <c r="A412" s="6" t="s">
        <v>270</v>
      </c>
      <c r="B412" s="6" t="s">
        <v>2114</v>
      </c>
      <c r="C412" s="6" t="s">
        <v>2229</v>
      </c>
      <c r="D412" s="6" t="s">
        <v>2116</v>
      </c>
      <c r="E412" s="6" t="s">
        <v>2230</v>
      </c>
      <c r="F412" s="7" t="s">
        <v>125</v>
      </c>
      <c r="G412" s="10"/>
      <c r="H412" s="7" t="s">
        <v>93</v>
      </c>
      <c r="I412" s="7"/>
      <c r="J412" s="10"/>
      <c r="K412" s="6" t="s">
        <v>90</v>
      </c>
      <c r="L412" s="7"/>
      <c r="M412" s="14"/>
      <c r="N412" s="7" t="s">
        <v>93</v>
      </c>
      <c r="O412" s="10"/>
      <c r="P412" s="7" t="s">
        <v>90</v>
      </c>
      <c r="Q412" s="15">
        <f>IF(P412="oui",MIN(Parametres!$B$4,MAX(Parametres!$B$3,IF(M412="",Parametres!$B$3,ROUND(M412*10%,0)))),"")</f>
        <v>0</v>
      </c>
      <c r="R412" s="7" t="s">
        <v>134</v>
      </c>
      <c r="S412" s="7" t="s">
        <v>90</v>
      </c>
      <c r="T412" s="15">
        <f>IF(S412="oui",Parametres!$B$5,"")</f>
        <v>500</v>
      </c>
      <c r="U412" s="7" t="s">
        <v>134</v>
      </c>
      <c r="V412" s="15">
        <f t="shared" si="24"/>
        <v>500</v>
      </c>
      <c r="W412" s="15" t="str">
        <f t="shared" si="25"/>
        <v/>
      </c>
      <c r="X412" s="6" t="s">
        <v>90</v>
      </c>
      <c r="Y412" s="7" t="s">
        <v>133</v>
      </c>
      <c r="Z412" s="10"/>
      <c r="AA412" s="6" t="s">
        <v>93</v>
      </c>
      <c r="AB412" s="7" t="s">
        <v>160</v>
      </c>
      <c r="AC412" s="10"/>
      <c r="AD412" s="9" t="str">
        <f t="shared" si="26"/>
        <v>oui</v>
      </c>
      <c r="AE412" s="9" t="str">
        <f t="shared" si="27"/>
        <v>TAE manquant</v>
      </c>
      <c r="AF412" s="7"/>
      <c r="AG412" s="10"/>
      <c r="AH412" s="10"/>
      <c r="AI412" s="7" t="s">
        <v>160</v>
      </c>
      <c r="AJ412" s="10"/>
      <c r="AK412" s="10"/>
      <c r="AL412" s="10"/>
      <c r="AM412" s="11" t="s">
        <v>131</v>
      </c>
      <c r="AN412" s="11" t="s">
        <v>131</v>
      </c>
      <c r="AO412" s="11" t="s">
        <v>131</v>
      </c>
      <c r="AP412" s="11" t="s">
        <v>131</v>
      </c>
      <c r="AQ412" s="11"/>
      <c r="AR412" s="7"/>
    </row>
    <row r="413" spans="1:44" ht="14.4" x14ac:dyDescent="0.3">
      <c r="A413" s="6" t="s">
        <v>270</v>
      </c>
      <c r="B413" s="6" t="s">
        <v>2114</v>
      </c>
      <c r="C413" s="6" t="s">
        <v>2234</v>
      </c>
      <c r="D413" s="6" t="s">
        <v>2116</v>
      </c>
      <c r="E413" s="6" t="s">
        <v>2235</v>
      </c>
      <c r="F413" s="7" t="s">
        <v>125</v>
      </c>
      <c r="G413" s="10"/>
      <c r="H413" s="7" t="s">
        <v>93</v>
      </c>
      <c r="I413" s="7"/>
      <c r="J413" s="10"/>
      <c r="K413" s="6" t="s">
        <v>90</v>
      </c>
      <c r="L413" s="7"/>
      <c r="M413" s="14"/>
      <c r="N413" s="7" t="s">
        <v>93</v>
      </c>
      <c r="O413" s="10"/>
      <c r="P413" s="7" t="s">
        <v>90</v>
      </c>
      <c r="Q413" s="15">
        <f>IF(P413="oui",MIN(Parametres!$B$4,MAX(Parametres!$B$3,IF(M413="",Parametres!$B$3,ROUND(M413*10%,0)))),"")</f>
        <v>0</v>
      </c>
      <c r="R413" s="7" t="s">
        <v>134</v>
      </c>
      <c r="S413" s="7" t="s">
        <v>90</v>
      </c>
      <c r="T413" s="15">
        <f>IF(S413="oui",Parametres!$B$5,"")</f>
        <v>500</v>
      </c>
      <c r="U413" s="7" t="s">
        <v>134</v>
      </c>
      <c r="V413" s="15">
        <f t="shared" si="24"/>
        <v>500</v>
      </c>
      <c r="W413" s="15" t="str">
        <f t="shared" si="25"/>
        <v/>
      </c>
      <c r="X413" s="6" t="s">
        <v>90</v>
      </c>
      <c r="Y413" s="7" t="s">
        <v>133</v>
      </c>
      <c r="Z413" s="10"/>
      <c r="AA413" s="6" t="s">
        <v>93</v>
      </c>
      <c r="AB413" s="7" t="s">
        <v>160</v>
      </c>
      <c r="AC413" s="10"/>
      <c r="AD413" s="9" t="str">
        <f t="shared" si="26"/>
        <v>oui</v>
      </c>
      <c r="AE413" s="9" t="str">
        <f t="shared" si="27"/>
        <v>TAE manquant</v>
      </c>
      <c r="AF413" s="7"/>
      <c r="AG413" s="10"/>
      <c r="AH413" s="10"/>
      <c r="AI413" s="7" t="s">
        <v>160</v>
      </c>
      <c r="AJ413" s="10"/>
      <c r="AK413" s="10"/>
      <c r="AL413" s="10"/>
      <c r="AM413" s="11" t="s">
        <v>131</v>
      </c>
      <c r="AN413" s="11" t="s">
        <v>131</v>
      </c>
      <c r="AO413" s="11" t="s">
        <v>131</v>
      </c>
      <c r="AP413" s="11" t="s">
        <v>131</v>
      </c>
      <c r="AQ413" s="11"/>
      <c r="AR413" s="7"/>
    </row>
    <row r="414" spans="1:44" ht="14.4" x14ac:dyDescent="0.3">
      <c r="A414" s="6" t="s">
        <v>270</v>
      </c>
      <c r="B414" s="6" t="s">
        <v>2114</v>
      </c>
      <c r="C414" s="6" t="s">
        <v>2239</v>
      </c>
      <c r="D414" s="6" t="s">
        <v>2116</v>
      </c>
      <c r="E414" s="6" t="s">
        <v>2240</v>
      </c>
      <c r="F414" s="7" t="s">
        <v>125</v>
      </c>
      <c r="G414" s="10"/>
      <c r="H414" s="7" t="s">
        <v>93</v>
      </c>
      <c r="I414" s="7"/>
      <c r="J414" s="10"/>
      <c r="K414" s="6" t="s">
        <v>90</v>
      </c>
      <c r="L414" s="7"/>
      <c r="M414" s="14"/>
      <c r="N414" s="7" t="s">
        <v>93</v>
      </c>
      <c r="O414" s="10"/>
      <c r="P414" s="7" t="s">
        <v>90</v>
      </c>
      <c r="Q414" s="15">
        <f>IF(P414="oui",MIN(Parametres!$B$4,MAX(Parametres!$B$3,IF(M414="",Parametres!$B$3,ROUND(M414*10%,0)))),"")</f>
        <v>0</v>
      </c>
      <c r="R414" s="7" t="s">
        <v>134</v>
      </c>
      <c r="S414" s="7" t="s">
        <v>90</v>
      </c>
      <c r="T414" s="15">
        <f>IF(S414="oui",Parametres!$B$5,"")</f>
        <v>500</v>
      </c>
      <c r="U414" s="7" t="s">
        <v>134</v>
      </c>
      <c r="V414" s="15">
        <f t="shared" si="24"/>
        <v>500</v>
      </c>
      <c r="W414" s="15" t="str">
        <f t="shared" si="25"/>
        <v/>
      </c>
      <c r="X414" s="6" t="s">
        <v>90</v>
      </c>
      <c r="Y414" s="7" t="s">
        <v>133</v>
      </c>
      <c r="Z414" s="10"/>
      <c r="AA414" s="6" t="s">
        <v>93</v>
      </c>
      <c r="AB414" s="7" t="s">
        <v>160</v>
      </c>
      <c r="AC414" s="10"/>
      <c r="AD414" s="9" t="str">
        <f t="shared" si="26"/>
        <v>oui</v>
      </c>
      <c r="AE414" s="9" t="str">
        <f t="shared" si="27"/>
        <v>TAE manquant</v>
      </c>
      <c r="AF414" s="7"/>
      <c r="AG414" s="10"/>
      <c r="AH414" s="10"/>
      <c r="AI414" s="7" t="s">
        <v>160</v>
      </c>
      <c r="AJ414" s="10"/>
      <c r="AK414" s="10"/>
      <c r="AL414" s="10"/>
      <c r="AM414" s="11" t="s">
        <v>131</v>
      </c>
      <c r="AN414" s="11" t="s">
        <v>131</v>
      </c>
      <c r="AO414" s="11" t="s">
        <v>131</v>
      </c>
      <c r="AP414" s="11" t="s">
        <v>131</v>
      </c>
      <c r="AQ414" s="11"/>
      <c r="AR414" s="7"/>
    </row>
    <row r="415" spans="1:44" ht="14.4" x14ac:dyDescent="0.3">
      <c r="A415" s="6" t="s">
        <v>270</v>
      </c>
      <c r="B415" s="6" t="s">
        <v>2114</v>
      </c>
      <c r="C415" s="6" t="s">
        <v>2246</v>
      </c>
      <c r="D415" s="6" t="s">
        <v>2116</v>
      </c>
      <c r="E415" s="6" t="s">
        <v>2247</v>
      </c>
      <c r="F415" s="7" t="s">
        <v>125</v>
      </c>
      <c r="G415" s="10"/>
      <c r="H415" s="7" t="s">
        <v>93</v>
      </c>
      <c r="I415" s="7"/>
      <c r="J415" s="10"/>
      <c r="K415" s="6" t="s">
        <v>90</v>
      </c>
      <c r="L415" s="7"/>
      <c r="M415" s="14"/>
      <c r="N415" s="7" t="s">
        <v>93</v>
      </c>
      <c r="O415" s="10"/>
      <c r="P415" s="7" t="s">
        <v>90</v>
      </c>
      <c r="Q415" s="15">
        <f>IF(P415="oui",MIN(Parametres!$B$4,MAX(Parametres!$B$3,IF(M415="",Parametres!$B$3,ROUND(M415*10%,0)))),"")</f>
        <v>0</v>
      </c>
      <c r="R415" s="7" t="s">
        <v>134</v>
      </c>
      <c r="S415" s="7" t="s">
        <v>90</v>
      </c>
      <c r="T415" s="15">
        <f>IF(S415="oui",Parametres!$B$5,"")</f>
        <v>500</v>
      </c>
      <c r="U415" s="7" t="s">
        <v>134</v>
      </c>
      <c r="V415" s="15">
        <f t="shared" si="24"/>
        <v>500</v>
      </c>
      <c r="W415" s="15" t="str">
        <f t="shared" si="25"/>
        <v/>
      </c>
      <c r="X415" s="6" t="s">
        <v>90</v>
      </c>
      <c r="Y415" s="7" t="s">
        <v>133</v>
      </c>
      <c r="Z415" s="10"/>
      <c r="AA415" s="6" t="s">
        <v>93</v>
      </c>
      <c r="AB415" s="7" t="s">
        <v>160</v>
      </c>
      <c r="AC415" s="10"/>
      <c r="AD415" s="9" t="str">
        <f t="shared" si="26"/>
        <v>oui</v>
      </c>
      <c r="AE415" s="9" t="str">
        <f t="shared" si="27"/>
        <v>TAE manquant</v>
      </c>
      <c r="AF415" s="7"/>
      <c r="AG415" s="10"/>
      <c r="AH415" s="10"/>
      <c r="AI415" s="7" t="s">
        <v>160</v>
      </c>
      <c r="AJ415" s="10"/>
      <c r="AK415" s="10"/>
      <c r="AL415" s="10"/>
      <c r="AM415" s="11" t="s">
        <v>131</v>
      </c>
      <c r="AN415" s="11" t="s">
        <v>131</v>
      </c>
      <c r="AO415" s="11" t="s">
        <v>131</v>
      </c>
      <c r="AP415" s="11" t="s">
        <v>131</v>
      </c>
      <c r="AQ415" s="11"/>
      <c r="AR415" s="7"/>
    </row>
    <row r="416" spans="1:44" ht="14.4" x14ac:dyDescent="0.3">
      <c r="A416" s="6" t="s">
        <v>270</v>
      </c>
      <c r="B416" s="6" t="s">
        <v>2114</v>
      </c>
      <c r="C416" s="6" t="s">
        <v>2251</v>
      </c>
      <c r="D416" s="6" t="s">
        <v>2116</v>
      </c>
      <c r="E416" s="6" t="s">
        <v>2252</v>
      </c>
      <c r="F416" s="7" t="s">
        <v>125</v>
      </c>
      <c r="G416" s="10"/>
      <c r="H416" s="7" t="s">
        <v>93</v>
      </c>
      <c r="I416" s="7"/>
      <c r="J416" s="10"/>
      <c r="K416" s="6" t="s">
        <v>90</v>
      </c>
      <c r="L416" s="7"/>
      <c r="M416" s="14"/>
      <c r="N416" s="7" t="s">
        <v>93</v>
      </c>
      <c r="O416" s="10"/>
      <c r="P416" s="7" t="s">
        <v>90</v>
      </c>
      <c r="Q416" s="15">
        <f>IF(P416="oui",MIN(Parametres!$B$4,MAX(Parametres!$B$3,IF(M416="",Parametres!$B$3,ROUND(M416*10%,0)))),"")</f>
        <v>0</v>
      </c>
      <c r="R416" s="7" t="s">
        <v>134</v>
      </c>
      <c r="S416" s="7" t="s">
        <v>90</v>
      </c>
      <c r="T416" s="15">
        <f>IF(S416="oui",Parametres!$B$5,"")</f>
        <v>500</v>
      </c>
      <c r="U416" s="7" t="s">
        <v>134</v>
      </c>
      <c r="V416" s="15">
        <f t="shared" si="24"/>
        <v>500</v>
      </c>
      <c r="W416" s="15" t="str">
        <f t="shared" si="25"/>
        <v/>
      </c>
      <c r="X416" s="6" t="s">
        <v>90</v>
      </c>
      <c r="Y416" s="7" t="s">
        <v>133</v>
      </c>
      <c r="Z416" s="10"/>
      <c r="AA416" s="6" t="s">
        <v>93</v>
      </c>
      <c r="AB416" s="7" t="s">
        <v>160</v>
      </c>
      <c r="AC416" s="10"/>
      <c r="AD416" s="9" t="str">
        <f t="shared" si="26"/>
        <v>oui</v>
      </c>
      <c r="AE416" s="9" t="str">
        <f t="shared" si="27"/>
        <v>TAE manquant</v>
      </c>
      <c r="AF416" s="7"/>
      <c r="AG416" s="10"/>
      <c r="AH416" s="10"/>
      <c r="AI416" s="7" t="s">
        <v>160</v>
      </c>
      <c r="AJ416" s="10"/>
      <c r="AK416" s="10"/>
      <c r="AL416" s="10"/>
      <c r="AM416" s="11" t="s">
        <v>131</v>
      </c>
      <c r="AN416" s="11" t="s">
        <v>131</v>
      </c>
      <c r="AO416" s="11" t="s">
        <v>131</v>
      </c>
      <c r="AP416" s="11" t="s">
        <v>131</v>
      </c>
      <c r="AQ416" s="11"/>
      <c r="AR416" s="7"/>
    </row>
    <row r="417" spans="1:44" ht="14.4" x14ac:dyDescent="0.3">
      <c r="A417" s="6" t="s">
        <v>270</v>
      </c>
      <c r="B417" s="6" t="s">
        <v>2114</v>
      </c>
      <c r="C417" s="6" t="s">
        <v>2255</v>
      </c>
      <c r="D417" s="6" t="s">
        <v>2116</v>
      </c>
      <c r="E417" s="6" t="s">
        <v>2256</v>
      </c>
      <c r="F417" s="7" t="s">
        <v>125</v>
      </c>
      <c r="G417" s="10"/>
      <c r="H417" s="7" t="s">
        <v>93</v>
      </c>
      <c r="I417" s="7"/>
      <c r="J417" s="10"/>
      <c r="K417" s="6" t="s">
        <v>90</v>
      </c>
      <c r="L417" s="7"/>
      <c r="M417" s="14"/>
      <c r="N417" s="7" t="s">
        <v>93</v>
      </c>
      <c r="O417" s="10"/>
      <c r="P417" s="7" t="s">
        <v>90</v>
      </c>
      <c r="Q417" s="15">
        <f>IF(P417="oui",MIN(Parametres!$B$4,MAX(Parametres!$B$3,IF(M417="",Parametres!$B$3,ROUND(M417*10%,0)))),"")</f>
        <v>0</v>
      </c>
      <c r="R417" s="7" t="s">
        <v>134</v>
      </c>
      <c r="S417" s="7" t="s">
        <v>90</v>
      </c>
      <c r="T417" s="15">
        <f>IF(S417="oui",Parametres!$B$5,"")</f>
        <v>500</v>
      </c>
      <c r="U417" s="7" t="s">
        <v>134</v>
      </c>
      <c r="V417" s="15">
        <f t="shared" si="24"/>
        <v>500</v>
      </c>
      <c r="W417" s="15" t="str">
        <f t="shared" si="25"/>
        <v/>
      </c>
      <c r="X417" s="6" t="s">
        <v>90</v>
      </c>
      <c r="Y417" s="7" t="s">
        <v>133</v>
      </c>
      <c r="Z417" s="10"/>
      <c r="AA417" s="6" t="s">
        <v>93</v>
      </c>
      <c r="AB417" s="7" t="s">
        <v>160</v>
      </c>
      <c r="AC417" s="10"/>
      <c r="AD417" s="9" t="str">
        <f t="shared" si="26"/>
        <v>oui</v>
      </c>
      <c r="AE417" s="9" t="str">
        <f t="shared" si="27"/>
        <v>TAE manquant</v>
      </c>
      <c r="AF417" s="7"/>
      <c r="AG417" s="10"/>
      <c r="AH417" s="10"/>
      <c r="AI417" s="7" t="s">
        <v>160</v>
      </c>
      <c r="AJ417" s="10"/>
      <c r="AK417" s="10"/>
      <c r="AL417" s="10"/>
      <c r="AM417" s="11" t="s">
        <v>131</v>
      </c>
      <c r="AN417" s="11" t="s">
        <v>131</v>
      </c>
      <c r="AO417" s="11" t="s">
        <v>131</v>
      </c>
      <c r="AP417" s="11" t="s">
        <v>131</v>
      </c>
      <c r="AQ417" s="11"/>
      <c r="AR417" s="7"/>
    </row>
    <row r="418" spans="1:44" ht="14.4" x14ac:dyDescent="0.3">
      <c r="A418" s="6" t="s">
        <v>270</v>
      </c>
      <c r="B418" s="6" t="s">
        <v>2114</v>
      </c>
      <c r="C418" s="6" t="s">
        <v>2261</v>
      </c>
      <c r="D418" s="6" t="s">
        <v>2116</v>
      </c>
      <c r="E418" s="6" t="s">
        <v>2262</v>
      </c>
      <c r="F418" s="7" t="s">
        <v>125</v>
      </c>
      <c r="G418" s="10"/>
      <c r="H418" s="7" t="s">
        <v>93</v>
      </c>
      <c r="I418" s="7"/>
      <c r="J418" s="10"/>
      <c r="K418" s="6" t="s">
        <v>90</v>
      </c>
      <c r="L418" s="7"/>
      <c r="M418" s="14"/>
      <c r="N418" s="7" t="s">
        <v>93</v>
      </c>
      <c r="O418" s="10"/>
      <c r="P418" s="7" t="s">
        <v>90</v>
      </c>
      <c r="Q418" s="15">
        <f>IF(P418="oui",MIN(Parametres!$B$4,MAX(Parametres!$B$3,IF(M418="",Parametres!$B$3,ROUND(M418*10%,0)))),"")</f>
        <v>0</v>
      </c>
      <c r="R418" s="7" t="s">
        <v>134</v>
      </c>
      <c r="S418" s="7" t="s">
        <v>90</v>
      </c>
      <c r="T418" s="15">
        <f>IF(S418="oui",Parametres!$B$5,"")</f>
        <v>500</v>
      </c>
      <c r="U418" s="7" t="s">
        <v>134</v>
      </c>
      <c r="V418" s="15">
        <f t="shared" si="24"/>
        <v>500</v>
      </c>
      <c r="W418" s="15" t="str">
        <f t="shared" si="25"/>
        <v/>
      </c>
      <c r="X418" s="6" t="s">
        <v>90</v>
      </c>
      <c r="Y418" s="7" t="s">
        <v>133</v>
      </c>
      <c r="Z418" s="10"/>
      <c r="AA418" s="6" t="s">
        <v>93</v>
      </c>
      <c r="AB418" s="7" t="s">
        <v>160</v>
      </c>
      <c r="AC418" s="10"/>
      <c r="AD418" s="9" t="str">
        <f t="shared" si="26"/>
        <v>oui</v>
      </c>
      <c r="AE418" s="9" t="str">
        <f t="shared" si="27"/>
        <v>TAE manquant</v>
      </c>
      <c r="AF418" s="7"/>
      <c r="AG418" s="10"/>
      <c r="AH418" s="10"/>
      <c r="AI418" s="7" t="s">
        <v>160</v>
      </c>
      <c r="AJ418" s="10"/>
      <c r="AK418" s="10"/>
      <c r="AL418" s="10"/>
      <c r="AM418" s="11" t="s">
        <v>131</v>
      </c>
      <c r="AN418" s="11" t="s">
        <v>131</v>
      </c>
      <c r="AO418" s="11" t="s">
        <v>131</v>
      </c>
      <c r="AP418" s="11" t="s">
        <v>131</v>
      </c>
      <c r="AQ418" s="11"/>
      <c r="AR418" s="7"/>
    </row>
    <row r="419" spans="1:44" ht="14.4" x14ac:dyDescent="0.3">
      <c r="A419" s="6" t="s">
        <v>270</v>
      </c>
      <c r="B419" s="6" t="s">
        <v>2114</v>
      </c>
      <c r="C419" s="6" t="s">
        <v>2263</v>
      </c>
      <c r="D419" s="6" t="s">
        <v>2116</v>
      </c>
      <c r="E419" s="6" t="s">
        <v>2264</v>
      </c>
      <c r="F419" s="7" t="s">
        <v>125</v>
      </c>
      <c r="G419" s="10"/>
      <c r="H419" s="7" t="s">
        <v>93</v>
      </c>
      <c r="I419" s="7"/>
      <c r="J419" s="10"/>
      <c r="K419" s="6" t="s">
        <v>90</v>
      </c>
      <c r="L419" s="7"/>
      <c r="M419" s="14"/>
      <c r="N419" s="7" t="s">
        <v>93</v>
      </c>
      <c r="O419" s="10"/>
      <c r="P419" s="7" t="s">
        <v>90</v>
      </c>
      <c r="Q419" s="15">
        <f>IF(P419="oui",MIN(Parametres!$B$4,MAX(Parametres!$B$3,IF(M419="",Parametres!$B$3,ROUND(M419*10%,0)))),"")</f>
        <v>0</v>
      </c>
      <c r="R419" s="7" t="s">
        <v>134</v>
      </c>
      <c r="S419" s="7" t="s">
        <v>90</v>
      </c>
      <c r="T419" s="15">
        <f>IF(S419="oui",Parametres!$B$5,"")</f>
        <v>500</v>
      </c>
      <c r="U419" s="7" t="s">
        <v>134</v>
      </c>
      <c r="V419" s="15">
        <f t="shared" si="24"/>
        <v>500</v>
      </c>
      <c r="W419" s="15" t="str">
        <f t="shared" si="25"/>
        <v/>
      </c>
      <c r="X419" s="6" t="s">
        <v>90</v>
      </c>
      <c r="Y419" s="7" t="s">
        <v>133</v>
      </c>
      <c r="Z419" s="10"/>
      <c r="AA419" s="6" t="s">
        <v>93</v>
      </c>
      <c r="AB419" s="7" t="s">
        <v>160</v>
      </c>
      <c r="AC419" s="10"/>
      <c r="AD419" s="9" t="str">
        <f t="shared" si="26"/>
        <v>oui</v>
      </c>
      <c r="AE419" s="9" t="str">
        <f t="shared" si="27"/>
        <v>TAE manquant</v>
      </c>
      <c r="AF419" s="7"/>
      <c r="AG419" s="10"/>
      <c r="AH419" s="10"/>
      <c r="AI419" s="7" t="s">
        <v>160</v>
      </c>
      <c r="AJ419" s="10"/>
      <c r="AK419" s="10"/>
      <c r="AL419" s="10"/>
      <c r="AM419" s="11" t="s">
        <v>131</v>
      </c>
      <c r="AN419" s="11" t="s">
        <v>131</v>
      </c>
      <c r="AO419" s="11" t="s">
        <v>131</v>
      </c>
      <c r="AP419" s="11" t="s">
        <v>131</v>
      </c>
      <c r="AQ419" s="11"/>
      <c r="AR419" s="7"/>
    </row>
    <row r="420" spans="1:44" ht="14.4" x14ac:dyDescent="0.3">
      <c r="A420" s="6" t="s">
        <v>270</v>
      </c>
      <c r="B420" s="6" t="s">
        <v>2114</v>
      </c>
      <c r="C420" s="6" t="s">
        <v>2268</v>
      </c>
      <c r="D420" s="6" t="s">
        <v>2116</v>
      </c>
      <c r="E420" s="6" t="s">
        <v>2269</v>
      </c>
      <c r="F420" s="7" t="s">
        <v>125</v>
      </c>
      <c r="G420" s="10"/>
      <c r="H420" s="7" t="s">
        <v>93</v>
      </c>
      <c r="I420" s="7"/>
      <c r="J420" s="10"/>
      <c r="K420" s="6" t="s">
        <v>90</v>
      </c>
      <c r="L420" s="7"/>
      <c r="M420" s="14"/>
      <c r="N420" s="7" t="s">
        <v>93</v>
      </c>
      <c r="O420" s="10"/>
      <c r="P420" s="7" t="s">
        <v>90</v>
      </c>
      <c r="Q420" s="15">
        <f>IF(P420="oui",MIN(Parametres!$B$4,MAX(Parametres!$B$3,IF(M420="",Parametres!$B$3,ROUND(M420*10%,0)))),"")</f>
        <v>0</v>
      </c>
      <c r="R420" s="7" t="s">
        <v>134</v>
      </c>
      <c r="S420" s="7" t="s">
        <v>90</v>
      </c>
      <c r="T420" s="15">
        <f>IF(S420="oui",Parametres!$B$5,"")</f>
        <v>500</v>
      </c>
      <c r="U420" s="7" t="s">
        <v>134</v>
      </c>
      <c r="V420" s="15">
        <f t="shared" si="24"/>
        <v>500</v>
      </c>
      <c r="W420" s="15" t="str">
        <f t="shared" si="25"/>
        <v/>
      </c>
      <c r="X420" s="6" t="s">
        <v>90</v>
      </c>
      <c r="Y420" s="7" t="s">
        <v>133</v>
      </c>
      <c r="Z420" s="10"/>
      <c r="AA420" s="6" t="s">
        <v>93</v>
      </c>
      <c r="AB420" s="7" t="s">
        <v>160</v>
      </c>
      <c r="AC420" s="10"/>
      <c r="AD420" s="9" t="str">
        <f t="shared" si="26"/>
        <v>oui</v>
      </c>
      <c r="AE420" s="9" t="str">
        <f t="shared" si="27"/>
        <v>TAE manquant</v>
      </c>
      <c r="AF420" s="7"/>
      <c r="AG420" s="10"/>
      <c r="AH420" s="10"/>
      <c r="AI420" s="7" t="s">
        <v>160</v>
      </c>
      <c r="AJ420" s="10"/>
      <c r="AK420" s="10"/>
      <c r="AL420" s="10"/>
      <c r="AM420" s="11" t="s">
        <v>131</v>
      </c>
      <c r="AN420" s="11" t="s">
        <v>131</v>
      </c>
      <c r="AO420" s="11" t="s">
        <v>131</v>
      </c>
      <c r="AP420" s="11" t="s">
        <v>131</v>
      </c>
      <c r="AQ420" s="11"/>
      <c r="AR420" s="7"/>
    </row>
    <row r="421" spans="1:44" ht="14.4" x14ac:dyDescent="0.3">
      <c r="A421" s="6" t="s">
        <v>270</v>
      </c>
      <c r="B421" s="6" t="s">
        <v>2114</v>
      </c>
      <c r="C421" s="6" t="s">
        <v>2274</v>
      </c>
      <c r="D421" s="6" t="s">
        <v>2116</v>
      </c>
      <c r="E421" s="6" t="s">
        <v>2275</v>
      </c>
      <c r="F421" s="7" t="s">
        <v>125</v>
      </c>
      <c r="G421" s="10"/>
      <c r="H421" s="7" t="s">
        <v>93</v>
      </c>
      <c r="I421" s="7"/>
      <c r="J421" s="10"/>
      <c r="K421" s="6" t="s">
        <v>90</v>
      </c>
      <c r="L421" s="7"/>
      <c r="M421" s="14"/>
      <c r="N421" s="7" t="s">
        <v>93</v>
      </c>
      <c r="O421" s="10"/>
      <c r="P421" s="7" t="s">
        <v>90</v>
      </c>
      <c r="Q421" s="15">
        <f>IF(P421="oui",MIN(Parametres!$B$4,MAX(Parametres!$B$3,IF(M421="",Parametres!$B$3,ROUND(M421*10%,0)))),"")</f>
        <v>0</v>
      </c>
      <c r="R421" s="7" t="s">
        <v>134</v>
      </c>
      <c r="S421" s="7" t="s">
        <v>90</v>
      </c>
      <c r="T421" s="15">
        <f>IF(S421="oui",Parametres!$B$5,"")</f>
        <v>500</v>
      </c>
      <c r="U421" s="7" t="s">
        <v>134</v>
      </c>
      <c r="V421" s="15">
        <f t="shared" si="24"/>
        <v>500</v>
      </c>
      <c r="W421" s="15" t="str">
        <f t="shared" si="25"/>
        <v/>
      </c>
      <c r="X421" s="6" t="s">
        <v>90</v>
      </c>
      <c r="Y421" s="7" t="s">
        <v>133</v>
      </c>
      <c r="Z421" s="10"/>
      <c r="AA421" s="6" t="s">
        <v>93</v>
      </c>
      <c r="AB421" s="7" t="s">
        <v>160</v>
      </c>
      <c r="AC421" s="10"/>
      <c r="AD421" s="9" t="str">
        <f t="shared" si="26"/>
        <v>oui</v>
      </c>
      <c r="AE421" s="9" t="str">
        <f t="shared" si="27"/>
        <v>TAE manquant</v>
      </c>
      <c r="AF421" s="7"/>
      <c r="AG421" s="10"/>
      <c r="AH421" s="10"/>
      <c r="AI421" s="7" t="s">
        <v>160</v>
      </c>
      <c r="AJ421" s="10"/>
      <c r="AK421" s="10"/>
      <c r="AL421" s="10"/>
      <c r="AM421" s="11" t="s">
        <v>131</v>
      </c>
      <c r="AN421" s="11" t="s">
        <v>131</v>
      </c>
      <c r="AO421" s="11" t="s">
        <v>131</v>
      </c>
      <c r="AP421" s="11" t="s">
        <v>131</v>
      </c>
      <c r="AQ421" s="11"/>
      <c r="AR421" s="7"/>
    </row>
    <row r="422" spans="1:44" ht="14.4" x14ac:dyDescent="0.3">
      <c r="A422" s="6" t="s">
        <v>270</v>
      </c>
      <c r="B422" s="6" t="s">
        <v>2114</v>
      </c>
      <c r="C422" s="6" t="s">
        <v>2279</v>
      </c>
      <c r="D422" s="6" t="s">
        <v>2116</v>
      </c>
      <c r="E422" s="6" t="s">
        <v>2280</v>
      </c>
      <c r="F422" s="7" t="s">
        <v>125</v>
      </c>
      <c r="G422" s="10"/>
      <c r="H422" s="7" t="s">
        <v>93</v>
      </c>
      <c r="I422" s="7"/>
      <c r="J422" s="10"/>
      <c r="K422" s="6" t="s">
        <v>90</v>
      </c>
      <c r="L422" s="7"/>
      <c r="M422" s="14"/>
      <c r="N422" s="7" t="s">
        <v>93</v>
      </c>
      <c r="O422" s="10"/>
      <c r="P422" s="7" t="s">
        <v>90</v>
      </c>
      <c r="Q422" s="15">
        <f>IF(P422="oui",MIN(Parametres!$B$4,MAX(Parametres!$B$3,IF(M422="",Parametres!$B$3,ROUND(M422*10%,0)))),"")</f>
        <v>0</v>
      </c>
      <c r="R422" s="7" t="s">
        <v>134</v>
      </c>
      <c r="S422" s="7" t="s">
        <v>90</v>
      </c>
      <c r="T422" s="15">
        <f>IF(S422="oui",Parametres!$B$5,"")</f>
        <v>500</v>
      </c>
      <c r="U422" s="7" t="s">
        <v>134</v>
      </c>
      <c r="V422" s="15">
        <f t="shared" si="24"/>
        <v>500</v>
      </c>
      <c r="W422" s="15" t="str">
        <f t="shared" si="25"/>
        <v/>
      </c>
      <c r="X422" s="6" t="s">
        <v>90</v>
      </c>
      <c r="Y422" s="7" t="s">
        <v>133</v>
      </c>
      <c r="Z422" s="10"/>
      <c r="AA422" s="6" t="s">
        <v>93</v>
      </c>
      <c r="AB422" s="7" t="s">
        <v>160</v>
      </c>
      <c r="AC422" s="10"/>
      <c r="AD422" s="9" t="str">
        <f t="shared" si="26"/>
        <v>oui</v>
      </c>
      <c r="AE422" s="9" t="str">
        <f t="shared" si="27"/>
        <v>TAE manquant</v>
      </c>
      <c r="AF422" s="7"/>
      <c r="AG422" s="10"/>
      <c r="AH422" s="10"/>
      <c r="AI422" s="7" t="s">
        <v>160</v>
      </c>
      <c r="AJ422" s="10"/>
      <c r="AK422" s="10"/>
      <c r="AL422" s="10"/>
      <c r="AM422" s="11" t="s">
        <v>131</v>
      </c>
      <c r="AN422" s="11" t="s">
        <v>131</v>
      </c>
      <c r="AO422" s="11" t="s">
        <v>131</v>
      </c>
      <c r="AP422" s="11" t="s">
        <v>131</v>
      </c>
      <c r="AQ422" s="11"/>
      <c r="AR422" s="7"/>
    </row>
    <row r="423" spans="1:44" ht="14.4" x14ac:dyDescent="0.3">
      <c r="A423" s="6" t="s">
        <v>270</v>
      </c>
      <c r="B423" s="6" t="s">
        <v>2114</v>
      </c>
      <c r="C423" s="6" t="s">
        <v>2283</v>
      </c>
      <c r="D423" s="6" t="s">
        <v>2116</v>
      </c>
      <c r="E423" s="6" t="s">
        <v>2284</v>
      </c>
      <c r="F423" s="7" t="s">
        <v>125</v>
      </c>
      <c r="G423" s="10"/>
      <c r="H423" s="7" t="s">
        <v>93</v>
      </c>
      <c r="I423" s="7"/>
      <c r="J423" s="10"/>
      <c r="K423" s="6" t="s">
        <v>90</v>
      </c>
      <c r="L423" s="7"/>
      <c r="M423" s="14"/>
      <c r="N423" s="7" t="s">
        <v>93</v>
      </c>
      <c r="O423" s="10"/>
      <c r="P423" s="7" t="s">
        <v>90</v>
      </c>
      <c r="Q423" s="15">
        <f>IF(P423="oui",MIN(Parametres!$B$4,MAX(Parametres!$B$3,IF(M423="",Parametres!$B$3,ROUND(M423*10%,0)))),"")</f>
        <v>0</v>
      </c>
      <c r="R423" s="7" t="s">
        <v>134</v>
      </c>
      <c r="S423" s="7" t="s">
        <v>90</v>
      </c>
      <c r="T423" s="15">
        <f>IF(S423="oui",Parametres!$B$5,"")</f>
        <v>500</v>
      </c>
      <c r="U423" s="7" t="s">
        <v>134</v>
      </c>
      <c r="V423" s="15">
        <f t="shared" si="24"/>
        <v>500</v>
      </c>
      <c r="W423" s="15" t="str">
        <f t="shared" si="25"/>
        <v/>
      </c>
      <c r="X423" s="6" t="s">
        <v>90</v>
      </c>
      <c r="Y423" s="7" t="s">
        <v>133</v>
      </c>
      <c r="Z423" s="10"/>
      <c r="AA423" s="6" t="s">
        <v>93</v>
      </c>
      <c r="AB423" s="7" t="s">
        <v>160</v>
      </c>
      <c r="AC423" s="10"/>
      <c r="AD423" s="9" t="str">
        <f t="shared" si="26"/>
        <v>oui</v>
      </c>
      <c r="AE423" s="9" t="str">
        <f t="shared" si="27"/>
        <v>TAE manquant</v>
      </c>
      <c r="AF423" s="7"/>
      <c r="AG423" s="10"/>
      <c r="AH423" s="10"/>
      <c r="AI423" s="7" t="s">
        <v>160</v>
      </c>
      <c r="AJ423" s="10"/>
      <c r="AK423" s="10"/>
      <c r="AL423" s="10"/>
      <c r="AM423" s="11" t="s">
        <v>131</v>
      </c>
      <c r="AN423" s="11" t="s">
        <v>131</v>
      </c>
      <c r="AO423" s="11" t="s">
        <v>131</v>
      </c>
      <c r="AP423" s="11" t="s">
        <v>131</v>
      </c>
      <c r="AQ423" s="11"/>
      <c r="AR423" s="7"/>
    </row>
    <row r="424" spans="1:44" ht="14.4" x14ac:dyDescent="0.3">
      <c r="A424" s="6" t="s">
        <v>270</v>
      </c>
      <c r="B424" s="6" t="s">
        <v>2114</v>
      </c>
      <c r="C424" s="6" t="s">
        <v>2287</v>
      </c>
      <c r="D424" s="6" t="s">
        <v>2116</v>
      </c>
      <c r="E424" s="6" t="s">
        <v>2288</v>
      </c>
      <c r="F424" s="7" t="s">
        <v>125</v>
      </c>
      <c r="G424" s="10"/>
      <c r="H424" s="7" t="s">
        <v>93</v>
      </c>
      <c r="I424" s="7"/>
      <c r="J424" s="10"/>
      <c r="K424" s="6" t="s">
        <v>90</v>
      </c>
      <c r="L424" s="7"/>
      <c r="M424" s="14"/>
      <c r="N424" s="7" t="s">
        <v>93</v>
      </c>
      <c r="O424" s="10"/>
      <c r="P424" s="7" t="s">
        <v>90</v>
      </c>
      <c r="Q424" s="15">
        <f>IF(P424="oui",MIN(Parametres!$B$4,MAX(Parametres!$B$3,IF(M424="",Parametres!$B$3,ROUND(M424*10%,0)))),"")</f>
        <v>0</v>
      </c>
      <c r="R424" s="7" t="s">
        <v>134</v>
      </c>
      <c r="S424" s="7" t="s">
        <v>90</v>
      </c>
      <c r="T424" s="15">
        <f>IF(S424="oui",Parametres!$B$5,"")</f>
        <v>500</v>
      </c>
      <c r="U424" s="7" t="s">
        <v>134</v>
      </c>
      <c r="V424" s="15">
        <f t="shared" si="24"/>
        <v>500</v>
      </c>
      <c r="W424" s="15" t="str">
        <f t="shared" si="25"/>
        <v/>
      </c>
      <c r="X424" s="6" t="s">
        <v>90</v>
      </c>
      <c r="Y424" s="7" t="s">
        <v>133</v>
      </c>
      <c r="Z424" s="10"/>
      <c r="AA424" s="6" t="s">
        <v>93</v>
      </c>
      <c r="AB424" s="7" t="s">
        <v>160</v>
      </c>
      <c r="AC424" s="10"/>
      <c r="AD424" s="9" t="str">
        <f t="shared" si="26"/>
        <v>oui</v>
      </c>
      <c r="AE424" s="9" t="str">
        <f t="shared" si="27"/>
        <v>TAE manquant</v>
      </c>
      <c r="AF424" s="7"/>
      <c r="AG424" s="10"/>
      <c r="AH424" s="10"/>
      <c r="AI424" s="7" t="s">
        <v>160</v>
      </c>
      <c r="AJ424" s="10"/>
      <c r="AK424" s="10"/>
      <c r="AL424" s="10"/>
      <c r="AM424" s="11" t="s">
        <v>131</v>
      </c>
      <c r="AN424" s="11" t="s">
        <v>131</v>
      </c>
      <c r="AO424" s="11" t="s">
        <v>131</v>
      </c>
      <c r="AP424" s="11" t="s">
        <v>131</v>
      </c>
      <c r="AQ424" s="11"/>
      <c r="AR424" s="7"/>
    </row>
    <row r="425" spans="1:44" ht="14.4" x14ac:dyDescent="0.3">
      <c r="A425" s="6" t="s">
        <v>270</v>
      </c>
      <c r="B425" s="6" t="s">
        <v>2114</v>
      </c>
      <c r="C425" s="6" t="s">
        <v>2291</v>
      </c>
      <c r="D425" s="6" t="s">
        <v>2116</v>
      </c>
      <c r="E425" s="6" t="s">
        <v>2292</v>
      </c>
      <c r="F425" s="7" t="s">
        <v>125</v>
      </c>
      <c r="G425" s="10"/>
      <c r="H425" s="7" t="s">
        <v>93</v>
      </c>
      <c r="I425" s="7"/>
      <c r="J425" s="10"/>
      <c r="K425" s="6" t="s">
        <v>90</v>
      </c>
      <c r="L425" s="7"/>
      <c r="M425" s="14"/>
      <c r="N425" s="7" t="s">
        <v>93</v>
      </c>
      <c r="O425" s="10"/>
      <c r="P425" s="7" t="s">
        <v>90</v>
      </c>
      <c r="Q425" s="15">
        <f>IF(P425="oui",MIN(Parametres!$B$4,MAX(Parametres!$B$3,IF(M425="",Parametres!$B$3,ROUND(M425*10%,0)))),"")</f>
        <v>0</v>
      </c>
      <c r="R425" s="7" t="s">
        <v>134</v>
      </c>
      <c r="S425" s="7" t="s">
        <v>90</v>
      </c>
      <c r="T425" s="15">
        <f>IF(S425="oui",Parametres!$B$5,"")</f>
        <v>500</v>
      </c>
      <c r="U425" s="7" t="s">
        <v>134</v>
      </c>
      <c r="V425" s="15">
        <f t="shared" si="24"/>
        <v>500</v>
      </c>
      <c r="W425" s="15" t="str">
        <f t="shared" si="25"/>
        <v/>
      </c>
      <c r="X425" s="6" t="s">
        <v>90</v>
      </c>
      <c r="Y425" s="7" t="s">
        <v>133</v>
      </c>
      <c r="Z425" s="10"/>
      <c r="AA425" s="6" t="s">
        <v>93</v>
      </c>
      <c r="AB425" s="7" t="s">
        <v>160</v>
      </c>
      <c r="AC425" s="10"/>
      <c r="AD425" s="9" t="str">
        <f t="shared" si="26"/>
        <v>oui</v>
      </c>
      <c r="AE425" s="9" t="str">
        <f t="shared" si="27"/>
        <v>TAE manquant</v>
      </c>
      <c r="AF425" s="7"/>
      <c r="AG425" s="10"/>
      <c r="AH425" s="10"/>
      <c r="AI425" s="7" t="s">
        <v>160</v>
      </c>
      <c r="AJ425" s="10"/>
      <c r="AK425" s="10"/>
      <c r="AL425" s="10"/>
      <c r="AM425" s="11" t="s">
        <v>131</v>
      </c>
      <c r="AN425" s="11" t="s">
        <v>131</v>
      </c>
      <c r="AO425" s="11" t="s">
        <v>131</v>
      </c>
      <c r="AP425" s="11" t="s">
        <v>131</v>
      </c>
      <c r="AQ425" s="11"/>
      <c r="AR425" s="7"/>
    </row>
    <row r="426" spans="1:44" ht="14.4" x14ac:dyDescent="0.3">
      <c r="A426" s="6" t="s">
        <v>292</v>
      </c>
      <c r="B426" s="6" t="s">
        <v>2295</v>
      </c>
      <c r="C426" s="6" t="s">
        <v>2296</v>
      </c>
      <c r="D426" s="6" t="s">
        <v>2297</v>
      </c>
      <c r="E426" s="6" t="s">
        <v>2298</v>
      </c>
      <c r="F426" s="7" t="s">
        <v>125</v>
      </c>
      <c r="G426" s="10"/>
      <c r="H426" s="7" t="s">
        <v>93</v>
      </c>
      <c r="I426" s="7"/>
      <c r="J426" s="10"/>
      <c r="K426" s="6" t="s">
        <v>90</v>
      </c>
      <c r="L426" s="7"/>
      <c r="M426" s="14"/>
      <c r="N426" s="7" t="s">
        <v>93</v>
      </c>
      <c r="O426" s="10"/>
      <c r="P426" s="7" t="s">
        <v>90</v>
      </c>
      <c r="Q426" s="15">
        <f>IF(P426="oui",MIN(Parametres!$B$4,MAX(Parametres!$B$3,IF(M426="",Parametres!$B$3,ROUND(M426*10%,0)))),"")</f>
        <v>0</v>
      </c>
      <c r="R426" s="7" t="s">
        <v>134</v>
      </c>
      <c r="S426" s="7" t="s">
        <v>90</v>
      </c>
      <c r="T426" s="15">
        <f>IF(S426="oui",Parametres!$B$5,"")</f>
        <v>500</v>
      </c>
      <c r="U426" s="7" t="s">
        <v>134</v>
      </c>
      <c r="V426" s="15">
        <f t="shared" si="24"/>
        <v>500</v>
      </c>
      <c r="W426" s="15" t="str">
        <f t="shared" si="25"/>
        <v/>
      </c>
      <c r="X426" s="6" t="s">
        <v>90</v>
      </c>
      <c r="Y426" s="7" t="s">
        <v>133</v>
      </c>
      <c r="Z426" s="10"/>
      <c r="AA426" s="6" t="s">
        <v>93</v>
      </c>
      <c r="AB426" s="7" t="s">
        <v>160</v>
      </c>
      <c r="AC426" s="10"/>
      <c r="AD426" s="9" t="str">
        <f t="shared" si="26"/>
        <v>oui</v>
      </c>
      <c r="AE426" s="9" t="str">
        <f t="shared" si="27"/>
        <v>TAE manquant</v>
      </c>
      <c r="AF426" s="7"/>
      <c r="AG426" s="10"/>
      <c r="AH426" s="10"/>
      <c r="AI426" s="7" t="s">
        <v>160</v>
      </c>
      <c r="AJ426" s="10"/>
      <c r="AK426" s="10"/>
      <c r="AL426" s="10"/>
      <c r="AM426" s="11" t="s">
        <v>131</v>
      </c>
      <c r="AN426" s="11" t="s">
        <v>131</v>
      </c>
      <c r="AO426" s="11" t="s">
        <v>131</v>
      </c>
      <c r="AP426" s="11" t="s">
        <v>131</v>
      </c>
      <c r="AQ426" s="11"/>
      <c r="AR426" s="7"/>
    </row>
    <row r="427" spans="1:44" ht="14.4" x14ac:dyDescent="0.3">
      <c r="A427" s="6" t="s">
        <v>292</v>
      </c>
      <c r="B427" s="6" t="s">
        <v>2295</v>
      </c>
      <c r="C427" s="6" t="s">
        <v>2302</v>
      </c>
      <c r="D427" s="6" t="s">
        <v>2297</v>
      </c>
      <c r="E427" s="6" t="s">
        <v>2303</v>
      </c>
      <c r="F427" s="7" t="s">
        <v>125</v>
      </c>
      <c r="G427" s="10"/>
      <c r="H427" s="7" t="s">
        <v>93</v>
      </c>
      <c r="I427" s="7"/>
      <c r="J427" s="10"/>
      <c r="K427" s="6" t="s">
        <v>90</v>
      </c>
      <c r="L427" s="7"/>
      <c r="M427" s="14"/>
      <c r="N427" s="7" t="s">
        <v>93</v>
      </c>
      <c r="O427" s="10"/>
      <c r="P427" s="7" t="s">
        <v>90</v>
      </c>
      <c r="Q427" s="15">
        <f>IF(P427="oui",MIN(Parametres!$B$4,MAX(Parametres!$B$3,IF(M427="",Parametres!$B$3,ROUND(M427*10%,0)))),"")</f>
        <v>0</v>
      </c>
      <c r="R427" s="7" t="s">
        <v>134</v>
      </c>
      <c r="S427" s="7" t="s">
        <v>90</v>
      </c>
      <c r="T427" s="15">
        <f>IF(S427="oui",Parametres!$B$5,"")</f>
        <v>500</v>
      </c>
      <c r="U427" s="7" t="s">
        <v>134</v>
      </c>
      <c r="V427" s="15">
        <f t="shared" si="24"/>
        <v>500</v>
      </c>
      <c r="W427" s="15" t="str">
        <f t="shared" si="25"/>
        <v/>
      </c>
      <c r="X427" s="6" t="s">
        <v>90</v>
      </c>
      <c r="Y427" s="7" t="s">
        <v>133</v>
      </c>
      <c r="Z427" s="10"/>
      <c r="AA427" s="6" t="s">
        <v>93</v>
      </c>
      <c r="AB427" s="7" t="s">
        <v>160</v>
      </c>
      <c r="AC427" s="10"/>
      <c r="AD427" s="9" t="str">
        <f t="shared" si="26"/>
        <v>oui</v>
      </c>
      <c r="AE427" s="9" t="str">
        <f t="shared" si="27"/>
        <v>TAE manquant</v>
      </c>
      <c r="AF427" s="7"/>
      <c r="AG427" s="10"/>
      <c r="AH427" s="10"/>
      <c r="AI427" s="7" t="s">
        <v>160</v>
      </c>
      <c r="AJ427" s="10"/>
      <c r="AK427" s="10"/>
      <c r="AL427" s="10"/>
      <c r="AM427" s="11" t="s">
        <v>131</v>
      </c>
      <c r="AN427" s="11" t="s">
        <v>131</v>
      </c>
      <c r="AO427" s="11" t="s">
        <v>131</v>
      </c>
      <c r="AP427" s="11" t="s">
        <v>131</v>
      </c>
      <c r="AQ427" s="11"/>
      <c r="AR427" s="7"/>
    </row>
    <row r="428" spans="1:44" ht="14.4" x14ac:dyDescent="0.3">
      <c r="A428" s="6" t="s">
        <v>292</v>
      </c>
      <c r="B428" s="6" t="s">
        <v>2295</v>
      </c>
      <c r="C428" s="6" t="s">
        <v>2306</v>
      </c>
      <c r="D428" s="6" t="s">
        <v>2297</v>
      </c>
      <c r="E428" s="6" t="s">
        <v>2307</v>
      </c>
      <c r="F428" s="7" t="s">
        <v>125</v>
      </c>
      <c r="G428" s="10"/>
      <c r="H428" s="7" t="s">
        <v>93</v>
      </c>
      <c r="I428" s="7"/>
      <c r="J428" s="10"/>
      <c r="K428" s="6" t="s">
        <v>90</v>
      </c>
      <c r="L428" s="7"/>
      <c r="M428" s="14"/>
      <c r="N428" s="7" t="s">
        <v>93</v>
      </c>
      <c r="O428" s="10"/>
      <c r="P428" s="7" t="s">
        <v>90</v>
      </c>
      <c r="Q428" s="15">
        <f>IF(P428="oui",MIN(Parametres!$B$4,MAX(Parametres!$B$3,IF(M428="",Parametres!$B$3,ROUND(M428*10%,0)))),"")</f>
        <v>0</v>
      </c>
      <c r="R428" s="7" t="s">
        <v>134</v>
      </c>
      <c r="S428" s="7" t="s">
        <v>90</v>
      </c>
      <c r="T428" s="15">
        <f>IF(S428="oui",Parametres!$B$5,"")</f>
        <v>500</v>
      </c>
      <c r="U428" s="7" t="s">
        <v>134</v>
      </c>
      <c r="V428" s="15">
        <f t="shared" si="24"/>
        <v>500</v>
      </c>
      <c r="W428" s="15" t="str">
        <f t="shared" si="25"/>
        <v/>
      </c>
      <c r="X428" s="6" t="s">
        <v>90</v>
      </c>
      <c r="Y428" s="7" t="s">
        <v>133</v>
      </c>
      <c r="Z428" s="10"/>
      <c r="AA428" s="6" t="s">
        <v>93</v>
      </c>
      <c r="AB428" s="7" t="s">
        <v>160</v>
      </c>
      <c r="AC428" s="10"/>
      <c r="AD428" s="9" t="str">
        <f t="shared" si="26"/>
        <v>oui</v>
      </c>
      <c r="AE428" s="9" t="str">
        <f t="shared" si="27"/>
        <v>TAE manquant</v>
      </c>
      <c r="AF428" s="7"/>
      <c r="AG428" s="10"/>
      <c r="AH428" s="10"/>
      <c r="AI428" s="7" t="s">
        <v>160</v>
      </c>
      <c r="AJ428" s="10"/>
      <c r="AK428" s="10"/>
      <c r="AL428" s="10"/>
      <c r="AM428" s="11" t="s">
        <v>131</v>
      </c>
      <c r="AN428" s="11" t="s">
        <v>131</v>
      </c>
      <c r="AO428" s="11" t="s">
        <v>131</v>
      </c>
      <c r="AP428" s="11" t="s">
        <v>131</v>
      </c>
      <c r="AQ428" s="11"/>
      <c r="AR428" s="7"/>
    </row>
    <row r="429" spans="1:44" ht="14.4" x14ac:dyDescent="0.3">
      <c r="A429" s="6" t="s">
        <v>292</v>
      </c>
      <c r="B429" s="6" t="s">
        <v>2295</v>
      </c>
      <c r="C429" s="6" t="s">
        <v>2309</v>
      </c>
      <c r="D429" s="6" t="s">
        <v>2297</v>
      </c>
      <c r="E429" s="6" t="s">
        <v>2310</v>
      </c>
      <c r="F429" s="7" t="s">
        <v>125</v>
      </c>
      <c r="G429" s="10"/>
      <c r="H429" s="7" t="s">
        <v>93</v>
      </c>
      <c r="I429" s="7"/>
      <c r="J429" s="10"/>
      <c r="K429" s="6" t="s">
        <v>90</v>
      </c>
      <c r="L429" s="7"/>
      <c r="M429" s="14"/>
      <c r="N429" s="7" t="s">
        <v>93</v>
      </c>
      <c r="O429" s="10"/>
      <c r="P429" s="7" t="s">
        <v>90</v>
      </c>
      <c r="Q429" s="15">
        <f>IF(P429="oui",MIN(Parametres!$B$4,MAX(Parametres!$B$3,IF(M429="",Parametres!$B$3,ROUND(M429*10%,0)))),"")</f>
        <v>0</v>
      </c>
      <c r="R429" s="7" t="s">
        <v>134</v>
      </c>
      <c r="S429" s="7" t="s">
        <v>90</v>
      </c>
      <c r="T429" s="15">
        <f>IF(S429="oui",Parametres!$B$5,"")</f>
        <v>500</v>
      </c>
      <c r="U429" s="7" t="s">
        <v>134</v>
      </c>
      <c r="V429" s="15">
        <f t="shared" si="24"/>
        <v>500</v>
      </c>
      <c r="W429" s="15" t="str">
        <f t="shared" si="25"/>
        <v/>
      </c>
      <c r="X429" s="6" t="s">
        <v>90</v>
      </c>
      <c r="Y429" s="7" t="s">
        <v>133</v>
      </c>
      <c r="Z429" s="10"/>
      <c r="AA429" s="6" t="s">
        <v>93</v>
      </c>
      <c r="AB429" s="7" t="s">
        <v>160</v>
      </c>
      <c r="AC429" s="10"/>
      <c r="AD429" s="9" t="str">
        <f t="shared" si="26"/>
        <v>oui</v>
      </c>
      <c r="AE429" s="9" t="str">
        <f t="shared" si="27"/>
        <v>TAE manquant</v>
      </c>
      <c r="AF429" s="7"/>
      <c r="AG429" s="10"/>
      <c r="AH429" s="10"/>
      <c r="AI429" s="7" t="s">
        <v>160</v>
      </c>
      <c r="AJ429" s="10"/>
      <c r="AK429" s="10"/>
      <c r="AL429" s="10"/>
      <c r="AM429" s="11" t="s">
        <v>131</v>
      </c>
      <c r="AN429" s="11" t="s">
        <v>131</v>
      </c>
      <c r="AO429" s="11" t="s">
        <v>131</v>
      </c>
      <c r="AP429" s="11" t="s">
        <v>131</v>
      </c>
      <c r="AQ429" s="11"/>
      <c r="AR429" s="7"/>
    </row>
    <row r="430" spans="1:44" ht="14.4" x14ac:dyDescent="0.3">
      <c r="A430" s="6" t="s">
        <v>292</v>
      </c>
      <c r="B430" s="6" t="s">
        <v>2295</v>
      </c>
      <c r="C430" s="6" t="s">
        <v>2314</v>
      </c>
      <c r="D430" s="6" t="s">
        <v>2297</v>
      </c>
      <c r="E430" s="6" t="s">
        <v>2315</v>
      </c>
      <c r="F430" s="7" t="s">
        <v>125</v>
      </c>
      <c r="G430" s="10"/>
      <c r="H430" s="7" t="s">
        <v>93</v>
      </c>
      <c r="I430" s="7"/>
      <c r="J430" s="10"/>
      <c r="K430" s="6" t="s">
        <v>90</v>
      </c>
      <c r="L430" s="7"/>
      <c r="M430" s="14"/>
      <c r="N430" s="7" t="s">
        <v>93</v>
      </c>
      <c r="O430" s="10"/>
      <c r="P430" s="7" t="s">
        <v>90</v>
      </c>
      <c r="Q430" s="15">
        <f>IF(P430="oui",MIN(Parametres!$B$4,MAX(Parametres!$B$3,IF(M430="",Parametres!$B$3,ROUND(M430*10%,0)))),"")</f>
        <v>0</v>
      </c>
      <c r="R430" s="7" t="s">
        <v>134</v>
      </c>
      <c r="S430" s="7" t="s">
        <v>90</v>
      </c>
      <c r="T430" s="15">
        <f>IF(S430="oui",Parametres!$B$5,"")</f>
        <v>500</v>
      </c>
      <c r="U430" s="7" t="s">
        <v>134</v>
      </c>
      <c r="V430" s="15">
        <f t="shared" si="24"/>
        <v>500</v>
      </c>
      <c r="W430" s="15" t="str">
        <f t="shared" si="25"/>
        <v/>
      </c>
      <c r="X430" s="6" t="s">
        <v>90</v>
      </c>
      <c r="Y430" s="7" t="s">
        <v>133</v>
      </c>
      <c r="Z430" s="10"/>
      <c r="AA430" s="6" t="s">
        <v>93</v>
      </c>
      <c r="AB430" s="7" t="s">
        <v>160</v>
      </c>
      <c r="AC430" s="10"/>
      <c r="AD430" s="9" t="str">
        <f t="shared" si="26"/>
        <v>oui</v>
      </c>
      <c r="AE430" s="9" t="str">
        <f t="shared" si="27"/>
        <v>TAE manquant</v>
      </c>
      <c r="AF430" s="7"/>
      <c r="AG430" s="10"/>
      <c r="AH430" s="10"/>
      <c r="AI430" s="7" t="s">
        <v>160</v>
      </c>
      <c r="AJ430" s="10"/>
      <c r="AK430" s="10"/>
      <c r="AL430" s="10"/>
      <c r="AM430" s="11" t="s">
        <v>131</v>
      </c>
      <c r="AN430" s="11" t="s">
        <v>131</v>
      </c>
      <c r="AO430" s="11" t="s">
        <v>131</v>
      </c>
      <c r="AP430" s="11" t="s">
        <v>131</v>
      </c>
      <c r="AQ430" s="11"/>
      <c r="AR430" s="7"/>
    </row>
    <row r="431" spans="1:44" ht="14.4" x14ac:dyDescent="0.3">
      <c r="A431" s="6" t="s">
        <v>292</v>
      </c>
      <c r="B431" s="6" t="s">
        <v>2295</v>
      </c>
      <c r="C431" s="6" t="s">
        <v>2318</v>
      </c>
      <c r="D431" s="6" t="s">
        <v>2297</v>
      </c>
      <c r="E431" s="6" t="s">
        <v>2319</v>
      </c>
      <c r="F431" s="7" t="s">
        <v>125</v>
      </c>
      <c r="G431" s="10"/>
      <c r="H431" s="7" t="s">
        <v>93</v>
      </c>
      <c r="I431" s="7"/>
      <c r="J431" s="10"/>
      <c r="K431" s="6" t="s">
        <v>90</v>
      </c>
      <c r="L431" s="7"/>
      <c r="M431" s="14"/>
      <c r="N431" s="7" t="s">
        <v>93</v>
      </c>
      <c r="O431" s="10"/>
      <c r="P431" s="7" t="s">
        <v>90</v>
      </c>
      <c r="Q431" s="15">
        <f>IF(P431="oui",MIN(Parametres!$B$4,MAX(Parametres!$B$3,IF(M431="",Parametres!$B$3,ROUND(M431*10%,0)))),"")</f>
        <v>0</v>
      </c>
      <c r="R431" s="7" t="s">
        <v>134</v>
      </c>
      <c r="S431" s="7" t="s">
        <v>90</v>
      </c>
      <c r="T431" s="15">
        <f>IF(S431="oui",Parametres!$B$5,"")</f>
        <v>500</v>
      </c>
      <c r="U431" s="7" t="s">
        <v>134</v>
      </c>
      <c r="V431" s="15">
        <f t="shared" si="24"/>
        <v>500</v>
      </c>
      <c r="W431" s="15" t="str">
        <f t="shared" si="25"/>
        <v/>
      </c>
      <c r="X431" s="6" t="s">
        <v>90</v>
      </c>
      <c r="Y431" s="7" t="s">
        <v>133</v>
      </c>
      <c r="Z431" s="10"/>
      <c r="AA431" s="6" t="s">
        <v>93</v>
      </c>
      <c r="AB431" s="7" t="s">
        <v>160</v>
      </c>
      <c r="AC431" s="10"/>
      <c r="AD431" s="9" t="str">
        <f t="shared" si="26"/>
        <v>oui</v>
      </c>
      <c r="AE431" s="9" t="str">
        <f t="shared" si="27"/>
        <v>TAE manquant</v>
      </c>
      <c r="AF431" s="7"/>
      <c r="AG431" s="10"/>
      <c r="AH431" s="10"/>
      <c r="AI431" s="7" t="s">
        <v>160</v>
      </c>
      <c r="AJ431" s="10"/>
      <c r="AK431" s="10"/>
      <c r="AL431" s="10"/>
      <c r="AM431" s="11" t="s">
        <v>131</v>
      </c>
      <c r="AN431" s="11" t="s">
        <v>131</v>
      </c>
      <c r="AO431" s="11" t="s">
        <v>131</v>
      </c>
      <c r="AP431" s="11" t="s">
        <v>131</v>
      </c>
      <c r="AQ431" s="11"/>
      <c r="AR431" s="7"/>
    </row>
    <row r="432" spans="1:44" ht="14.4" x14ac:dyDescent="0.3">
      <c r="A432" s="6" t="s">
        <v>292</v>
      </c>
      <c r="B432" s="6" t="s">
        <v>2295</v>
      </c>
      <c r="C432" s="6" t="s">
        <v>2322</v>
      </c>
      <c r="D432" s="6" t="s">
        <v>2297</v>
      </c>
      <c r="E432" s="6" t="s">
        <v>2323</v>
      </c>
      <c r="F432" s="7" t="s">
        <v>125</v>
      </c>
      <c r="G432" s="10"/>
      <c r="H432" s="7" t="s">
        <v>93</v>
      </c>
      <c r="I432" s="7"/>
      <c r="J432" s="10"/>
      <c r="K432" s="6" t="s">
        <v>90</v>
      </c>
      <c r="L432" s="7"/>
      <c r="M432" s="14"/>
      <c r="N432" s="7" t="s">
        <v>93</v>
      </c>
      <c r="O432" s="10"/>
      <c r="P432" s="7" t="s">
        <v>90</v>
      </c>
      <c r="Q432" s="15">
        <f>IF(P432="oui",MIN(Parametres!$B$4,MAX(Parametres!$B$3,IF(M432="",Parametres!$B$3,ROUND(M432*10%,0)))),"")</f>
        <v>0</v>
      </c>
      <c r="R432" s="7" t="s">
        <v>134</v>
      </c>
      <c r="S432" s="7" t="s">
        <v>90</v>
      </c>
      <c r="T432" s="15">
        <f>IF(S432="oui",Parametres!$B$5,"")</f>
        <v>500</v>
      </c>
      <c r="U432" s="7" t="s">
        <v>134</v>
      </c>
      <c r="V432" s="15">
        <f t="shared" si="24"/>
        <v>500</v>
      </c>
      <c r="W432" s="15" t="str">
        <f t="shared" si="25"/>
        <v/>
      </c>
      <c r="X432" s="6" t="s">
        <v>90</v>
      </c>
      <c r="Y432" s="7" t="s">
        <v>133</v>
      </c>
      <c r="Z432" s="10"/>
      <c r="AA432" s="6" t="s">
        <v>93</v>
      </c>
      <c r="AB432" s="7" t="s">
        <v>160</v>
      </c>
      <c r="AC432" s="10"/>
      <c r="AD432" s="9" t="str">
        <f t="shared" si="26"/>
        <v>oui</v>
      </c>
      <c r="AE432" s="9" t="str">
        <f t="shared" si="27"/>
        <v>TAE manquant</v>
      </c>
      <c r="AF432" s="7"/>
      <c r="AG432" s="10"/>
      <c r="AH432" s="10"/>
      <c r="AI432" s="7" t="s">
        <v>160</v>
      </c>
      <c r="AJ432" s="10"/>
      <c r="AK432" s="10"/>
      <c r="AL432" s="10"/>
      <c r="AM432" s="11" t="s">
        <v>131</v>
      </c>
      <c r="AN432" s="11" t="s">
        <v>131</v>
      </c>
      <c r="AO432" s="11" t="s">
        <v>131</v>
      </c>
      <c r="AP432" s="11" t="s">
        <v>131</v>
      </c>
      <c r="AQ432" s="11"/>
      <c r="AR432" s="7"/>
    </row>
    <row r="433" spans="1:44" ht="14.4" x14ac:dyDescent="0.3">
      <c r="A433" s="6" t="s">
        <v>292</v>
      </c>
      <c r="B433" s="6" t="s">
        <v>2295</v>
      </c>
      <c r="C433" s="6" t="s">
        <v>2328</v>
      </c>
      <c r="D433" s="6" t="s">
        <v>2297</v>
      </c>
      <c r="E433" s="6" t="s">
        <v>2329</v>
      </c>
      <c r="F433" s="7" t="s">
        <v>125</v>
      </c>
      <c r="G433" s="10"/>
      <c r="H433" s="7" t="s">
        <v>93</v>
      </c>
      <c r="I433" s="7"/>
      <c r="J433" s="10"/>
      <c r="K433" s="6" t="s">
        <v>90</v>
      </c>
      <c r="L433" s="7"/>
      <c r="M433" s="14"/>
      <c r="N433" s="7" t="s">
        <v>93</v>
      </c>
      <c r="O433" s="10"/>
      <c r="P433" s="7" t="s">
        <v>90</v>
      </c>
      <c r="Q433" s="15">
        <f>IF(P433="oui",MIN(Parametres!$B$4,MAX(Parametres!$B$3,IF(M433="",Parametres!$B$3,ROUND(M433*10%,0)))),"")</f>
        <v>0</v>
      </c>
      <c r="R433" s="7" t="s">
        <v>134</v>
      </c>
      <c r="S433" s="7" t="s">
        <v>90</v>
      </c>
      <c r="T433" s="15">
        <f>IF(S433="oui",Parametres!$B$5,"")</f>
        <v>500</v>
      </c>
      <c r="U433" s="7" t="s">
        <v>134</v>
      </c>
      <c r="V433" s="15">
        <f t="shared" si="24"/>
        <v>500</v>
      </c>
      <c r="W433" s="15" t="str">
        <f t="shared" si="25"/>
        <v/>
      </c>
      <c r="X433" s="6" t="s">
        <v>90</v>
      </c>
      <c r="Y433" s="7" t="s">
        <v>133</v>
      </c>
      <c r="Z433" s="10"/>
      <c r="AA433" s="6" t="s">
        <v>93</v>
      </c>
      <c r="AB433" s="7" t="s">
        <v>160</v>
      </c>
      <c r="AC433" s="10"/>
      <c r="AD433" s="9" t="str">
        <f t="shared" si="26"/>
        <v>oui</v>
      </c>
      <c r="AE433" s="9" t="str">
        <f t="shared" si="27"/>
        <v>TAE manquant</v>
      </c>
      <c r="AF433" s="7"/>
      <c r="AG433" s="10"/>
      <c r="AH433" s="10"/>
      <c r="AI433" s="7" t="s">
        <v>160</v>
      </c>
      <c r="AJ433" s="10"/>
      <c r="AK433" s="10"/>
      <c r="AL433" s="10"/>
      <c r="AM433" s="11" t="s">
        <v>131</v>
      </c>
      <c r="AN433" s="11" t="s">
        <v>131</v>
      </c>
      <c r="AO433" s="11" t="s">
        <v>131</v>
      </c>
      <c r="AP433" s="11" t="s">
        <v>131</v>
      </c>
      <c r="AQ433" s="11"/>
      <c r="AR433" s="7"/>
    </row>
    <row r="434" spans="1:44" ht="14.4" x14ac:dyDescent="0.3">
      <c r="A434" s="6" t="s">
        <v>292</v>
      </c>
      <c r="B434" s="6" t="s">
        <v>2295</v>
      </c>
      <c r="C434" s="6" t="s">
        <v>2333</v>
      </c>
      <c r="D434" s="6" t="s">
        <v>2297</v>
      </c>
      <c r="E434" s="6" t="s">
        <v>2334</v>
      </c>
      <c r="F434" s="7" t="s">
        <v>125</v>
      </c>
      <c r="G434" s="10"/>
      <c r="H434" s="7" t="s">
        <v>93</v>
      </c>
      <c r="I434" s="7"/>
      <c r="J434" s="10"/>
      <c r="K434" s="6" t="s">
        <v>90</v>
      </c>
      <c r="L434" s="7"/>
      <c r="M434" s="14"/>
      <c r="N434" s="7" t="s">
        <v>93</v>
      </c>
      <c r="O434" s="10"/>
      <c r="P434" s="7" t="s">
        <v>90</v>
      </c>
      <c r="Q434" s="15">
        <f>IF(P434="oui",MIN(Parametres!$B$4,MAX(Parametres!$B$3,IF(M434="",Parametres!$B$3,ROUND(M434*10%,0)))),"")</f>
        <v>0</v>
      </c>
      <c r="R434" s="7" t="s">
        <v>134</v>
      </c>
      <c r="S434" s="7" t="s">
        <v>90</v>
      </c>
      <c r="T434" s="15">
        <f>IF(S434="oui",Parametres!$B$5,"")</f>
        <v>500</v>
      </c>
      <c r="U434" s="7" t="s">
        <v>134</v>
      </c>
      <c r="V434" s="15">
        <f t="shared" si="24"/>
        <v>500</v>
      </c>
      <c r="W434" s="15" t="str">
        <f t="shared" si="25"/>
        <v/>
      </c>
      <c r="X434" s="6" t="s">
        <v>90</v>
      </c>
      <c r="Y434" s="7" t="s">
        <v>133</v>
      </c>
      <c r="Z434" s="10"/>
      <c r="AA434" s="6" t="s">
        <v>93</v>
      </c>
      <c r="AB434" s="7" t="s">
        <v>160</v>
      </c>
      <c r="AC434" s="10"/>
      <c r="AD434" s="9" t="str">
        <f t="shared" si="26"/>
        <v>oui</v>
      </c>
      <c r="AE434" s="9" t="str">
        <f t="shared" si="27"/>
        <v>TAE manquant</v>
      </c>
      <c r="AF434" s="7"/>
      <c r="AG434" s="10"/>
      <c r="AH434" s="10"/>
      <c r="AI434" s="7" t="s">
        <v>160</v>
      </c>
      <c r="AJ434" s="10"/>
      <c r="AK434" s="10"/>
      <c r="AL434" s="10"/>
      <c r="AM434" s="11" t="s">
        <v>131</v>
      </c>
      <c r="AN434" s="11" t="s">
        <v>131</v>
      </c>
      <c r="AO434" s="11" t="s">
        <v>131</v>
      </c>
      <c r="AP434" s="11" t="s">
        <v>131</v>
      </c>
      <c r="AQ434" s="11"/>
      <c r="AR434" s="7"/>
    </row>
    <row r="435" spans="1:44" ht="14.4" x14ac:dyDescent="0.3">
      <c r="A435" s="6" t="s">
        <v>292</v>
      </c>
      <c r="B435" s="6" t="s">
        <v>2295</v>
      </c>
      <c r="C435" s="6" t="s">
        <v>2337</v>
      </c>
      <c r="D435" s="6" t="s">
        <v>2297</v>
      </c>
      <c r="E435" s="6" t="s">
        <v>2338</v>
      </c>
      <c r="F435" s="7" t="s">
        <v>125</v>
      </c>
      <c r="G435" s="10"/>
      <c r="H435" s="7" t="s">
        <v>93</v>
      </c>
      <c r="I435" s="7"/>
      <c r="J435" s="10"/>
      <c r="K435" s="6" t="s">
        <v>90</v>
      </c>
      <c r="L435" s="7"/>
      <c r="M435" s="14"/>
      <c r="N435" s="7" t="s">
        <v>93</v>
      </c>
      <c r="O435" s="10"/>
      <c r="P435" s="7" t="s">
        <v>90</v>
      </c>
      <c r="Q435" s="15">
        <f>IF(P435="oui",MIN(Parametres!$B$4,MAX(Parametres!$B$3,IF(M435="",Parametres!$B$3,ROUND(M435*10%,0)))),"")</f>
        <v>0</v>
      </c>
      <c r="R435" s="7" t="s">
        <v>134</v>
      </c>
      <c r="S435" s="7" t="s">
        <v>90</v>
      </c>
      <c r="T435" s="15">
        <f>IF(S435="oui",Parametres!$B$5,"")</f>
        <v>500</v>
      </c>
      <c r="U435" s="7" t="s">
        <v>134</v>
      </c>
      <c r="V435" s="15">
        <f t="shared" si="24"/>
        <v>500</v>
      </c>
      <c r="W435" s="15" t="str">
        <f t="shared" si="25"/>
        <v/>
      </c>
      <c r="X435" s="6" t="s">
        <v>90</v>
      </c>
      <c r="Y435" s="7" t="s">
        <v>133</v>
      </c>
      <c r="Z435" s="10"/>
      <c r="AA435" s="6" t="s">
        <v>93</v>
      </c>
      <c r="AB435" s="7" t="s">
        <v>160</v>
      </c>
      <c r="AC435" s="10"/>
      <c r="AD435" s="9" t="str">
        <f t="shared" si="26"/>
        <v>oui</v>
      </c>
      <c r="AE435" s="9" t="str">
        <f t="shared" si="27"/>
        <v>TAE manquant</v>
      </c>
      <c r="AF435" s="7"/>
      <c r="AG435" s="10"/>
      <c r="AH435" s="10"/>
      <c r="AI435" s="7" t="s">
        <v>160</v>
      </c>
      <c r="AJ435" s="10"/>
      <c r="AK435" s="10"/>
      <c r="AL435" s="10"/>
      <c r="AM435" s="11" t="s">
        <v>131</v>
      </c>
      <c r="AN435" s="11" t="s">
        <v>131</v>
      </c>
      <c r="AO435" s="11" t="s">
        <v>131</v>
      </c>
      <c r="AP435" s="11" t="s">
        <v>131</v>
      </c>
      <c r="AQ435" s="11"/>
      <c r="AR435" s="7"/>
    </row>
    <row r="436" spans="1:44" ht="14.4" x14ac:dyDescent="0.3">
      <c r="A436" s="6" t="s">
        <v>292</v>
      </c>
      <c r="B436" s="6" t="s">
        <v>2295</v>
      </c>
      <c r="C436" s="6" t="s">
        <v>2343</v>
      </c>
      <c r="D436" s="6" t="s">
        <v>2297</v>
      </c>
      <c r="E436" s="6" t="s">
        <v>2344</v>
      </c>
      <c r="F436" s="7" t="s">
        <v>125</v>
      </c>
      <c r="G436" s="10"/>
      <c r="H436" s="7" t="s">
        <v>93</v>
      </c>
      <c r="I436" s="7"/>
      <c r="J436" s="10"/>
      <c r="K436" s="6" t="s">
        <v>90</v>
      </c>
      <c r="L436" s="7"/>
      <c r="M436" s="14"/>
      <c r="N436" s="7" t="s">
        <v>93</v>
      </c>
      <c r="O436" s="10"/>
      <c r="P436" s="7" t="s">
        <v>90</v>
      </c>
      <c r="Q436" s="15">
        <f>IF(P436="oui",MIN(Parametres!$B$4,MAX(Parametres!$B$3,IF(M436="",Parametres!$B$3,ROUND(M436*10%,0)))),"")</f>
        <v>0</v>
      </c>
      <c r="R436" s="7" t="s">
        <v>134</v>
      </c>
      <c r="S436" s="7" t="s">
        <v>90</v>
      </c>
      <c r="T436" s="15">
        <f>IF(S436="oui",Parametres!$B$5,"")</f>
        <v>500</v>
      </c>
      <c r="U436" s="7" t="s">
        <v>134</v>
      </c>
      <c r="V436" s="15">
        <f t="shared" si="24"/>
        <v>500</v>
      </c>
      <c r="W436" s="15" t="str">
        <f t="shared" si="25"/>
        <v/>
      </c>
      <c r="X436" s="6" t="s">
        <v>90</v>
      </c>
      <c r="Y436" s="7" t="s">
        <v>133</v>
      </c>
      <c r="Z436" s="10"/>
      <c r="AA436" s="6" t="s">
        <v>93</v>
      </c>
      <c r="AB436" s="7" t="s">
        <v>160</v>
      </c>
      <c r="AC436" s="10"/>
      <c r="AD436" s="9" t="str">
        <f t="shared" si="26"/>
        <v>oui</v>
      </c>
      <c r="AE436" s="9" t="str">
        <f t="shared" si="27"/>
        <v>TAE manquant</v>
      </c>
      <c r="AF436" s="7"/>
      <c r="AG436" s="10"/>
      <c r="AH436" s="10"/>
      <c r="AI436" s="7" t="s">
        <v>160</v>
      </c>
      <c r="AJ436" s="10"/>
      <c r="AK436" s="10"/>
      <c r="AL436" s="10"/>
      <c r="AM436" s="11" t="s">
        <v>131</v>
      </c>
      <c r="AN436" s="11" t="s">
        <v>131</v>
      </c>
      <c r="AO436" s="11" t="s">
        <v>131</v>
      </c>
      <c r="AP436" s="11" t="s">
        <v>131</v>
      </c>
      <c r="AQ436" s="11"/>
      <c r="AR436" s="7"/>
    </row>
    <row r="437" spans="1:44" ht="14.4" x14ac:dyDescent="0.3">
      <c r="A437" s="6" t="s">
        <v>292</v>
      </c>
      <c r="B437" s="6" t="s">
        <v>2295</v>
      </c>
      <c r="C437" s="6" t="s">
        <v>2347</v>
      </c>
      <c r="D437" s="6" t="s">
        <v>2297</v>
      </c>
      <c r="E437" s="6" t="s">
        <v>2348</v>
      </c>
      <c r="F437" s="7" t="s">
        <v>125</v>
      </c>
      <c r="G437" s="10"/>
      <c r="H437" s="7" t="s">
        <v>93</v>
      </c>
      <c r="I437" s="7"/>
      <c r="J437" s="10"/>
      <c r="K437" s="6" t="s">
        <v>90</v>
      </c>
      <c r="L437" s="7"/>
      <c r="M437" s="14"/>
      <c r="N437" s="7" t="s">
        <v>93</v>
      </c>
      <c r="O437" s="10"/>
      <c r="P437" s="7" t="s">
        <v>90</v>
      </c>
      <c r="Q437" s="15">
        <f>IF(P437="oui",MIN(Parametres!$B$4,MAX(Parametres!$B$3,IF(M437="",Parametres!$B$3,ROUND(M437*10%,0)))),"")</f>
        <v>0</v>
      </c>
      <c r="R437" s="7" t="s">
        <v>134</v>
      </c>
      <c r="S437" s="7" t="s">
        <v>90</v>
      </c>
      <c r="T437" s="15">
        <f>IF(S437="oui",Parametres!$B$5,"")</f>
        <v>500</v>
      </c>
      <c r="U437" s="7" t="s">
        <v>134</v>
      </c>
      <c r="V437" s="15">
        <f t="shared" si="24"/>
        <v>500</v>
      </c>
      <c r="W437" s="15" t="str">
        <f t="shared" si="25"/>
        <v/>
      </c>
      <c r="X437" s="6" t="s">
        <v>90</v>
      </c>
      <c r="Y437" s="7" t="s">
        <v>133</v>
      </c>
      <c r="Z437" s="10"/>
      <c r="AA437" s="6" t="s">
        <v>93</v>
      </c>
      <c r="AB437" s="7" t="s">
        <v>160</v>
      </c>
      <c r="AC437" s="10"/>
      <c r="AD437" s="9" t="str">
        <f t="shared" si="26"/>
        <v>oui</v>
      </c>
      <c r="AE437" s="9" t="str">
        <f t="shared" si="27"/>
        <v>TAE manquant</v>
      </c>
      <c r="AF437" s="7"/>
      <c r="AG437" s="10"/>
      <c r="AH437" s="10"/>
      <c r="AI437" s="7" t="s">
        <v>160</v>
      </c>
      <c r="AJ437" s="10"/>
      <c r="AK437" s="10"/>
      <c r="AL437" s="10"/>
      <c r="AM437" s="11" t="s">
        <v>131</v>
      </c>
      <c r="AN437" s="11" t="s">
        <v>131</v>
      </c>
      <c r="AO437" s="11" t="s">
        <v>131</v>
      </c>
      <c r="AP437" s="11" t="s">
        <v>131</v>
      </c>
      <c r="AQ437" s="11"/>
      <c r="AR437" s="7"/>
    </row>
    <row r="438" spans="1:44" ht="14.4" x14ac:dyDescent="0.3">
      <c r="A438" s="6" t="s">
        <v>292</v>
      </c>
      <c r="B438" s="6" t="s">
        <v>2295</v>
      </c>
      <c r="C438" s="6" t="s">
        <v>2350</v>
      </c>
      <c r="D438" s="6" t="s">
        <v>2297</v>
      </c>
      <c r="E438" s="6" t="s">
        <v>2351</v>
      </c>
      <c r="F438" s="7" t="s">
        <v>125</v>
      </c>
      <c r="G438" s="10"/>
      <c r="H438" s="7" t="s">
        <v>93</v>
      </c>
      <c r="I438" s="7"/>
      <c r="J438" s="10"/>
      <c r="K438" s="6" t="s">
        <v>90</v>
      </c>
      <c r="L438" s="7"/>
      <c r="M438" s="14"/>
      <c r="N438" s="7" t="s">
        <v>93</v>
      </c>
      <c r="O438" s="10"/>
      <c r="P438" s="7" t="s">
        <v>90</v>
      </c>
      <c r="Q438" s="15">
        <f>IF(P438="oui",MIN(Parametres!$B$4,MAX(Parametres!$B$3,IF(M438="",Parametres!$B$3,ROUND(M438*10%,0)))),"")</f>
        <v>0</v>
      </c>
      <c r="R438" s="7" t="s">
        <v>134</v>
      </c>
      <c r="S438" s="7" t="s">
        <v>90</v>
      </c>
      <c r="T438" s="15">
        <f>IF(S438="oui",Parametres!$B$5,"")</f>
        <v>500</v>
      </c>
      <c r="U438" s="7" t="s">
        <v>134</v>
      </c>
      <c r="V438" s="15">
        <f t="shared" si="24"/>
        <v>500</v>
      </c>
      <c r="W438" s="15" t="str">
        <f t="shared" si="25"/>
        <v/>
      </c>
      <c r="X438" s="6" t="s">
        <v>90</v>
      </c>
      <c r="Y438" s="7" t="s">
        <v>133</v>
      </c>
      <c r="Z438" s="10"/>
      <c r="AA438" s="6" t="s">
        <v>93</v>
      </c>
      <c r="AB438" s="7" t="s">
        <v>160</v>
      </c>
      <c r="AC438" s="10"/>
      <c r="AD438" s="9" t="str">
        <f t="shared" si="26"/>
        <v>oui</v>
      </c>
      <c r="AE438" s="9" t="str">
        <f t="shared" si="27"/>
        <v>TAE manquant</v>
      </c>
      <c r="AF438" s="7"/>
      <c r="AG438" s="10"/>
      <c r="AH438" s="10"/>
      <c r="AI438" s="7" t="s">
        <v>160</v>
      </c>
      <c r="AJ438" s="10"/>
      <c r="AK438" s="10"/>
      <c r="AL438" s="10"/>
      <c r="AM438" s="11" t="s">
        <v>131</v>
      </c>
      <c r="AN438" s="11" t="s">
        <v>131</v>
      </c>
      <c r="AO438" s="11" t="s">
        <v>131</v>
      </c>
      <c r="AP438" s="11" t="s">
        <v>131</v>
      </c>
      <c r="AQ438" s="11"/>
      <c r="AR438" s="7"/>
    </row>
    <row r="439" spans="1:44" ht="14.4" x14ac:dyDescent="0.3">
      <c r="A439" s="6" t="s">
        <v>292</v>
      </c>
      <c r="B439" s="6" t="s">
        <v>2295</v>
      </c>
      <c r="C439" s="6" t="s">
        <v>2355</v>
      </c>
      <c r="D439" s="6" t="s">
        <v>2297</v>
      </c>
      <c r="E439" s="6" t="s">
        <v>2356</v>
      </c>
      <c r="F439" s="7" t="s">
        <v>125</v>
      </c>
      <c r="G439" s="10"/>
      <c r="H439" s="7" t="s">
        <v>93</v>
      </c>
      <c r="I439" s="7"/>
      <c r="J439" s="10"/>
      <c r="K439" s="6" t="s">
        <v>90</v>
      </c>
      <c r="L439" s="7"/>
      <c r="M439" s="14"/>
      <c r="N439" s="7" t="s">
        <v>93</v>
      </c>
      <c r="O439" s="10"/>
      <c r="P439" s="7" t="s">
        <v>90</v>
      </c>
      <c r="Q439" s="15">
        <f>IF(P439="oui",MIN(Parametres!$B$4,MAX(Parametres!$B$3,IF(M439="",Parametres!$B$3,ROUND(M439*10%,0)))),"")</f>
        <v>0</v>
      </c>
      <c r="R439" s="7" t="s">
        <v>134</v>
      </c>
      <c r="S439" s="7" t="s">
        <v>90</v>
      </c>
      <c r="T439" s="15">
        <f>IF(S439="oui",Parametres!$B$5,"")</f>
        <v>500</v>
      </c>
      <c r="U439" s="7" t="s">
        <v>134</v>
      </c>
      <c r="V439" s="15">
        <f t="shared" si="24"/>
        <v>500</v>
      </c>
      <c r="W439" s="15" t="str">
        <f t="shared" si="25"/>
        <v/>
      </c>
      <c r="X439" s="6" t="s">
        <v>90</v>
      </c>
      <c r="Y439" s="7" t="s">
        <v>133</v>
      </c>
      <c r="Z439" s="10"/>
      <c r="AA439" s="6" t="s">
        <v>93</v>
      </c>
      <c r="AB439" s="7" t="s">
        <v>160</v>
      </c>
      <c r="AC439" s="10"/>
      <c r="AD439" s="9" t="str">
        <f t="shared" si="26"/>
        <v>oui</v>
      </c>
      <c r="AE439" s="9" t="str">
        <f t="shared" si="27"/>
        <v>TAE manquant</v>
      </c>
      <c r="AF439" s="7"/>
      <c r="AG439" s="10"/>
      <c r="AH439" s="10"/>
      <c r="AI439" s="7" t="s">
        <v>160</v>
      </c>
      <c r="AJ439" s="10"/>
      <c r="AK439" s="10"/>
      <c r="AL439" s="10"/>
      <c r="AM439" s="11" t="s">
        <v>131</v>
      </c>
      <c r="AN439" s="11" t="s">
        <v>131</v>
      </c>
      <c r="AO439" s="11" t="s">
        <v>131</v>
      </c>
      <c r="AP439" s="11" t="s">
        <v>131</v>
      </c>
      <c r="AQ439" s="11"/>
      <c r="AR439" s="7"/>
    </row>
    <row r="440" spans="1:44" ht="14.4" x14ac:dyDescent="0.3">
      <c r="A440" s="6" t="s">
        <v>292</v>
      </c>
      <c r="B440" s="6" t="s">
        <v>2295</v>
      </c>
      <c r="C440" s="6" t="s">
        <v>2360</v>
      </c>
      <c r="D440" s="6" t="s">
        <v>2297</v>
      </c>
      <c r="E440" s="6" t="s">
        <v>2361</v>
      </c>
      <c r="F440" s="7" t="s">
        <v>125</v>
      </c>
      <c r="G440" s="10"/>
      <c r="H440" s="7" t="s">
        <v>93</v>
      </c>
      <c r="I440" s="7"/>
      <c r="J440" s="10"/>
      <c r="K440" s="6" t="s">
        <v>90</v>
      </c>
      <c r="L440" s="7"/>
      <c r="M440" s="14"/>
      <c r="N440" s="7" t="s">
        <v>93</v>
      </c>
      <c r="O440" s="10"/>
      <c r="P440" s="7" t="s">
        <v>90</v>
      </c>
      <c r="Q440" s="15">
        <f>IF(P440="oui",MIN(Parametres!$B$4,MAX(Parametres!$B$3,IF(M440="",Parametres!$B$3,ROUND(M440*10%,0)))),"")</f>
        <v>0</v>
      </c>
      <c r="R440" s="7" t="s">
        <v>134</v>
      </c>
      <c r="S440" s="7" t="s">
        <v>90</v>
      </c>
      <c r="T440" s="15">
        <f>IF(S440="oui",Parametres!$B$5,"")</f>
        <v>500</v>
      </c>
      <c r="U440" s="7" t="s">
        <v>134</v>
      </c>
      <c r="V440" s="15">
        <f t="shared" si="24"/>
        <v>500</v>
      </c>
      <c r="W440" s="15" t="str">
        <f t="shared" si="25"/>
        <v/>
      </c>
      <c r="X440" s="6" t="s">
        <v>90</v>
      </c>
      <c r="Y440" s="7" t="s">
        <v>133</v>
      </c>
      <c r="Z440" s="10"/>
      <c r="AA440" s="6" t="s">
        <v>93</v>
      </c>
      <c r="AB440" s="7" t="s">
        <v>160</v>
      </c>
      <c r="AC440" s="10"/>
      <c r="AD440" s="9" t="str">
        <f t="shared" si="26"/>
        <v>oui</v>
      </c>
      <c r="AE440" s="9" t="str">
        <f t="shared" si="27"/>
        <v>TAE manquant</v>
      </c>
      <c r="AF440" s="7"/>
      <c r="AG440" s="10"/>
      <c r="AH440" s="10"/>
      <c r="AI440" s="7" t="s">
        <v>160</v>
      </c>
      <c r="AJ440" s="10"/>
      <c r="AK440" s="10"/>
      <c r="AL440" s="10"/>
      <c r="AM440" s="11" t="s">
        <v>131</v>
      </c>
      <c r="AN440" s="11" t="s">
        <v>131</v>
      </c>
      <c r="AO440" s="11" t="s">
        <v>131</v>
      </c>
      <c r="AP440" s="11" t="s">
        <v>131</v>
      </c>
      <c r="AQ440" s="11"/>
      <c r="AR440" s="7"/>
    </row>
    <row r="441" spans="1:44" ht="14.4" x14ac:dyDescent="0.3">
      <c r="A441" s="6" t="s">
        <v>292</v>
      </c>
      <c r="B441" s="6" t="s">
        <v>2295</v>
      </c>
      <c r="C441" s="6" t="s">
        <v>2362</v>
      </c>
      <c r="D441" s="6" t="s">
        <v>2297</v>
      </c>
      <c r="E441" s="6" t="s">
        <v>2363</v>
      </c>
      <c r="F441" s="7" t="s">
        <v>125</v>
      </c>
      <c r="G441" s="10"/>
      <c r="H441" s="7" t="s">
        <v>93</v>
      </c>
      <c r="I441" s="7"/>
      <c r="J441" s="10"/>
      <c r="K441" s="6" t="s">
        <v>90</v>
      </c>
      <c r="L441" s="7"/>
      <c r="M441" s="14"/>
      <c r="N441" s="7" t="s">
        <v>93</v>
      </c>
      <c r="O441" s="10"/>
      <c r="P441" s="7" t="s">
        <v>90</v>
      </c>
      <c r="Q441" s="15">
        <f>IF(P441="oui",MIN(Parametres!$B$4,MAX(Parametres!$B$3,IF(M441="",Parametres!$B$3,ROUND(M441*10%,0)))),"")</f>
        <v>0</v>
      </c>
      <c r="R441" s="7" t="s">
        <v>134</v>
      </c>
      <c r="S441" s="7" t="s">
        <v>90</v>
      </c>
      <c r="T441" s="15">
        <f>IF(S441="oui",Parametres!$B$5,"")</f>
        <v>500</v>
      </c>
      <c r="U441" s="7" t="s">
        <v>134</v>
      </c>
      <c r="V441" s="15">
        <f t="shared" si="24"/>
        <v>500</v>
      </c>
      <c r="W441" s="15" t="str">
        <f t="shared" si="25"/>
        <v/>
      </c>
      <c r="X441" s="6" t="s">
        <v>90</v>
      </c>
      <c r="Y441" s="7" t="s">
        <v>133</v>
      </c>
      <c r="Z441" s="10"/>
      <c r="AA441" s="6" t="s">
        <v>93</v>
      </c>
      <c r="AB441" s="7" t="s">
        <v>160</v>
      </c>
      <c r="AC441" s="10"/>
      <c r="AD441" s="9" t="str">
        <f t="shared" si="26"/>
        <v>oui</v>
      </c>
      <c r="AE441" s="9" t="str">
        <f t="shared" si="27"/>
        <v>TAE manquant</v>
      </c>
      <c r="AF441" s="7"/>
      <c r="AG441" s="10"/>
      <c r="AH441" s="10"/>
      <c r="AI441" s="7" t="s">
        <v>160</v>
      </c>
      <c r="AJ441" s="10"/>
      <c r="AK441" s="10"/>
      <c r="AL441" s="10"/>
      <c r="AM441" s="11" t="s">
        <v>131</v>
      </c>
      <c r="AN441" s="11" t="s">
        <v>131</v>
      </c>
      <c r="AO441" s="11" t="s">
        <v>131</v>
      </c>
      <c r="AP441" s="11" t="s">
        <v>131</v>
      </c>
      <c r="AQ441" s="11"/>
      <c r="AR441" s="7"/>
    </row>
    <row r="442" spans="1:44" ht="14.4" x14ac:dyDescent="0.3">
      <c r="A442" s="6" t="s">
        <v>292</v>
      </c>
      <c r="B442" s="6" t="s">
        <v>2295</v>
      </c>
      <c r="C442" s="6" t="s">
        <v>2366</v>
      </c>
      <c r="D442" s="6" t="s">
        <v>2297</v>
      </c>
      <c r="E442" s="6" t="s">
        <v>2367</v>
      </c>
      <c r="F442" s="7" t="s">
        <v>125</v>
      </c>
      <c r="G442" s="10"/>
      <c r="H442" s="7" t="s">
        <v>93</v>
      </c>
      <c r="I442" s="7"/>
      <c r="J442" s="10"/>
      <c r="K442" s="6" t="s">
        <v>90</v>
      </c>
      <c r="L442" s="7"/>
      <c r="M442" s="14"/>
      <c r="N442" s="7" t="s">
        <v>93</v>
      </c>
      <c r="O442" s="10"/>
      <c r="P442" s="7" t="s">
        <v>90</v>
      </c>
      <c r="Q442" s="15">
        <f>IF(P442="oui",MIN(Parametres!$B$4,MAX(Parametres!$B$3,IF(M442="",Parametres!$B$3,ROUND(M442*10%,0)))),"")</f>
        <v>0</v>
      </c>
      <c r="R442" s="7" t="s">
        <v>134</v>
      </c>
      <c r="S442" s="7" t="s">
        <v>90</v>
      </c>
      <c r="T442" s="15">
        <f>IF(S442="oui",Parametres!$B$5,"")</f>
        <v>500</v>
      </c>
      <c r="U442" s="7" t="s">
        <v>134</v>
      </c>
      <c r="V442" s="15">
        <f t="shared" si="24"/>
        <v>500</v>
      </c>
      <c r="W442" s="15" t="str">
        <f t="shared" si="25"/>
        <v/>
      </c>
      <c r="X442" s="6" t="s">
        <v>90</v>
      </c>
      <c r="Y442" s="7" t="s">
        <v>133</v>
      </c>
      <c r="Z442" s="10"/>
      <c r="AA442" s="6" t="s">
        <v>93</v>
      </c>
      <c r="AB442" s="7" t="s">
        <v>160</v>
      </c>
      <c r="AC442" s="10"/>
      <c r="AD442" s="9" t="str">
        <f t="shared" si="26"/>
        <v>oui</v>
      </c>
      <c r="AE442" s="9" t="str">
        <f t="shared" si="27"/>
        <v>TAE manquant</v>
      </c>
      <c r="AF442" s="7"/>
      <c r="AG442" s="10"/>
      <c r="AH442" s="10"/>
      <c r="AI442" s="7" t="s">
        <v>160</v>
      </c>
      <c r="AJ442" s="10"/>
      <c r="AK442" s="10"/>
      <c r="AL442" s="10"/>
      <c r="AM442" s="11" t="s">
        <v>131</v>
      </c>
      <c r="AN442" s="11" t="s">
        <v>131</v>
      </c>
      <c r="AO442" s="11" t="s">
        <v>131</v>
      </c>
      <c r="AP442" s="11" t="s">
        <v>131</v>
      </c>
      <c r="AQ442" s="11"/>
      <c r="AR442" s="7"/>
    </row>
    <row r="443" spans="1:44" ht="14.4" x14ac:dyDescent="0.3">
      <c r="A443" s="6" t="s">
        <v>292</v>
      </c>
      <c r="B443" s="6" t="s">
        <v>2295</v>
      </c>
      <c r="C443" s="6" t="s">
        <v>2371</v>
      </c>
      <c r="D443" s="6" t="s">
        <v>2297</v>
      </c>
      <c r="E443" s="6" t="s">
        <v>2372</v>
      </c>
      <c r="F443" s="7" t="s">
        <v>125</v>
      </c>
      <c r="G443" s="10"/>
      <c r="H443" s="7" t="s">
        <v>93</v>
      </c>
      <c r="I443" s="7"/>
      <c r="J443" s="10"/>
      <c r="K443" s="6" t="s">
        <v>90</v>
      </c>
      <c r="L443" s="7"/>
      <c r="M443" s="14"/>
      <c r="N443" s="7" t="s">
        <v>93</v>
      </c>
      <c r="O443" s="10"/>
      <c r="P443" s="7" t="s">
        <v>90</v>
      </c>
      <c r="Q443" s="15">
        <f>IF(P443="oui",MIN(Parametres!$B$4,MAX(Parametres!$B$3,IF(M443="",Parametres!$B$3,ROUND(M443*10%,0)))),"")</f>
        <v>0</v>
      </c>
      <c r="R443" s="7" t="s">
        <v>134</v>
      </c>
      <c r="S443" s="7" t="s">
        <v>90</v>
      </c>
      <c r="T443" s="15">
        <f>IF(S443="oui",Parametres!$B$5,"")</f>
        <v>500</v>
      </c>
      <c r="U443" s="7" t="s">
        <v>134</v>
      </c>
      <c r="V443" s="15">
        <f t="shared" si="24"/>
        <v>500</v>
      </c>
      <c r="W443" s="15" t="str">
        <f t="shared" si="25"/>
        <v/>
      </c>
      <c r="X443" s="6" t="s">
        <v>90</v>
      </c>
      <c r="Y443" s="7" t="s">
        <v>133</v>
      </c>
      <c r="Z443" s="10"/>
      <c r="AA443" s="6" t="s">
        <v>93</v>
      </c>
      <c r="AB443" s="7" t="s">
        <v>160</v>
      </c>
      <c r="AC443" s="10"/>
      <c r="AD443" s="9" t="str">
        <f t="shared" si="26"/>
        <v>oui</v>
      </c>
      <c r="AE443" s="9" t="str">
        <f t="shared" si="27"/>
        <v>TAE manquant</v>
      </c>
      <c r="AF443" s="7"/>
      <c r="AG443" s="10"/>
      <c r="AH443" s="10"/>
      <c r="AI443" s="7" t="s">
        <v>160</v>
      </c>
      <c r="AJ443" s="10"/>
      <c r="AK443" s="10"/>
      <c r="AL443" s="10"/>
      <c r="AM443" s="11" t="s">
        <v>131</v>
      </c>
      <c r="AN443" s="11" t="s">
        <v>131</v>
      </c>
      <c r="AO443" s="11" t="s">
        <v>131</v>
      </c>
      <c r="AP443" s="11" t="s">
        <v>131</v>
      </c>
      <c r="AQ443" s="11"/>
      <c r="AR443" s="7"/>
    </row>
    <row r="444" spans="1:44" ht="14.4" x14ac:dyDescent="0.3">
      <c r="A444" s="6" t="s">
        <v>292</v>
      </c>
      <c r="B444" s="6" t="s">
        <v>2295</v>
      </c>
      <c r="C444" s="6" t="s">
        <v>2376</v>
      </c>
      <c r="D444" s="6" t="s">
        <v>2297</v>
      </c>
      <c r="E444" s="6" t="s">
        <v>2377</v>
      </c>
      <c r="F444" s="7" t="s">
        <v>125</v>
      </c>
      <c r="G444" s="10"/>
      <c r="H444" s="7" t="s">
        <v>93</v>
      </c>
      <c r="I444" s="7"/>
      <c r="J444" s="10"/>
      <c r="K444" s="6" t="s">
        <v>90</v>
      </c>
      <c r="L444" s="7"/>
      <c r="M444" s="14"/>
      <c r="N444" s="7" t="s">
        <v>93</v>
      </c>
      <c r="O444" s="10"/>
      <c r="P444" s="7" t="s">
        <v>90</v>
      </c>
      <c r="Q444" s="15">
        <f>IF(P444="oui",MIN(Parametres!$B$4,MAX(Parametres!$B$3,IF(M444="",Parametres!$B$3,ROUND(M444*10%,0)))),"")</f>
        <v>0</v>
      </c>
      <c r="R444" s="7" t="s">
        <v>134</v>
      </c>
      <c r="S444" s="7" t="s">
        <v>90</v>
      </c>
      <c r="T444" s="15">
        <f>IF(S444="oui",Parametres!$B$5,"")</f>
        <v>500</v>
      </c>
      <c r="U444" s="7" t="s">
        <v>134</v>
      </c>
      <c r="V444" s="15">
        <f t="shared" si="24"/>
        <v>500</v>
      </c>
      <c r="W444" s="15" t="str">
        <f t="shared" si="25"/>
        <v/>
      </c>
      <c r="X444" s="6" t="s">
        <v>90</v>
      </c>
      <c r="Y444" s="7" t="s">
        <v>133</v>
      </c>
      <c r="Z444" s="10"/>
      <c r="AA444" s="6" t="s">
        <v>93</v>
      </c>
      <c r="AB444" s="7" t="s">
        <v>160</v>
      </c>
      <c r="AC444" s="10"/>
      <c r="AD444" s="9" t="str">
        <f t="shared" si="26"/>
        <v>oui</v>
      </c>
      <c r="AE444" s="9" t="str">
        <f t="shared" si="27"/>
        <v>TAE manquant</v>
      </c>
      <c r="AF444" s="7"/>
      <c r="AG444" s="10"/>
      <c r="AH444" s="10"/>
      <c r="AI444" s="7" t="s">
        <v>160</v>
      </c>
      <c r="AJ444" s="10"/>
      <c r="AK444" s="10"/>
      <c r="AL444" s="10"/>
      <c r="AM444" s="11" t="s">
        <v>131</v>
      </c>
      <c r="AN444" s="11" t="s">
        <v>131</v>
      </c>
      <c r="AO444" s="11" t="s">
        <v>131</v>
      </c>
      <c r="AP444" s="11" t="s">
        <v>131</v>
      </c>
      <c r="AQ444" s="11"/>
      <c r="AR444" s="7"/>
    </row>
    <row r="445" spans="1:44" ht="14.4" x14ac:dyDescent="0.3">
      <c r="A445" s="6" t="s">
        <v>292</v>
      </c>
      <c r="B445" s="6" t="s">
        <v>2295</v>
      </c>
      <c r="C445" s="6" t="s">
        <v>2378</v>
      </c>
      <c r="D445" s="6" t="s">
        <v>2297</v>
      </c>
      <c r="E445" s="6" t="s">
        <v>2379</v>
      </c>
      <c r="F445" s="7" t="s">
        <v>125</v>
      </c>
      <c r="G445" s="10"/>
      <c r="H445" s="7" t="s">
        <v>93</v>
      </c>
      <c r="I445" s="7"/>
      <c r="J445" s="10"/>
      <c r="K445" s="6" t="s">
        <v>90</v>
      </c>
      <c r="L445" s="7"/>
      <c r="M445" s="14"/>
      <c r="N445" s="7" t="s">
        <v>93</v>
      </c>
      <c r="O445" s="10"/>
      <c r="P445" s="7" t="s">
        <v>90</v>
      </c>
      <c r="Q445" s="15">
        <f>IF(P445="oui",MIN(Parametres!$B$4,MAX(Parametres!$B$3,IF(M445="",Parametres!$B$3,ROUND(M445*10%,0)))),"")</f>
        <v>0</v>
      </c>
      <c r="R445" s="7" t="s">
        <v>134</v>
      </c>
      <c r="S445" s="7" t="s">
        <v>90</v>
      </c>
      <c r="T445" s="15">
        <f>IF(S445="oui",Parametres!$B$5,"")</f>
        <v>500</v>
      </c>
      <c r="U445" s="7" t="s">
        <v>134</v>
      </c>
      <c r="V445" s="15">
        <f t="shared" si="24"/>
        <v>500</v>
      </c>
      <c r="W445" s="15" t="str">
        <f t="shared" si="25"/>
        <v/>
      </c>
      <c r="X445" s="6" t="s">
        <v>90</v>
      </c>
      <c r="Y445" s="7" t="s">
        <v>133</v>
      </c>
      <c r="Z445" s="10"/>
      <c r="AA445" s="6" t="s">
        <v>93</v>
      </c>
      <c r="AB445" s="7" t="s">
        <v>160</v>
      </c>
      <c r="AC445" s="10"/>
      <c r="AD445" s="9" t="str">
        <f t="shared" si="26"/>
        <v>oui</v>
      </c>
      <c r="AE445" s="9" t="str">
        <f t="shared" si="27"/>
        <v>TAE manquant</v>
      </c>
      <c r="AF445" s="7"/>
      <c r="AG445" s="10"/>
      <c r="AH445" s="10"/>
      <c r="AI445" s="7" t="s">
        <v>160</v>
      </c>
      <c r="AJ445" s="10"/>
      <c r="AK445" s="10"/>
      <c r="AL445" s="10"/>
      <c r="AM445" s="11" t="s">
        <v>131</v>
      </c>
      <c r="AN445" s="11" t="s">
        <v>131</v>
      </c>
      <c r="AO445" s="11" t="s">
        <v>131</v>
      </c>
      <c r="AP445" s="11" t="s">
        <v>131</v>
      </c>
      <c r="AQ445" s="11"/>
      <c r="AR445" s="7"/>
    </row>
    <row r="446" spans="1:44" ht="14.4" x14ac:dyDescent="0.3">
      <c r="A446" s="6" t="s">
        <v>292</v>
      </c>
      <c r="B446" s="6" t="s">
        <v>2295</v>
      </c>
      <c r="C446" s="6" t="s">
        <v>2382</v>
      </c>
      <c r="D446" s="6" t="s">
        <v>2297</v>
      </c>
      <c r="E446" s="6" t="s">
        <v>2383</v>
      </c>
      <c r="F446" s="7" t="s">
        <v>125</v>
      </c>
      <c r="G446" s="10"/>
      <c r="H446" s="7" t="s">
        <v>93</v>
      </c>
      <c r="I446" s="7"/>
      <c r="J446" s="10"/>
      <c r="K446" s="6" t="s">
        <v>90</v>
      </c>
      <c r="L446" s="7"/>
      <c r="M446" s="14"/>
      <c r="N446" s="7" t="s">
        <v>93</v>
      </c>
      <c r="O446" s="10"/>
      <c r="P446" s="7" t="s">
        <v>90</v>
      </c>
      <c r="Q446" s="15">
        <f>IF(P446="oui",MIN(Parametres!$B$4,MAX(Parametres!$B$3,IF(M446="",Parametres!$B$3,ROUND(M446*10%,0)))),"")</f>
        <v>0</v>
      </c>
      <c r="R446" s="7" t="s">
        <v>134</v>
      </c>
      <c r="S446" s="7" t="s">
        <v>90</v>
      </c>
      <c r="T446" s="15">
        <f>IF(S446="oui",Parametres!$B$5,"")</f>
        <v>500</v>
      </c>
      <c r="U446" s="7" t="s">
        <v>134</v>
      </c>
      <c r="V446" s="15">
        <f t="shared" si="24"/>
        <v>500</v>
      </c>
      <c r="W446" s="15" t="str">
        <f t="shared" si="25"/>
        <v/>
      </c>
      <c r="X446" s="6" t="s">
        <v>90</v>
      </c>
      <c r="Y446" s="7" t="s">
        <v>133</v>
      </c>
      <c r="Z446" s="10"/>
      <c r="AA446" s="6" t="s">
        <v>93</v>
      </c>
      <c r="AB446" s="7" t="s">
        <v>160</v>
      </c>
      <c r="AC446" s="10"/>
      <c r="AD446" s="9" t="str">
        <f t="shared" si="26"/>
        <v>oui</v>
      </c>
      <c r="AE446" s="9" t="str">
        <f t="shared" si="27"/>
        <v>TAE manquant</v>
      </c>
      <c r="AF446" s="7"/>
      <c r="AG446" s="10"/>
      <c r="AH446" s="10"/>
      <c r="AI446" s="7" t="s">
        <v>160</v>
      </c>
      <c r="AJ446" s="10"/>
      <c r="AK446" s="10"/>
      <c r="AL446" s="10"/>
      <c r="AM446" s="11" t="s">
        <v>131</v>
      </c>
      <c r="AN446" s="11" t="s">
        <v>131</v>
      </c>
      <c r="AO446" s="11" t="s">
        <v>131</v>
      </c>
      <c r="AP446" s="11" t="s">
        <v>131</v>
      </c>
      <c r="AQ446" s="11"/>
      <c r="AR446" s="7"/>
    </row>
    <row r="447" spans="1:44" ht="14.4" x14ac:dyDescent="0.3">
      <c r="A447" s="6" t="s">
        <v>292</v>
      </c>
      <c r="B447" s="6" t="s">
        <v>2295</v>
      </c>
      <c r="C447" s="6" t="s">
        <v>2387</v>
      </c>
      <c r="D447" s="6" t="s">
        <v>2297</v>
      </c>
      <c r="E447" s="6" t="s">
        <v>2388</v>
      </c>
      <c r="F447" s="7" t="s">
        <v>125</v>
      </c>
      <c r="G447" s="10"/>
      <c r="H447" s="7" t="s">
        <v>93</v>
      </c>
      <c r="I447" s="7"/>
      <c r="J447" s="10"/>
      <c r="K447" s="6" t="s">
        <v>90</v>
      </c>
      <c r="L447" s="7"/>
      <c r="M447" s="14"/>
      <c r="N447" s="7" t="s">
        <v>93</v>
      </c>
      <c r="O447" s="10"/>
      <c r="P447" s="7" t="s">
        <v>90</v>
      </c>
      <c r="Q447" s="15">
        <f>IF(P447="oui",MIN(Parametres!$B$4,MAX(Parametres!$B$3,IF(M447="",Parametres!$B$3,ROUND(M447*10%,0)))),"")</f>
        <v>0</v>
      </c>
      <c r="R447" s="7" t="s">
        <v>134</v>
      </c>
      <c r="S447" s="7" t="s">
        <v>90</v>
      </c>
      <c r="T447" s="15">
        <f>IF(S447="oui",Parametres!$B$5,"")</f>
        <v>500</v>
      </c>
      <c r="U447" s="7" t="s">
        <v>134</v>
      </c>
      <c r="V447" s="15">
        <f t="shared" si="24"/>
        <v>500</v>
      </c>
      <c r="W447" s="15" t="str">
        <f t="shared" si="25"/>
        <v/>
      </c>
      <c r="X447" s="6" t="s">
        <v>90</v>
      </c>
      <c r="Y447" s="7" t="s">
        <v>133</v>
      </c>
      <c r="Z447" s="10"/>
      <c r="AA447" s="6" t="s">
        <v>93</v>
      </c>
      <c r="AB447" s="7" t="s">
        <v>160</v>
      </c>
      <c r="AC447" s="10"/>
      <c r="AD447" s="9" t="str">
        <f t="shared" si="26"/>
        <v>oui</v>
      </c>
      <c r="AE447" s="9" t="str">
        <f t="shared" si="27"/>
        <v>TAE manquant</v>
      </c>
      <c r="AF447" s="7"/>
      <c r="AG447" s="10"/>
      <c r="AH447" s="10"/>
      <c r="AI447" s="7" t="s">
        <v>160</v>
      </c>
      <c r="AJ447" s="10"/>
      <c r="AK447" s="10"/>
      <c r="AL447" s="10"/>
      <c r="AM447" s="11" t="s">
        <v>131</v>
      </c>
      <c r="AN447" s="11" t="s">
        <v>131</v>
      </c>
      <c r="AO447" s="11" t="s">
        <v>131</v>
      </c>
      <c r="AP447" s="11" t="s">
        <v>131</v>
      </c>
      <c r="AQ447" s="11"/>
      <c r="AR447" s="7"/>
    </row>
    <row r="448" spans="1:44" ht="14.4" x14ac:dyDescent="0.3">
      <c r="A448" s="6" t="s">
        <v>292</v>
      </c>
      <c r="B448" s="6" t="s">
        <v>2295</v>
      </c>
      <c r="C448" s="6" t="s">
        <v>2392</v>
      </c>
      <c r="D448" s="6" t="s">
        <v>2297</v>
      </c>
      <c r="E448" s="6" t="s">
        <v>2393</v>
      </c>
      <c r="F448" s="7" t="s">
        <v>125</v>
      </c>
      <c r="G448" s="10"/>
      <c r="H448" s="7" t="s">
        <v>93</v>
      </c>
      <c r="I448" s="7"/>
      <c r="J448" s="10"/>
      <c r="K448" s="6" t="s">
        <v>90</v>
      </c>
      <c r="L448" s="7"/>
      <c r="M448" s="14"/>
      <c r="N448" s="7" t="s">
        <v>93</v>
      </c>
      <c r="O448" s="10"/>
      <c r="P448" s="7" t="s">
        <v>90</v>
      </c>
      <c r="Q448" s="15">
        <f>IF(P448="oui",MIN(Parametres!$B$4,MAX(Parametres!$B$3,IF(M448="",Parametres!$B$3,ROUND(M448*10%,0)))),"")</f>
        <v>0</v>
      </c>
      <c r="R448" s="7" t="s">
        <v>134</v>
      </c>
      <c r="S448" s="7" t="s">
        <v>90</v>
      </c>
      <c r="T448" s="15">
        <f>IF(S448="oui",Parametres!$B$5,"")</f>
        <v>500</v>
      </c>
      <c r="U448" s="7" t="s">
        <v>134</v>
      </c>
      <c r="V448" s="15">
        <f t="shared" si="24"/>
        <v>500</v>
      </c>
      <c r="W448" s="15" t="str">
        <f t="shared" si="25"/>
        <v/>
      </c>
      <c r="X448" s="6" t="s">
        <v>90</v>
      </c>
      <c r="Y448" s="7" t="s">
        <v>133</v>
      </c>
      <c r="Z448" s="10"/>
      <c r="AA448" s="6" t="s">
        <v>93</v>
      </c>
      <c r="AB448" s="7" t="s">
        <v>160</v>
      </c>
      <c r="AC448" s="10"/>
      <c r="AD448" s="9" t="str">
        <f t="shared" si="26"/>
        <v>oui</v>
      </c>
      <c r="AE448" s="9" t="str">
        <f t="shared" si="27"/>
        <v>TAE manquant</v>
      </c>
      <c r="AF448" s="7"/>
      <c r="AG448" s="10"/>
      <c r="AH448" s="10"/>
      <c r="AI448" s="7" t="s">
        <v>160</v>
      </c>
      <c r="AJ448" s="10"/>
      <c r="AK448" s="10"/>
      <c r="AL448" s="10"/>
      <c r="AM448" s="11" t="s">
        <v>131</v>
      </c>
      <c r="AN448" s="11" t="s">
        <v>131</v>
      </c>
      <c r="AO448" s="11" t="s">
        <v>131</v>
      </c>
      <c r="AP448" s="11" t="s">
        <v>131</v>
      </c>
      <c r="AQ448" s="11"/>
      <c r="AR448" s="7"/>
    </row>
    <row r="449" spans="1:44" ht="14.4" x14ac:dyDescent="0.3">
      <c r="A449" s="6" t="s">
        <v>292</v>
      </c>
      <c r="B449" s="6" t="s">
        <v>2394</v>
      </c>
      <c r="C449" s="6" t="s">
        <v>2395</v>
      </c>
      <c r="D449" s="6" t="s">
        <v>2396</v>
      </c>
      <c r="E449" s="6" t="s">
        <v>2397</v>
      </c>
      <c r="F449" s="7" t="s">
        <v>125</v>
      </c>
      <c r="G449" s="10"/>
      <c r="H449" s="7" t="s">
        <v>93</v>
      </c>
      <c r="I449" s="7"/>
      <c r="J449" s="10"/>
      <c r="K449" s="6" t="s">
        <v>90</v>
      </c>
      <c r="L449" s="7"/>
      <c r="M449" s="14"/>
      <c r="N449" s="7" t="s">
        <v>93</v>
      </c>
      <c r="O449" s="10"/>
      <c r="P449" s="7" t="s">
        <v>90</v>
      </c>
      <c r="Q449" s="15">
        <f>IF(P449="oui",MIN(Parametres!$B$4,MAX(Parametres!$B$3,IF(M449="",Parametres!$B$3,ROUND(M449*10%,0)))),"")</f>
        <v>0</v>
      </c>
      <c r="R449" s="7" t="s">
        <v>134</v>
      </c>
      <c r="S449" s="7" t="s">
        <v>90</v>
      </c>
      <c r="T449" s="15">
        <f>IF(S449="oui",Parametres!$B$5,"")</f>
        <v>500</v>
      </c>
      <c r="U449" s="7" t="s">
        <v>134</v>
      </c>
      <c r="V449" s="15">
        <f t="shared" si="24"/>
        <v>500</v>
      </c>
      <c r="W449" s="15" t="str">
        <f t="shared" si="25"/>
        <v/>
      </c>
      <c r="X449" s="6" t="s">
        <v>90</v>
      </c>
      <c r="Y449" s="7" t="s">
        <v>133</v>
      </c>
      <c r="Z449" s="10"/>
      <c r="AA449" s="6" t="s">
        <v>93</v>
      </c>
      <c r="AB449" s="7" t="s">
        <v>160</v>
      </c>
      <c r="AC449" s="10"/>
      <c r="AD449" s="9" t="str">
        <f t="shared" si="26"/>
        <v>oui</v>
      </c>
      <c r="AE449" s="9" t="str">
        <f t="shared" si="27"/>
        <v>TAE manquant</v>
      </c>
      <c r="AF449" s="7"/>
      <c r="AG449" s="10"/>
      <c r="AH449" s="10"/>
      <c r="AI449" s="7" t="s">
        <v>160</v>
      </c>
      <c r="AJ449" s="10"/>
      <c r="AK449" s="10"/>
      <c r="AL449" s="10"/>
      <c r="AM449" s="11" t="s">
        <v>131</v>
      </c>
      <c r="AN449" s="11" t="s">
        <v>131</v>
      </c>
      <c r="AO449" s="11" t="s">
        <v>131</v>
      </c>
      <c r="AP449" s="11" t="s">
        <v>131</v>
      </c>
      <c r="AQ449" s="11"/>
      <c r="AR449" s="7"/>
    </row>
    <row r="450" spans="1:44" ht="14.4" x14ac:dyDescent="0.3">
      <c r="A450" s="6" t="s">
        <v>292</v>
      </c>
      <c r="B450" s="6" t="s">
        <v>2394</v>
      </c>
      <c r="C450" s="6" t="s">
        <v>2401</v>
      </c>
      <c r="D450" s="6" t="s">
        <v>2396</v>
      </c>
      <c r="E450" s="6" t="s">
        <v>2402</v>
      </c>
      <c r="F450" s="7" t="s">
        <v>125</v>
      </c>
      <c r="G450" s="10"/>
      <c r="H450" s="7" t="s">
        <v>93</v>
      </c>
      <c r="I450" s="7"/>
      <c r="J450" s="10"/>
      <c r="K450" s="6" t="s">
        <v>90</v>
      </c>
      <c r="L450" s="7"/>
      <c r="M450" s="14"/>
      <c r="N450" s="7" t="s">
        <v>93</v>
      </c>
      <c r="O450" s="10"/>
      <c r="P450" s="7" t="s">
        <v>90</v>
      </c>
      <c r="Q450" s="15">
        <f>IF(P450="oui",MIN(Parametres!$B$4,MAX(Parametres!$B$3,IF(M450="",Parametres!$B$3,ROUND(M450*10%,0)))),"")</f>
        <v>0</v>
      </c>
      <c r="R450" s="7" t="s">
        <v>134</v>
      </c>
      <c r="S450" s="7" t="s">
        <v>90</v>
      </c>
      <c r="T450" s="15">
        <f>IF(S450="oui",Parametres!$B$5,"")</f>
        <v>500</v>
      </c>
      <c r="U450" s="7" t="s">
        <v>134</v>
      </c>
      <c r="V450" s="15">
        <f t="shared" ref="V450:V513" si="28">SUM(Q450,T450)</f>
        <v>500</v>
      </c>
      <c r="W450" s="15" t="str">
        <f t="shared" ref="W450:W513" si="29">IF(M450="","",M450-V450)</f>
        <v/>
      </c>
      <c r="X450" s="6" t="s">
        <v>90</v>
      </c>
      <c r="Y450" s="7" t="s">
        <v>133</v>
      </c>
      <c r="Z450" s="10"/>
      <c r="AA450" s="6" t="s">
        <v>93</v>
      </c>
      <c r="AB450" s="7" t="s">
        <v>160</v>
      </c>
      <c r="AC450" s="10"/>
      <c r="AD450" s="9" t="str">
        <f t="shared" ref="AD450:AD513" si="30">IF(K450&lt;&gt;"oui","oui",IF(OR(AND(X450="oui",Y450&lt;&gt;"fait"),AND(AA450="oui",AB450&lt;&gt;"fait"),AND(P450="oui",R450&lt;&gt;"valide"),AND(S450="oui",U450&lt;&gt;"valide"),N450&lt;&gt;"oui"),"oui","non"))</f>
        <v>oui</v>
      </c>
      <c r="AE450" s="9" t="str">
        <f t="shared" ref="AE450:AE513" si="31">IF(K450&lt;&gt;"oui","Résidence ou logement non vendable",IF(AND(X450="oui",Y450&lt;&gt;"fait"),"TAE manquant",IF(AND(AA450="oui",AB450&lt;&gt;"fait"),"SPANC manquant",IF(AND(P450="oui",R450&lt;&gt;"valide"),"Chèque primo non validé",IF(AND(S450="oui",U450&lt;&gt;"valide"),"Chèque CINOR non validé",IF(N450&lt;&gt;"oui","Prix non confirmé",""))))))</f>
        <v>TAE manquant</v>
      </c>
      <c r="AF450" s="7"/>
      <c r="AG450" s="10"/>
      <c r="AH450" s="10"/>
      <c r="AI450" s="7" t="s">
        <v>160</v>
      </c>
      <c r="AJ450" s="10"/>
      <c r="AK450" s="10"/>
      <c r="AL450" s="10"/>
      <c r="AM450" s="11" t="s">
        <v>131</v>
      </c>
      <c r="AN450" s="11" t="s">
        <v>131</v>
      </c>
      <c r="AO450" s="11" t="s">
        <v>131</v>
      </c>
      <c r="AP450" s="11" t="s">
        <v>131</v>
      </c>
      <c r="AQ450" s="11"/>
      <c r="AR450" s="7"/>
    </row>
    <row r="451" spans="1:44" ht="14.4" x14ac:dyDescent="0.3">
      <c r="A451" s="6" t="s">
        <v>292</v>
      </c>
      <c r="B451" s="6" t="s">
        <v>2394</v>
      </c>
      <c r="C451" s="6" t="s">
        <v>2407</v>
      </c>
      <c r="D451" s="6" t="s">
        <v>2396</v>
      </c>
      <c r="E451" s="6" t="s">
        <v>2408</v>
      </c>
      <c r="F451" s="7" t="s">
        <v>125</v>
      </c>
      <c r="G451" s="10"/>
      <c r="H451" s="7" t="s">
        <v>93</v>
      </c>
      <c r="I451" s="7"/>
      <c r="J451" s="10"/>
      <c r="K451" s="6" t="s">
        <v>90</v>
      </c>
      <c r="L451" s="7"/>
      <c r="M451" s="14"/>
      <c r="N451" s="7" t="s">
        <v>93</v>
      </c>
      <c r="O451" s="10"/>
      <c r="P451" s="7" t="s">
        <v>90</v>
      </c>
      <c r="Q451" s="15">
        <f>IF(P451="oui",MIN(Parametres!$B$4,MAX(Parametres!$B$3,IF(M451="",Parametres!$B$3,ROUND(M451*10%,0)))),"")</f>
        <v>0</v>
      </c>
      <c r="R451" s="7" t="s">
        <v>134</v>
      </c>
      <c r="S451" s="7" t="s">
        <v>90</v>
      </c>
      <c r="T451" s="15">
        <f>IF(S451="oui",Parametres!$B$5,"")</f>
        <v>500</v>
      </c>
      <c r="U451" s="7" t="s">
        <v>134</v>
      </c>
      <c r="V451" s="15">
        <f t="shared" si="28"/>
        <v>500</v>
      </c>
      <c r="W451" s="15" t="str">
        <f t="shared" si="29"/>
        <v/>
      </c>
      <c r="X451" s="6" t="s">
        <v>90</v>
      </c>
      <c r="Y451" s="7" t="s">
        <v>133</v>
      </c>
      <c r="Z451" s="10"/>
      <c r="AA451" s="6" t="s">
        <v>93</v>
      </c>
      <c r="AB451" s="7" t="s">
        <v>160</v>
      </c>
      <c r="AC451" s="10"/>
      <c r="AD451" s="9" t="str">
        <f t="shared" si="30"/>
        <v>oui</v>
      </c>
      <c r="AE451" s="9" t="str">
        <f t="shared" si="31"/>
        <v>TAE manquant</v>
      </c>
      <c r="AF451" s="7"/>
      <c r="AG451" s="10"/>
      <c r="AH451" s="10"/>
      <c r="AI451" s="7" t="s">
        <v>160</v>
      </c>
      <c r="AJ451" s="10"/>
      <c r="AK451" s="10"/>
      <c r="AL451" s="10"/>
      <c r="AM451" s="11" t="s">
        <v>131</v>
      </c>
      <c r="AN451" s="11" t="s">
        <v>131</v>
      </c>
      <c r="AO451" s="11" t="s">
        <v>131</v>
      </c>
      <c r="AP451" s="11" t="s">
        <v>131</v>
      </c>
      <c r="AQ451" s="11"/>
      <c r="AR451" s="7"/>
    </row>
    <row r="452" spans="1:44" ht="14.4" x14ac:dyDescent="0.3">
      <c r="A452" s="6" t="s">
        <v>292</v>
      </c>
      <c r="B452" s="6" t="s">
        <v>2394</v>
      </c>
      <c r="C452" s="6" t="s">
        <v>2411</v>
      </c>
      <c r="D452" s="6" t="s">
        <v>2396</v>
      </c>
      <c r="E452" s="6" t="s">
        <v>2412</v>
      </c>
      <c r="F452" s="7" t="s">
        <v>125</v>
      </c>
      <c r="G452" s="10"/>
      <c r="H452" s="7" t="s">
        <v>93</v>
      </c>
      <c r="I452" s="7"/>
      <c r="J452" s="10"/>
      <c r="K452" s="6" t="s">
        <v>90</v>
      </c>
      <c r="L452" s="7"/>
      <c r="M452" s="14"/>
      <c r="N452" s="7" t="s">
        <v>93</v>
      </c>
      <c r="O452" s="10"/>
      <c r="P452" s="7" t="s">
        <v>90</v>
      </c>
      <c r="Q452" s="15">
        <f>IF(P452="oui",MIN(Parametres!$B$4,MAX(Parametres!$B$3,IF(M452="",Parametres!$B$3,ROUND(M452*10%,0)))),"")</f>
        <v>0</v>
      </c>
      <c r="R452" s="7" t="s">
        <v>134</v>
      </c>
      <c r="S452" s="7" t="s">
        <v>90</v>
      </c>
      <c r="T452" s="15">
        <f>IF(S452="oui",Parametres!$B$5,"")</f>
        <v>500</v>
      </c>
      <c r="U452" s="7" t="s">
        <v>134</v>
      </c>
      <c r="V452" s="15">
        <f t="shared" si="28"/>
        <v>500</v>
      </c>
      <c r="W452" s="15" t="str">
        <f t="shared" si="29"/>
        <v/>
      </c>
      <c r="X452" s="6" t="s">
        <v>90</v>
      </c>
      <c r="Y452" s="7" t="s">
        <v>133</v>
      </c>
      <c r="Z452" s="10"/>
      <c r="AA452" s="6" t="s">
        <v>93</v>
      </c>
      <c r="AB452" s="7" t="s">
        <v>160</v>
      </c>
      <c r="AC452" s="10"/>
      <c r="AD452" s="9" t="str">
        <f t="shared" si="30"/>
        <v>oui</v>
      </c>
      <c r="AE452" s="9" t="str">
        <f t="shared" si="31"/>
        <v>TAE manquant</v>
      </c>
      <c r="AF452" s="7"/>
      <c r="AG452" s="10"/>
      <c r="AH452" s="10"/>
      <c r="AI452" s="7" t="s">
        <v>160</v>
      </c>
      <c r="AJ452" s="10"/>
      <c r="AK452" s="10"/>
      <c r="AL452" s="10"/>
      <c r="AM452" s="11" t="s">
        <v>131</v>
      </c>
      <c r="AN452" s="11" t="s">
        <v>131</v>
      </c>
      <c r="AO452" s="11" t="s">
        <v>131</v>
      </c>
      <c r="AP452" s="11" t="s">
        <v>131</v>
      </c>
      <c r="AQ452" s="11"/>
      <c r="AR452" s="7"/>
    </row>
    <row r="453" spans="1:44" ht="14.4" x14ac:dyDescent="0.3">
      <c r="A453" s="6" t="s">
        <v>292</v>
      </c>
      <c r="B453" s="6" t="s">
        <v>2394</v>
      </c>
      <c r="C453" s="6" t="s">
        <v>2416</v>
      </c>
      <c r="D453" s="6" t="s">
        <v>2396</v>
      </c>
      <c r="E453" s="6" t="s">
        <v>2417</v>
      </c>
      <c r="F453" s="7" t="s">
        <v>125</v>
      </c>
      <c r="G453" s="10"/>
      <c r="H453" s="7" t="s">
        <v>93</v>
      </c>
      <c r="I453" s="7"/>
      <c r="J453" s="10"/>
      <c r="K453" s="6" t="s">
        <v>90</v>
      </c>
      <c r="L453" s="7"/>
      <c r="M453" s="14"/>
      <c r="N453" s="7" t="s">
        <v>93</v>
      </c>
      <c r="O453" s="10"/>
      <c r="P453" s="7" t="s">
        <v>90</v>
      </c>
      <c r="Q453" s="15">
        <f>IF(P453="oui",MIN(Parametres!$B$4,MAX(Parametres!$B$3,IF(M453="",Parametres!$B$3,ROUND(M453*10%,0)))),"")</f>
        <v>0</v>
      </c>
      <c r="R453" s="7" t="s">
        <v>134</v>
      </c>
      <c r="S453" s="7" t="s">
        <v>90</v>
      </c>
      <c r="T453" s="15">
        <f>IF(S453="oui",Parametres!$B$5,"")</f>
        <v>500</v>
      </c>
      <c r="U453" s="7" t="s">
        <v>134</v>
      </c>
      <c r="V453" s="15">
        <f t="shared" si="28"/>
        <v>500</v>
      </c>
      <c r="W453" s="15" t="str">
        <f t="shared" si="29"/>
        <v/>
      </c>
      <c r="X453" s="6" t="s">
        <v>90</v>
      </c>
      <c r="Y453" s="7" t="s">
        <v>133</v>
      </c>
      <c r="Z453" s="10"/>
      <c r="AA453" s="6" t="s">
        <v>93</v>
      </c>
      <c r="AB453" s="7" t="s">
        <v>160</v>
      </c>
      <c r="AC453" s="10"/>
      <c r="AD453" s="9" t="str">
        <f t="shared" si="30"/>
        <v>oui</v>
      </c>
      <c r="AE453" s="9" t="str">
        <f t="shared" si="31"/>
        <v>TAE manquant</v>
      </c>
      <c r="AF453" s="7"/>
      <c r="AG453" s="10"/>
      <c r="AH453" s="10"/>
      <c r="AI453" s="7" t="s">
        <v>160</v>
      </c>
      <c r="AJ453" s="10"/>
      <c r="AK453" s="10"/>
      <c r="AL453" s="10"/>
      <c r="AM453" s="11" t="s">
        <v>131</v>
      </c>
      <c r="AN453" s="11" t="s">
        <v>131</v>
      </c>
      <c r="AO453" s="11" t="s">
        <v>131</v>
      </c>
      <c r="AP453" s="11" t="s">
        <v>131</v>
      </c>
      <c r="AQ453" s="11"/>
      <c r="AR453" s="7"/>
    </row>
    <row r="454" spans="1:44" ht="14.4" x14ac:dyDescent="0.3">
      <c r="A454" s="6" t="s">
        <v>292</v>
      </c>
      <c r="B454" s="6" t="s">
        <v>2394</v>
      </c>
      <c r="C454" s="6" t="s">
        <v>2419</v>
      </c>
      <c r="D454" s="6" t="s">
        <v>2396</v>
      </c>
      <c r="E454" s="6" t="s">
        <v>2420</v>
      </c>
      <c r="F454" s="7" t="s">
        <v>125</v>
      </c>
      <c r="G454" s="10"/>
      <c r="H454" s="7" t="s">
        <v>93</v>
      </c>
      <c r="I454" s="7"/>
      <c r="J454" s="10"/>
      <c r="K454" s="6" t="s">
        <v>90</v>
      </c>
      <c r="L454" s="7"/>
      <c r="M454" s="14"/>
      <c r="N454" s="7" t="s">
        <v>93</v>
      </c>
      <c r="O454" s="10"/>
      <c r="P454" s="7" t="s">
        <v>90</v>
      </c>
      <c r="Q454" s="15">
        <f>IF(P454="oui",MIN(Parametres!$B$4,MAX(Parametres!$B$3,IF(M454="",Parametres!$B$3,ROUND(M454*10%,0)))),"")</f>
        <v>0</v>
      </c>
      <c r="R454" s="7" t="s">
        <v>134</v>
      </c>
      <c r="S454" s="7" t="s">
        <v>90</v>
      </c>
      <c r="T454" s="15">
        <f>IF(S454="oui",Parametres!$B$5,"")</f>
        <v>500</v>
      </c>
      <c r="U454" s="7" t="s">
        <v>134</v>
      </c>
      <c r="V454" s="15">
        <f t="shared" si="28"/>
        <v>500</v>
      </c>
      <c r="W454" s="15" t="str">
        <f t="shared" si="29"/>
        <v/>
      </c>
      <c r="X454" s="6" t="s">
        <v>90</v>
      </c>
      <c r="Y454" s="7" t="s">
        <v>133</v>
      </c>
      <c r="Z454" s="10"/>
      <c r="AA454" s="6" t="s">
        <v>93</v>
      </c>
      <c r="AB454" s="7" t="s">
        <v>160</v>
      </c>
      <c r="AC454" s="10"/>
      <c r="AD454" s="9" t="str">
        <f t="shared" si="30"/>
        <v>oui</v>
      </c>
      <c r="AE454" s="9" t="str">
        <f t="shared" si="31"/>
        <v>TAE manquant</v>
      </c>
      <c r="AF454" s="7"/>
      <c r="AG454" s="10"/>
      <c r="AH454" s="10"/>
      <c r="AI454" s="7" t="s">
        <v>160</v>
      </c>
      <c r="AJ454" s="10"/>
      <c r="AK454" s="10"/>
      <c r="AL454" s="10"/>
      <c r="AM454" s="11" t="s">
        <v>131</v>
      </c>
      <c r="AN454" s="11" t="s">
        <v>131</v>
      </c>
      <c r="AO454" s="11" t="s">
        <v>131</v>
      </c>
      <c r="AP454" s="11" t="s">
        <v>131</v>
      </c>
      <c r="AQ454" s="11"/>
      <c r="AR454" s="7"/>
    </row>
    <row r="455" spans="1:44" ht="14.4" x14ac:dyDescent="0.3">
      <c r="A455" s="6" t="s">
        <v>292</v>
      </c>
      <c r="B455" s="6" t="s">
        <v>2394</v>
      </c>
      <c r="C455" s="6" t="s">
        <v>2422</v>
      </c>
      <c r="D455" s="6" t="s">
        <v>2396</v>
      </c>
      <c r="E455" s="6" t="s">
        <v>2423</v>
      </c>
      <c r="F455" s="7" t="s">
        <v>125</v>
      </c>
      <c r="G455" s="10"/>
      <c r="H455" s="7" t="s">
        <v>93</v>
      </c>
      <c r="I455" s="7"/>
      <c r="J455" s="10"/>
      <c r="K455" s="6" t="s">
        <v>90</v>
      </c>
      <c r="L455" s="7"/>
      <c r="M455" s="14"/>
      <c r="N455" s="7" t="s">
        <v>93</v>
      </c>
      <c r="O455" s="10"/>
      <c r="P455" s="7" t="s">
        <v>90</v>
      </c>
      <c r="Q455" s="15">
        <f>IF(P455="oui",MIN(Parametres!$B$4,MAX(Parametres!$B$3,IF(M455="",Parametres!$B$3,ROUND(M455*10%,0)))),"")</f>
        <v>0</v>
      </c>
      <c r="R455" s="7" t="s">
        <v>134</v>
      </c>
      <c r="S455" s="7" t="s">
        <v>90</v>
      </c>
      <c r="T455" s="15">
        <f>IF(S455="oui",Parametres!$B$5,"")</f>
        <v>500</v>
      </c>
      <c r="U455" s="7" t="s">
        <v>134</v>
      </c>
      <c r="V455" s="15">
        <f t="shared" si="28"/>
        <v>500</v>
      </c>
      <c r="W455" s="15" t="str">
        <f t="shared" si="29"/>
        <v/>
      </c>
      <c r="X455" s="6" t="s">
        <v>90</v>
      </c>
      <c r="Y455" s="7" t="s">
        <v>133</v>
      </c>
      <c r="Z455" s="10"/>
      <c r="AA455" s="6" t="s">
        <v>93</v>
      </c>
      <c r="AB455" s="7" t="s">
        <v>160</v>
      </c>
      <c r="AC455" s="10"/>
      <c r="AD455" s="9" t="str">
        <f t="shared" si="30"/>
        <v>oui</v>
      </c>
      <c r="AE455" s="9" t="str">
        <f t="shared" si="31"/>
        <v>TAE manquant</v>
      </c>
      <c r="AF455" s="7"/>
      <c r="AG455" s="10"/>
      <c r="AH455" s="10"/>
      <c r="AI455" s="7" t="s">
        <v>160</v>
      </c>
      <c r="AJ455" s="10"/>
      <c r="AK455" s="10"/>
      <c r="AL455" s="10"/>
      <c r="AM455" s="11" t="s">
        <v>131</v>
      </c>
      <c r="AN455" s="11" t="s">
        <v>131</v>
      </c>
      <c r="AO455" s="11" t="s">
        <v>131</v>
      </c>
      <c r="AP455" s="11" t="s">
        <v>131</v>
      </c>
      <c r="AQ455" s="11"/>
      <c r="AR455" s="7"/>
    </row>
    <row r="456" spans="1:44" ht="14.4" x14ac:dyDescent="0.3">
      <c r="A456" s="6" t="s">
        <v>292</v>
      </c>
      <c r="B456" s="6" t="s">
        <v>2394</v>
      </c>
      <c r="C456" s="6" t="s">
        <v>2426</v>
      </c>
      <c r="D456" s="6" t="s">
        <v>2396</v>
      </c>
      <c r="E456" s="6" t="s">
        <v>2427</v>
      </c>
      <c r="F456" s="7" t="s">
        <v>125</v>
      </c>
      <c r="G456" s="10"/>
      <c r="H456" s="7" t="s">
        <v>93</v>
      </c>
      <c r="I456" s="7"/>
      <c r="J456" s="10"/>
      <c r="K456" s="6" t="s">
        <v>90</v>
      </c>
      <c r="L456" s="7"/>
      <c r="M456" s="14"/>
      <c r="N456" s="7" t="s">
        <v>93</v>
      </c>
      <c r="O456" s="10"/>
      <c r="P456" s="7" t="s">
        <v>90</v>
      </c>
      <c r="Q456" s="15">
        <f>IF(P456="oui",MIN(Parametres!$B$4,MAX(Parametres!$B$3,IF(M456="",Parametres!$B$3,ROUND(M456*10%,0)))),"")</f>
        <v>0</v>
      </c>
      <c r="R456" s="7" t="s">
        <v>134</v>
      </c>
      <c r="S456" s="7" t="s">
        <v>90</v>
      </c>
      <c r="T456" s="15">
        <f>IF(S456="oui",Parametres!$B$5,"")</f>
        <v>500</v>
      </c>
      <c r="U456" s="7" t="s">
        <v>134</v>
      </c>
      <c r="V456" s="15">
        <f t="shared" si="28"/>
        <v>500</v>
      </c>
      <c r="W456" s="15" t="str">
        <f t="shared" si="29"/>
        <v/>
      </c>
      <c r="X456" s="6" t="s">
        <v>90</v>
      </c>
      <c r="Y456" s="7" t="s">
        <v>133</v>
      </c>
      <c r="Z456" s="10"/>
      <c r="AA456" s="6" t="s">
        <v>93</v>
      </c>
      <c r="AB456" s="7" t="s">
        <v>160</v>
      </c>
      <c r="AC456" s="10"/>
      <c r="AD456" s="9" t="str">
        <f t="shared" si="30"/>
        <v>oui</v>
      </c>
      <c r="AE456" s="9" t="str">
        <f t="shared" si="31"/>
        <v>TAE manquant</v>
      </c>
      <c r="AF456" s="7"/>
      <c r="AG456" s="10"/>
      <c r="AH456" s="10"/>
      <c r="AI456" s="7" t="s">
        <v>160</v>
      </c>
      <c r="AJ456" s="10"/>
      <c r="AK456" s="10"/>
      <c r="AL456" s="10"/>
      <c r="AM456" s="11" t="s">
        <v>131</v>
      </c>
      <c r="AN456" s="11" t="s">
        <v>131</v>
      </c>
      <c r="AO456" s="11" t="s">
        <v>131</v>
      </c>
      <c r="AP456" s="11" t="s">
        <v>131</v>
      </c>
      <c r="AQ456" s="11"/>
      <c r="AR456" s="7"/>
    </row>
    <row r="457" spans="1:44" ht="14.4" x14ac:dyDescent="0.3">
      <c r="A457" s="6" t="s">
        <v>292</v>
      </c>
      <c r="B457" s="6" t="s">
        <v>2394</v>
      </c>
      <c r="C457" s="6" t="s">
        <v>2430</v>
      </c>
      <c r="D457" s="6" t="s">
        <v>2396</v>
      </c>
      <c r="E457" s="6" t="s">
        <v>2431</v>
      </c>
      <c r="F457" s="7" t="s">
        <v>125</v>
      </c>
      <c r="G457" s="10"/>
      <c r="H457" s="7" t="s">
        <v>93</v>
      </c>
      <c r="I457" s="7"/>
      <c r="J457" s="10"/>
      <c r="K457" s="6" t="s">
        <v>90</v>
      </c>
      <c r="L457" s="7"/>
      <c r="M457" s="14"/>
      <c r="N457" s="7" t="s">
        <v>93</v>
      </c>
      <c r="O457" s="10"/>
      <c r="P457" s="7" t="s">
        <v>90</v>
      </c>
      <c r="Q457" s="15">
        <f>IF(P457="oui",MIN(Parametres!$B$4,MAX(Parametres!$B$3,IF(M457="",Parametres!$B$3,ROUND(M457*10%,0)))),"")</f>
        <v>0</v>
      </c>
      <c r="R457" s="7" t="s">
        <v>134</v>
      </c>
      <c r="S457" s="7" t="s">
        <v>90</v>
      </c>
      <c r="T457" s="15">
        <f>IF(S457="oui",Parametres!$B$5,"")</f>
        <v>500</v>
      </c>
      <c r="U457" s="7" t="s">
        <v>134</v>
      </c>
      <c r="V457" s="15">
        <f t="shared" si="28"/>
        <v>500</v>
      </c>
      <c r="W457" s="15" t="str">
        <f t="shared" si="29"/>
        <v/>
      </c>
      <c r="X457" s="6" t="s">
        <v>90</v>
      </c>
      <c r="Y457" s="7" t="s">
        <v>133</v>
      </c>
      <c r="Z457" s="10"/>
      <c r="AA457" s="6" t="s">
        <v>93</v>
      </c>
      <c r="AB457" s="7" t="s">
        <v>160</v>
      </c>
      <c r="AC457" s="10"/>
      <c r="AD457" s="9" t="str">
        <f t="shared" si="30"/>
        <v>oui</v>
      </c>
      <c r="AE457" s="9" t="str">
        <f t="shared" si="31"/>
        <v>TAE manquant</v>
      </c>
      <c r="AF457" s="7"/>
      <c r="AG457" s="10"/>
      <c r="AH457" s="10"/>
      <c r="AI457" s="7" t="s">
        <v>160</v>
      </c>
      <c r="AJ457" s="10"/>
      <c r="AK457" s="10"/>
      <c r="AL457" s="10"/>
      <c r="AM457" s="11" t="s">
        <v>131</v>
      </c>
      <c r="AN457" s="11" t="s">
        <v>131</v>
      </c>
      <c r="AO457" s="11" t="s">
        <v>131</v>
      </c>
      <c r="AP457" s="11" t="s">
        <v>131</v>
      </c>
      <c r="AQ457" s="11"/>
      <c r="AR457" s="7"/>
    </row>
    <row r="458" spans="1:44" ht="14.4" x14ac:dyDescent="0.3">
      <c r="A458" s="6" t="s">
        <v>292</v>
      </c>
      <c r="B458" s="6" t="s">
        <v>2394</v>
      </c>
      <c r="C458" s="6" t="s">
        <v>2433</v>
      </c>
      <c r="D458" s="6" t="s">
        <v>2396</v>
      </c>
      <c r="E458" s="6" t="s">
        <v>2434</v>
      </c>
      <c r="F458" s="7" t="s">
        <v>125</v>
      </c>
      <c r="G458" s="10"/>
      <c r="H458" s="7" t="s">
        <v>93</v>
      </c>
      <c r="I458" s="7"/>
      <c r="J458" s="10"/>
      <c r="K458" s="6" t="s">
        <v>90</v>
      </c>
      <c r="L458" s="7"/>
      <c r="M458" s="14"/>
      <c r="N458" s="7" t="s">
        <v>93</v>
      </c>
      <c r="O458" s="10"/>
      <c r="P458" s="7" t="s">
        <v>90</v>
      </c>
      <c r="Q458" s="15">
        <f>IF(P458="oui",MIN(Parametres!$B$4,MAX(Parametres!$B$3,IF(M458="",Parametres!$B$3,ROUND(M458*10%,0)))),"")</f>
        <v>0</v>
      </c>
      <c r="R458" s="7" t="s">
        <v>134</v>
      </c>
      <c r="S458" s="7" t="s">
        <v>90</v>
      </c>
      <c r="T458" s="15">
        <f>IF(S458="oui",Parametres!$B$5,"")</f>
        <v>500</v>
      </c>
      <c r="U458" s="7" t="s">
        <v>134</v>
      </c>
      <c r="V458" s="15">
        <f t="shared" si="28"/>
        <v>500</v>
      </c>
      <c r="W458" s="15" t="str">
        <f t="shared" si="29"/>
        <v/>
      </c>
      <c r="X458" s="6" t="s">
        <v>90</v>
      </c>
      <c r="Y458" s="7" t="s">
        <v>133</v>
      </c>
      <c r="Z458" s="10"/>
      <c r="AA458" s="6" t="s">
        <v>93</v>
      </c>
      <c r="AB458" s="7" t="s">
        <v>160</v>
      </c>
      <c r="AC458" s="10"/>
      <c r="AD458" s="9" t="str">
        <f t="shared" si="30"/>
        <v>oui</v>
      </c>
      <c r="AE458" s="9" t="str">
        <f t="shared" si="31"/>
        <v>TAE manquant</v>
      </c>
      <c r="AF458" s="7"/>
      <c r="AG458" s="10"/>
      <c r="AH458" s="10"/>
      <c r="AI458" s="7" t="s">
        <v>160</v>
      </c>
      <c r="AJ458" s="10"/>
      <c r="AK458" s="10"/>
      <c r="AL458" s="10"/>
      <c r="AM458" s="11" t="s">
        <v>131</v>
      </c>
      <c r="AN458" s="11" t="s">
        <v>131</v>
      </c>
      <c r="AO458" s="11" t="s">
        <v>131</v>
      </c>
      <c r="AP458" s="11" t="s">
        <v>131</v>
      </c>
      <c r="AQ458" s="11"/>
      <c r="AR458" s="7"/>
    </row>
    <row r="459" spans="1:44" ht="14.4" x14ac:dyDescent="0.3">
      <c r="A459" s="6" t="s">
        <v>292</v>
      </c>
      <c r="B459" s="6" t="s">
        <v>2394</v>
      </c>
      <c r="C459" s="6" t="s">
        <v>2439</v>
      </c>
      <c r="D459" s="6" t="s">
        <v>2396</v>
      </c>
      <c r="E459" s="6" t="s">
        <v>2440</v>
      </c>
      <c r="F459" s="7" t="s">
        <v>125</v>
      </c>
      <c r="G459" s="10"/>
      <c r="H459" s="7" t="s">
        <v>93</v>
      </c>
      <c r="I459" s="7"/>
      <c r="J459" s="10"/>
      <c r="K459" s="6" t="s">
        <v>90</v>
      </c>
      <c r="L459" s="7"/>
      <c r="M459" s="14"/>
      <c r="N459" s="7" t="s">
        <v>93</v>
      </c>
      <c r="O459" s="10"/>
      <c r="P459" s="7" t="s">
        <v>90</v>
      </c>
      <c r="Q459" s="15">
        <f>IF(P459="oui",MIN(Parametres!$B$4,MAX(Parametres!$B$3,IF(M459="",Parametres!$B$3,ROUND(M459*10%,0)))),"")</f>
        <v>0</v>
      </c>
      <c r="R459" s="7" t="s">
        <v>134</v>
      </c>
      <c r="S459" s="7" t="s">
        <v>90</v>
      </c>
      <c r="T459" s="15">
        <f>IF(S459="oui",Parametres!$B$5,"")</f>
        <v>500</v>
      </c>
      <c r="U459" s="7" t="s">
        <v>134</v>
      </c>
      <c r="V459" s="15">
        <f t="shared" si="28"/>
        <v>500</v>
      </c>
      <c r="W459" s="15" t="str">
        <f t="shared" si="29"/>
        <v/>
      </c>
      <c r="X459" s="6" t="s">
        <v>90</v>
      </c>
      <c r="Y459" s="7" t="s">
        <v>133</v>
      </c>
      <c r="Z459" s="10"/>
      <c r="AA459" s="6" t="s">
        <v>93</v>
      </c>
      <c r="AB459" s="7" t="s">
        <v>160</v>
      </c>
      <c r="AC459" s="10"/>
      <c r="AD459" s="9" t="str">
        <f t="shared" si="30"/>
        <v>oui</v>
      </c>
      <c r="AE459" s="9" t="str">
        <f t="shared" si="31"/>
        <v>TAE manquant</v>
      </c>
      <c r="AF459" s="7"/>
      <c r="AG459" s="10"/>
      <c r="AH459" s="10"/>
      <c r="AI459" s="7" t="s">
        <v>160</v>
      </c>
      <c r="AJ459" s="10"/>
      <c r="AK459" s="10"/>
      <c r="AL459" s="10"/>
      <c r="AM459" s="11" t="s">
        <v>131</v>
      </c>
      <c r="AN459" s="11" t="s">
        <v>131</v>
      </c>
      <c r="AO459" s="11" t="s">
        <v>131</v>
      </c>
      <c r="AP459" s="11" t="s">
        <v>131</v>
      </c>
      <c r="AQ459" s="11"/>
      <c r="AR459" s="7"/>
    </row>
    <row r="460" spans="1:44" ht="14.4" x14ac:dyDescent="0.3">
      <c r="A460" s="6" t="s">
        <v>292</v>
      </c>
      <c r="B460" s="6" t="s">
        <v>2394</v>
      </c>
      <c r="C460" s="6" t="s">
        <v>2444</v>
      </c>
      <c r="D460" s="6" t="s">
        <v>2396</v>
      </c>
      <c r="E460" s="6" t="s">
        <v>2445</v>
      </c>
      <c r="F460" s="7" t="s">
        <v>125</v>
      </c>
      <c r="G460" s="10"/>
      <c r="H460" s="7" t="s">
        <v>93</v>
      </c>
      <c r="I460" s="7"/>
      <c r="J460" s="10"/>
      <c r="K460" s="6" t="s">
        <v>90</v>
      </c>
      <c r="L460" s="7"/>
      <c r="M460" s="14"/>
      <c r="N460" s="7" t="s">
        <v>93</v>
      </c>
      <c r="O460" s="10"/>
      <c r="P460" s="7" t="s">
        <v>90</v>
      </c>
      <c r="Q460" s="15">
        <f>IF(P460="oui",MIN(Parametres!$B$4,MAX(Parametres!$B$3,IF(M460="",Parametres!$B$3,ROUND(M460*10%,0)))),"")</f>
        <v>0</v>
      </c>
      <c r="R460" s="7" t="s">
        <v>134</v>
      </c>
      <c r="S460" s="7" t="s">
        <v>90</v>
      </c>
      <c r="T460" s="15">
        <f>IF(S460="oui",Parametres!$B$5,"")</f>
        <v>500</v>
      </c>
      <c r="U460" s="7" t="s">
        <v>134</v>
      </c>
      <c r="V460" s="15">
        <f t="shared" si="28"/>
        <v>500</v>
      </c>
      <c r="W460" s="15" t="str">
        <f t="shared" si="29"/>
        <v/>
      </c>
      <c r="X460" s="6" t="s">
        <v>90</v>
      </c>
      <c r="Y460" s="7" t="s">
        <v>133</v>
      </c>
      <c r="Z460" s="10"/>
      <c r="AA460" s="6" t="s">
        <v>93</v>
      </c>
      <c r="AB460" s="7" t="s">
        <v>160</v>
      </c>
      <c r="AC460" s="10"/>
      <c r="AD460" s="9" t="str">
        <f t="shared" si="30"/>
        <v>oui</v>
      </c>
      <c r="AE460" s="9" t="str">
        <f t="shared" si="31"/>
        <v>TAE manquant</v>
      </c>
      <c r="AF460" s="7"/>
      <c r="AG460" s="10"/>
      <c r="AH460" s="10"/>
      <c r="AI460" s="7" t="s">
        <v>160</v>
      </c>
      <c r="AJ460" s="10"/>
      <c r="AK460" s="10"/>
      <c r="AL460" s="10"/>
      <c r="AM460" s="11" t="s">
        <v>131</v>
      </c>
      <c r="AN460" s="11" t="s">
        <v>131</v>
      </c>
      <c r="AO460" s="11" t="s">
        <v>131</v>
      </c>
      <c r="AP460" s="11" t="s">
        <v>131</v>
      </c>
      <c r="AQ460" s="11"/>
      <c r="AR460" s="7"/>
    </row>
    <row r="461" spans="1:44" ht="14.4" x14ac:dyDescent="0.3">
      <c r="A461" s="6" t="s">
        <v>292</v>
      </c>
      <c r="B461" s="6" t="s">
        <v>2394</v>
      </c>
      <c r="C461" s="6" t="s">
        <v>2448</v>
      </c>
      <c r="D461" s="6" t="s">
        <v>2396</v>
      </c>
      <c r="E461" s="6" t="s">
        <v>2449</v>
      </c>
      <c r="F461" s="7" t="s">
        <v>125</v>
      </c>
      <c r="G461" s="10"/>
      <c r="H461" s="7" t="s">
        <v>93</v>
      </c>
      <c r="I461" s="7"/>
      <c r="J461" s="10"/>
      <c r="K461" s="6" t="s">
        <v>90</v>
      </c>
      <c r="L461" s="7"/>
      <c r="M461" s="14"/>
      <c r="N461" s="7" t="s">
        <v>93</v>
      </c>
      <c r="O461" s="10"/>
      <c r="P461" s="7" t="s">
        <v>90</v>
      </c>
      <c r="Q461" s="15">
        <f>IF(P461="oui",MIN(Parametres!$B$4,MAX(Parametres!$B$3,IF(M461="",Parametres!$B$3,ROUND(M461*10%,0)))),"")</f>
        <v>0</v>
      </c>
      <c r="R461" s="7" t="s">
        <v>134</v>
      </c>
      <c r="S461" s="7" t="s">
        <v>90</v>
      </c>
      <c r="T461" s="15">
        <f>IF(S461="oui",Parametres!$B$5,"")</f>
        <v>500</v>
      </c>
      <c r="U461" s="7" t="s">
        <v>134</v>
      </c>
      <c r="V461" s="15">
        <f t="shared" si="28"/>
        <v>500</v>
      </c>
      <c r="W461" s="15" t="str">
        <f t="shared" si="29"/>
        <v/>
      </c>
      <c r="X461" s="6" t="s">
        <v>90</v>
      </c>
      <c r="Y461" s="7" t="s">
        <v>133</v>
      </c>
      <c r="Z461" s="10"/>
      <c r="AA461" s="6" t="s">
        <v>93</v>
      </c>
      <c r="AB461" s="7" t="s">
        <v>160</v>
      </c>
      <c r="AC461" s="10"/>
      <c r="AD461" s="9" t="str">
        <f t="shared" si="30"/>
        <v>oui</v>
      </c>
      <c r="AE461" s="9" t="str">
        <f t="shared" si="31"/>
        <v>TAE manquant</v>
      </c>
      <c r="AF461" s="7"/>
      <c r="AG461" s="10"/>
      <c r="AH461" s="10"/>
      <c r="AI461" s="7" t="s">
        <v>160</v>
      </c>
      <c r="AJ461" s="10"/>
      <c r="AK461" s="10"/>
      <c r="AL461" s="10"/>
      <c r="AM461" s="11" t="s">
        <v>131</v>
      </c>
      <c r="AN461" s="11" t="s">
        <v>131</v>
      </c>
      <c r="AO461" s="11" t="s">
        <v>131</v>
      </c>
      <c r="AP461" s="11" t="s">
        <v>131</v>
      </c>
      <c r="AQ461" s="11"/>
      <c r="AR461" s="7"/>
    </row>
    <row r="462" spans="1:44" ht="14.4" x14ac:dyDescent="0.3">
      <c r="A462" s="6" t="s">
        <v>292</v>
      </c>
      <c r="B462" s="6" t="s">
        <v>2394</v>
      </c>
      <c r="C462" s="6" t="s">
        <v>2452</v>
      </c>
      <c r="D462" s="6" t="s">
        <v>2396</v>
      </c>
      <c r="E462" s="6" t="s">
        <v>2453</v>
      </c>
      <c r="F462" s="7" t="s">
        <v>125</v>
      </c>
      <c r="G462" s="10"/>
      <c r="H462" s="7" t="s">
        <v>93</v>
      </c>
      <c r="I462" s="7"/>
      <c r="J462" s="10"/>
      <c r="K462" s="6" t="s">
        <v>90</v>
      </c>
      <c r="L462" s="7"/>
      <c r="M462" s="14"/>
      <c r="N462" s="7" t="s">
        <v>93</v>
      </c>
      <c r="O462" s="10"/>
      <c r="P462" s="7" t="s">
        <v>90</v>
      </c>
      <c r="Q462" s="15">
        <f>IF(P462="oui",MIN(Parametres!$B$4,MAX(Parametres!$B$3,IF(M462="",Parametres!$B$3,ROUND(M462*10%,0)))),"")</f>
        <v>0</v>
      </c>
      <c r="R462" s="7" t="s">
        <v>134</v>
      </c>
      <c r="S462" s="7" t="s">
        <v>90</v>
      </c>
      <c r="T462" s="15">
        <f>IF(S462="oui",Parametres!$B$5,"")</f>
        <v>500</v>
      </c>
      <c r="U462" s="7" t="s">
        <v>134</v>
      </c>
      <c r="V462" s="15">
        <f t="shared" si="28"/>
        <v>500</v>
      </c>
      <c r="W462" s="15" t="str">
        <f t="shared" si="29"/>
        <v/>
      </c>
      <c r="X462" s="6" t="s">
        <v>90</v>
      </c>
      <c r="Y462" s="7" t="s">
        <v>133</v>
      </c>
      <c r="Z462" s="10"/>
      <c r="AA462" s="6" t="s">
        <v>93</v>
      </c>
      <c r="AB462" s="7" t="s">
        <v>160</v>
      </c>
      <c r="AC462" s="10"/>
      <c r="AD462" s="9" t="str">
        <f t="shared" si="30"/>
        <v>oui</v>
      </c>
      <c r="AE462" s="9" t="str">
        <f t="shared" si="31"/>
        <v>TAE manquant</v>
      </c>
      <c r="AF462" s="7"/>
      <c r="AG462" s="10"/>
      <c r="AH462" s="10"/>
      <c r="AI462" s="7" t="s">
        <v>160</v>
      </c>
      <c r="AJ462" s="10"/>
      <c r="AK462" s="10"/>
      <c r="AL462" s="10"/>
      <c r="AM462" s="11" t="s">
        <v>131</v>
      </c>
      <c r="AN462" s="11" t="s">
        <v>131</v>
      </c>
      <c r="AO462" s="11" t="s">
        <v>131</v>
      </c>
      <c r="AP462" s="11" t="s">
        <v>131</v>
      </c>
      <c r="AQ462" s="11"/>
      <c r="AR462" s="7"/>
    </row>
    <row r="463" spans="1:44" ht="14.4" x14ac:dyDescent="0.3">
      <c r="A463" s="6" t="s">
        <v>292</v>
      </c>
      <c r="B463" s="6" t="s">
        <v>2394</v>
      </c>
      <c r="C463" s="6" t="s">
        <v>2457</v>
      </c>
      <c r="D463" s="6" t="s">
        <v>2396</v>
      </c>
      <c r="E463" s="6" t="s">
        <v>2458</v>
      </c>
      <c r="F463" s="7" t="s">
        <v>125</v>
      </c>
      <c r="G463" s="10"/>
      <c r="H463" s="7" t="s">
        <v>93</v>
      </c>
      <c r="I463" s="7"/>
      <c r="J463" s="10"/>
      <c r="K463" s="6" t="s">
        <v>90</v>
      </c>
      <c r="L463" s="7"/>
      <c r="M463" s="14"/>
      <c r="N463" s="7" t="s">
        <v>93</v>
      </c>
      <c r="O463" s="10"/>
      <c r="P463" s="7" t="s">
        <v>90</v>
      </c>
      <c r="Q463" s="15">
        <f>IF(P463="oui",MIN(Parametres!$B$4,MAX(Parametres!$B$3,IF(M463="",Parametres!$B$3,ROUND(M463*10%,0)))),"")</f>
        <v>0</v>
      </c>
      <c r="R463" s="7" t="s">
        <v>134</v>
      </c>
      <c r="S463" s="7" t="s">
        <v>90</v>
      </c>
      <c r="T463" s="15">
        <f>IF(S463="oui",Parametres!$B$5,"")</f>
        <v>500</v>
      </c>
      <c r="U463" s="7" t="s">
        <v>134</v>
      </c>
      <c r="V463" s="15">
        <f t="shared" si="28"/>
        <v>500</v>
      </c>
      <c r="W463" s="15" t="str">
        <f t="shared" si="29"/>
        <v/>
      </c>
      <c r="X463" s="6" t="s">
        <v>90</v>
      </c>
      <c r="Y463" s="7" t="s">
        <v>133</v>
      </c>
      <c r="Z463" s="10"/>
      <c r="AA463" s="6" t="s">
        <v>93</v>
      </c>
      <c r="AB463" s="7" t="s">
        <v>160</v>
      </c>
      <c r="AC463" s="10"/>
      <c r="AD463" s="9" t="str">
        <f t="shared" si="30"/>
        <v>oui</v>
      </c>
      <c r="AE463" s="9" t="str">
        <f t="shared" si="31"/>
        <v>TAE manquant</v>
      </c>
      <c r="AF463" s="7"/>
      <c r="AG463" s="10"/>
      <c r="AH463" s="10"/>
      <c r="AI463" s="7" t="s">
        <v>160</v>
      </c>
      <c r="AJ463" s="10"/>
      <c r="AK463" s="10"/>
      <c r="AL463" s="10"/>
      <c r="AM463" s="11" t="s">
        <v>131</v>
      </c>
      <c r="AN463" s="11" t="s">
        <v>131</v>
      </c>
      <c r="AO463" s="11" t="s">
        <v>131</v>
      </c>
      <c r="AP463" s="11" t="s">
        <v>131</v>
      </c>
      <c r="AQ463" s="11"/>
      <c r="AR463" s="7"/>
    </row>
    <row r="464" spans="1:44" ht="14.4" x14ac:dyDescent="0.3">
      <c r="A464" s="6" t="s">
        <v>292</v>
      </c>
      <c r="B464" s="6" t="s">
        <v>2461</v>
      </c>
      <c r="C464" s="6" t="s">
        <v>2462</v>
      </c>
      <c r="D464" s="6" t="s">
        <v>2463</v>
      </c>
      <c r="E464" s="6" t="s">
        <v>2464</v>
      </c>
      <c r="F464" s="7" t="s">
        <v>125</v>
      </c>
      <c r="G464" s="10"/>
      <c r="H464" s="7" t="s">
        <v>93</v>
      </c>
      <c r="I464" s="7"/>
      <c r="J464" s="10"/>
      <c r="K464" s="6" t="s">
        <v>90</v>
      </c>
      <c r="L464" s="7"/>
      <c r="M464" s="14"/>
      <c r="N464" s="7" t="s">
        <v>93</v>
      </c>
      <c r="O464" s="10"/>
      <c r="P464" s="7" t="s">
        <v>90</v>
      </c>
      <c r="Q464" s="15">
        <f>IF(P464="oui",MIN(Parametres!$B$4,MAX(Parametres!$B$3,IF(M464="",Parametres!$B$3,ROUND(M464*10%,0)))),"")</f>
        <v>0</v>
      </c>
      <c r="R464" s="7" t="s">
        <v>134</v>
      </c>
      <c r="S464" s="7" t="s">
        <v>90</v>
      </c>
      <c r="T464" s="15">
        <f>IF(S464="oui",Parametres!$B$5,"")</f>
        <v>500</v>
      </c>
      <c r="U464" s="7" t="s">
        <v>134</v>
      </c>
      <c r="V464" s="15">
        <f t="shared" si="28"/>
        <v>500</v>
      </c>
      <c r="W464" s="15" t="str">
        <f t="shared" si="29"/>
        <v/>
      </c>
      <c r="X464" s="6" t="s">
        <v>90</v>
      </c>
      <c r="Y464" s="7" t="s">
        <v>133</v>
      </c>
      <c r="Z464" s="10"/>
      <c r="AA464" s="6" t="s">
        <v>93</v>
      </c>
      <c r="AB464" s="7" t="s">
        <v>160</v>
      </c>
      <c r="AC464" s="10"/>
      <c r="AD464" s="9" t="str">
        <f t="shared" si="30"/>
        <v>oui</v>
      </c>
      <c r="AE464" s="9" t="str">
        <f t="shared" si="31"/>
        <v>TAE manquant</v>
      </c>
      <c r="AF464" s="7"/>
      <c r="AG464" s="10"/>
      <c r="AH464" s="10"/>
      <c r="AI464" s="7" t="s">
        <v>160</v>
      </c>
      <c r="AJ464" s="10"/>
      <c r="AK464" s="10"/>
      <c r="AL464" s="10"/>
      <c r="AM464" s="11" t="s">
        <v>131</v>
      </c>
      <c r="AN464" s="11" t="s">
        <v>131</v>
      </c>
      <c r="AO464" s="11" t="s">
        <v>131</v>
      </c>
      <c r="AP464" s="11" t="s">
        <v>131</v>
      </c>
      <c r="AQ464" s="11"/>
      <c r="AR464" s="7"/>
    </row>
    <row r="465" spans="1:44" ht="14.4" x14ac:dyDescent="0.3">
      <c r="A465" s="6" t="s">
        <v>292</v>
      </c>
      <c r="B465" s="6" t="s">
        <v>2461</v>
      </c>
      <c r="C465" s="6" t="s">
        <v>2467</v>
      </c>
      <c r="D465" s="6" t="s">
        <v>2463</v>
      </c>
      <c r="E465" s="6" t="s">
        <v>2468</v>
      </c>
      <c r="F465" s="7" t="s">
        <v>125</v>
      </c>
      <c r="G465" s="10"/>
      <c r="H465" s="7" t="s">
        <v>93</v>
      </c>
      <c r="I465" s="7"/>
      <c r="J465" s="10"/>
      <c r="K465" s="6" t="s">
        <v>90</v>
      </c>
      <c r="L465" s="7"/>
      <c r="M465" s="14"/>
      <c r="N465" s="7" t="s">
        <v>93</v>
      </c>
      <c r="O465" s="10"/>
      <c r="P465" s="7" t="s">
        <v>90</v>
      </c>
      <c r="Q465" s="15">
        <f>IF(P465="oui",MIN(Parametres!$B$4,MAX(Parametres!$B$3,IF(M465="",Parametres!$B$3,ROUND(M465*10%,0)))),"")</f>
        <v>0</v>
      </c>
      <c r="R465" s="7" t="s">
        <v>134</v>
      </c>
      <c r="S465" s="7" t="s">
        <v>90</v>
      </c>
      <c r="T465" s="15">
        <f>IF(S465="oui",Parametres!$B$5,"")</f>
        <v>500</v>
      </c>
      <c r="U465" s="7" t="s">
        <v>134</v>
      </c>
      <c r="V465" s="15">
        <f t="shared" si="28"/>
        <v>500</v>
      </c>
      <c r="W465" s="15" t="str">
        <f t="shared" si="29"/>
        <v/>
      </c>
      <c r="X465" s="6" t="s">
        <v>90</v>
      </c>
      <c r="Y465" s="7" t="s">
        <v>133</v>
      </c>
      <c r="Z465" s="10"/>
      <c r="AA465" s="6" t="s">
        <v>93</v>
      </c>
      <c r="AB465" s="7" t="s">
        <v>160</v>
      </c>
      <c r="AC465" s="10"/>
      <c r="AD465" s="9" t="str">
        <f t="shared" si="30"/>
        <v>oui</v>
      </c>
      <c r="AE465" s="9" t="str">
        <f t="shared" si="31"/>
        <v>TAE manquant</v>
      </c>
      <c r="AF465" s="7"/>
      <c r="AG465" s="10"/>
      <c r="AH465" s="10"/>
      <c r="AI465" s="7" t="s">
        <v>160</v>
      </c>
      <c r="AJ465" s="10"/>
      <c r="AK465" s="10"/>
      <c r="AL465" s="10"/>
      <c r="AM465" s="11" t="s">
        <v>131</v>
      </c>
      <c r="AN465" s="11" t="s">
        <v>131</v>
      </c>
      <c r="AO465" s="11" t="s">
        <v>131</v>
      </c>
      <c r="AP465" s="11" t="s">
        <v>131</v>
      </c>
      <c r="AQ465" s="11"/>
      <c r="AR465" s="7"/>
    </row>
    <row r="466" spans="1:44" ht="14.4" x14ac:dyDescent="0.3">
      <c r="A466" s="6" t="s">
        <v>292</v>
      </c>
      <c r="B466" s="6" t="s">
        <v>2461</v>
      </c>
      <c r="C466" s="6" t="s">
        <v>2472</v>
      </c>
      <c r="D466" s="6" t="s">
        <v>2463</v>
      </c>
      <c r="E466" s="6" t="s">
        <v>2473</v>
      </c>
      <c r="F466" s="7" t="s">
        <v>125</v>
      </c>
      <c r="G466" s="10"/>
      <c r="H466" s="7" t="s">
        <v>93</v>
      </c>
      <c r="I466" s="7"/>
      <c r="J466" s="10"/>
      <c r="K466" s="6" t="s">
        <v>90</v>
      </c>
      <c r="L466" s="7"/>
      <c r="M466" s="14"/>
      <c r="N466" s="7" t="s">
        <v>93</v>
      </c>
      <c r="O466" s="10"/>
      <c r="P466" s="7" t="s">
        <v>90</v>
      </c>
      <c r="Q466" s="15">
        <f>IF(P466="oui",MIN(Parametres!$B$4,MAX(Parametres!$B$3,IF(M466="",Parametres!$B$3,ROUND(M466*10%,0)))),"")</f>
        <v>0</v>
      </c>
      <c r="R466" s="7" t="s">
        <v>134</v>
      </c>
      <c r="S466" s="7" t="s">
        <v>90</v>
      </c>
      <c r="T466" s="15">
        <f>IF(S466="oui",Parametres!$B$5,"")</f>
        <v>500</v>
      </c>
      <c r="U466" s="7" t="s">
        <v>134</v>
      </c>
      <c r="V466" s="15">
        <f t="shared" si="28"/>
        <v>500</v>
      </c>
      <c r="W466" s="15" t="str">
        <f t="shared" si="29"/>
        <v/>
      </c>
      <c r="X466" s="6" t="s">
        <v>90</v>
      </c>
      <c r="Y466" s="7" t="s">
        <v>133</v>
      </c>
      <c r="Z466" s="10"/>
      <c r="AA466" s="6" t="s">
        <v>93</v>
      </c>
      <c r="AB466" s="7" t="s">
        <v>160</v>
      </c>
      <c r="AC466" s="10"/>
      <c r="AD466" s="9" t="str">
        <f t="shared" si="30"/>
        <v>oui</v>
      </c>
      <c r="AE466" s="9" t="str">
        <f t="shared" si="31"/>
        <v>TAE manquant</v>
      </c>
      <c r="AF466" s="7"/>
      <c r="AG466" s="10"/>
      <c r="AH466" s="10"/>
      <c r="AI466" s="7" t="s">
        <v>160</v>
      </c>
      <c r="AJ466" s="10"/>
      <c r="AK466" s="10"/>
      <c r="AL466" s="10"/>
      <c r="AM466" s="11" t="s">
        <v>131</v>
      </c>
      <c r="AN466" s="11" t="s">
        <v>131</v>
      </c>
      <c r="AO466" s="11" t="s">
        <v>131</v>
      </c>
      <c r="AP466" s="11" t="s">
        <v>131</v>
      </c>
      <c r="AQ466" s="11"/>
      <c r="AR466" s="7"/>
    </row>
    <row r="467" spans="1:44" ht="14.4" x14ac:dyDescent="0.3">
      <c r="A467" s="6" t="s">
        <v>292</v>
      </c>
      <c r="B467" s="6" t="s">
        <v>2461</v>
      </c>
      <c r="C467" s="6" t="s">
        <v>2476</v>
      </c>
      <c r="D467" s="6" t="s">
        <v>2463</v>
      </c>
      <c r="E467" s="6" t="s">
        <v>2477</v>
      </c>
      <c r="F467" s="7" t="s">
        <v>125</v>
      </c>
      <c r="G467" s="10"/>
      <c r="H467" s="7" t="s">
        <v>93</v>
      </c>
      <c r="I467" s="7"/>
      <c r="J467" s="10"/>
      <c r="K467" s="6" t="s">
        <v>90</v>
      </c>
      <c r="L467" s="7"/>
      <c r="M467" s="14"/>
      <c r="N467" s="7" t="s">
        <v>93</v>
      </c>
      <c r="O467" s="10"/>
      <c r="P467" s="7" t="s">
        <v>90</v>
      </c>
      <c r="Q467" s="15">
        <f>IF(P467="oui",MIN(Parametres!$B$4,MAX(Parametres!$B$3,IF(M467="",Parametres!$B$3,ROUND(M467*10%,0)))),"")</f>
        <v>0</v>
      </c>
      <c r="R467" s="7" t="s">
        <v>134</v>
      </c>
      <c r="S467" s="7" t="s">
        <v>90</v>
      </c>
      <c r="T467" s="15">
        <f>IF(S467="oui",Parametres!$B$5,"")</f>
        <v>500</v>
      </c>
      <c r="U467" s="7" t="s">
        <v>134</v>
      </c>
      <c r="V467" s="15">
        <f t="shared" si="28"/>
        <v>500</v>
      </c>
      <c r="W467" s="15" t="str">
        <f t="shared" si="29"/>
        <v/>
      </c>
      <c r="X467" s="6" t="s">
        <v>90</v>
      </c>
      <c r="Y467" s="7" t="s">
        <v>133</v>
      </c>
      <c r="Z467" s="10"/>
      <c r="AA467" s="6" t="s">
        <v>93</v>
      </c>
      <c r="AB467" s="7" t="s">
        <v>160</v>
      </c>
      <c r="AC467" s="10"/>
      <c r="AD467" s="9" t="str">
        <f t="shared" si="30"/>
        <v>oui</v>
      </c>
      <c r="AE467" s="9" t="str">
        <f t="shared" si="31"/>
        <v>TAE manquant</v>
      </c>
      <c r="AF467" s="7"/>
      <c r="AG467" s="10"/>
      <c r="AH467" s="10"/>
      <c r="AI467" s="7" t="s">
        <v>160</v>
      </c>
      <c r="AJ467" s="10"/>
      <c r="AK467" s="10"/>
      <c r="AL467" s="10"/>
      <c r="AM467" s="11" t="s">
        <v>131</v>
      </c>
      <c r="AN467" s="11" t="s">
        <v>131</v>
      </c>
      <c r="AO467" s="11" t="s">
        <v>131</v>
      </c>
      <c r="AP467" s="11" t="s">
        <v>131</v>
      </c>
      <c r="AQ467" s="11"/>
      <c r="AR467" s="7"/>
    </row>
    <row r="468" spans="1:44" ht="14.4" x14ac:dyDescent="0.3">
      <c r="A468" s="6" t="s">
        <v>270</v>
      </c>
      <c r="B468" s="6" t="s">
        <v>2480</v>
      </c>
      <c r="C468" s="6" t="s">
        <v>2481</v>
      </c>
      <c r="D468" s="6" t="s">
        <v>2482</v>
      </c>
      <c r="E468" s="6" t="s">
        <v>2483</v>
      </c>
      <c r="F468" s="7" t="s">
        <v>125</v>
      </c>
      <c r="G468" s="10"/>
      <c r="H468" s="7" t="s">
        <v>93</v>
      </c>
      <c r="I468" s="7"/>
      <c r="J468" s="10"/>
      <c r="K468" s="6" t="s">
        <v>90</v>
      </c>
      <c r="L468" s="7"/>
      <c r="M468" s="14"/>
      <c r="N468" s="7" t="s">
        <v>93</v>
      </c>
      <c r="O468" s="10"/>
      <c r="P468" s="7" t="s">
        <v>90</v>
      </c>
      <c r="Q468" s="15">
        <f>IF(P468="oui",MIN(Parametres!$B$4,MAX(Parametres!$B$3,IF(M468="",Parametres!$B$3,ROUND(M468*10%,0)))),"")</f>
        <v>0</v>
      </c>
      <c r="R468" s="7" t="s">
        <v>134</v>
      </c>
      <c r="S468" s="7" t="s">
        <v>90</v>
      </c>
      <c r="T468" s="15">
        <f>IF(S468="oui",Parametres!$B$5,"")</f>
        <v>500</v>
      </c>
      <c r="U468" s="7" t="s">
        <v>134</v>
      </c>
      <c r="V468" s="15">
        <f t="shared" si="28"/>
        <v>500</v>
      </c>
      <c r="W468" s="15" t="str">
        <f t="shared" si="29"/>
        <v/>
      </c>
      <c r="X468" s="6" t="s">
        <v>90</v>
      </c>
      <c r="Y468" s="7" t="s">
        <v>133</v>
      </c>
      <c r="Z468" s="10"/>
      <c r="AA468" s="6" t="s">
        <v>93</v>
      </c>
      <c r="AB468" s="7" t="s">
        <v>160</v>
      </c>
      <c r="AC468" s="10"/>
      <c r="AD468" s="9" t="str">
        <f t="shared" si="30"/>
        <v>oui</v>
      </c>
      <c r="AE468" s="9" t="str">
        <f t="shared" si="31"/>
        <v>TAE manquant</v>
      </c>
      <c r="AF468" s="7"/>
      <c r="AG468" s="10"/>
      <c r="AH468" s="10"/>
      <c r="AI468" s="7" t="s">
        <v>160</v>
      </c>
      <c r="AJ468" s="10"/>
      <c r="AK468" s="10"/>
      <c r="AL468" s="10"/>
      <c r="AM468" s="11" t="s">
        <v>131</v>
      </c>
      <c r="AN468" s="11" t="s">
        <v>131</v>
      </c>
      <c r="AO468" s="11" t="s">
        <v>131</v>
      </c>
      <c r="AP468" s="11" t="s">
        <v>131</v>
      </c>
      <c r="AQ468" s="11"/>
      <c r="AR468" s="7"/>
    </row>
    <row r="469" spans="1:44" ht="14.4" x14ac:dyDescent="0.3">
      <c r="A469" s="6" t="s">
        <v>270</v>
      </c>
      <c r="B469" s="6" t="s">
        <v>2480</v>
      </c>
      <c r="C469" s="6" t="s">
        <v>2488</v>
      </c>
      <c r="D469" s="6" t="s">
        <v>2482</v>
      </c>
      <c r="E469" s="6" t="s">
        <v>2489</v>
      </c>
      <c r="F469" s="7" t="s">
        <v>125</v>
      </c>
      <c r="G469" s="10"/>
      <c r="H469" s="7" t="s">
        <v>93</v>
      </c>
      <c r="I469" s="7"/>
      <c r="J469" s="10"/>
      <c r="K469" s="6" t="s">
        <v>90</v>
      </c>
      <c r="L469" s="7"/>
      <c r="M469" s="14"/>
      <c r="N469" s="7" t="s">
        <v>93</v>
      </c>
      <c r="O469" s="10"/>
      <c r="P469" s="7" t="s">
        <v>90</v>
      </c>
      <c r="Q469" s="15">
        <f>IF(P469="oui",MIN(Parametres!$B$4,MAX(Parametres!$B$3,IF(M469="",Parametres!$B$3,ROUND(M469*10%,0)))),"")</f>
        <v>0</v>
      </c>
      <c r="R469" s="7" t="s">
        <v>134</v>
      </c>
      <c r="S469" s="7" t="s">
        <v>90</v>
      </c>
      <c r="T469" s="15">
        <f>IF(S469="oui",Parametres!$B$5,"")</f>
        <v>500</v>
      </c>
      <c r="U469" s="7" t="s">
        <v>134</v>
      </c>
      <c r="V469" s="15">
        <f t="shared" si="28"/>
        <v>500</v>
      </c>
      <c r="W469" s="15" t="str">
        <f t="shared" si="29"/>
        <v/>
      </c>
      <c r="X469" s="6" t="s">
        <v>90</v>
      </c>
      <c r="Y469" s="7" t="s">
        <v>133</v>
      </c>
      <c r="Z469" s="10"/>
      <c r="AA469" s="6" t="s">
        <v>93</v>
      </c>
      <c r="AB469" s="7" t="s">
        <v>160</v>
      </c>
      <c r="AC469" s="10"/>
      <c r="AD469" s="9" t="str">
        <f t="shared" si="30"/>
        <v>oui</v>
      </c>
      <c r="AE469" s="9" t="str">
        <f t="shared" si="31"/>
        <v>TAE manquant</v>
      </c>
      <c r="AF469" s="7"/>
      <c r="AG469" s="10"/>
      <c r="AH469" s="10"/>
      <c r="AI469" s="7" t="s">
        <v>160</v>
      </c>
      <c r="AJ469" s="10"/>
      <c r="AK469" s="10"/>
      <c r="AL469" s="10"/>
      <c r="AM469" s="11" t="s">
        <v>131</v>
      </c>
      <c r="AN469" s="11" t="s">
        <v>131</v>
      </c>
      <c r="AO469" s="11" t="s">
        <v>131</v>
      </c>
      <c r="AP469" s="11" t="s">
        <v>131</v>
      </c>
      <c r="AQ469" s="11"/>
      <c r="AR469" s="7"/>
    </row>
    <row r="470" spans="1:44" ht="14.4" x14ac:dyDescent="0.3">
      <c r="A470" s="6" t="s">
        <v>270</v>
      </c>
      <c r="B470" s="6" t="s">
        <v>2480</v>
      </c>
      <c r="C470" s="6" t="s">
        <v>2493</v>
      </c>
      <c r="D470" s="6" t="s">
        <v>2482</v>
      </c>
      <c r="E470" s="6" t="s">
        <v>2494</v>
      </c>
      <c r="F470" s="7" t="s">
        <v>125</v>
      </c>
      <c r="G470" s="10"/>
      <c r="H470" s="7" t="s">
        <v>93</v>
      </c>
      <c r="I470" s="7"/>
      <c r="J470" s="10"/>
      <c r="K470" s="6" t="s">
        <v>90</v>
      </c>
      <c r="L470" s="7"/>
      <c r="M470" s="14"/>
      <c r="N470" s="7" t="s">
        <v>93</v>
      </c>
      <c r="O470" s="10"/>
      <c r="P470" s="7" t="s">
        <v>90</v>
      </c>
      <c r="Q470" s="15">
        <f>IF(P470="oui",MIN(Parametres!$B$4,MAX(Parametres!$B$3,IF(M470="",Parametres!$B$3,ROUND(M470*10%,0)))),"")</f>
        <v>0</v>
      </c>
      <c r="R470" s="7" t="s">
        <v>134</v>
      </c>
      <c r="S470" s="7" t="s">
        <v>90</v>
      </c>
      <c r="T470" s="15">
        <f>IF(S470="oui",Parametres!$B$5,"")</f>
        <v>500</v>
      </c>
      <c r="U470" s="7" t="s">
        <v>134</v>
      </c>
      <c r="V470" s="15">
        <f t="shared" si="28"/>
        <v>500</v>
      </c>
      <c r="W470" s="15" t="str">
        <f t="shared" si="29"/>
        <v/>
      </c>
      <c r="X470" s="6" t="s">
        <v>90</v>
      </c>
      <c r="Y470" s="7" t="s">
        <v>133</v>
      </c>
      <c r="Z470" s="10"/>
      <c r="AA470" s="6" t="s">
        <v>93</v>
      </c>
      <c r="AB470" s="7" t="s">
        <v>160</v>
      </c>
      <c r="AC470" s="10"/>
      <c r="AD470" s="9" t="str">
        <f t="shared" si="30"/>
        <v>oui</v>
      </c>
      <c r="AE470" s="9" t="str">
        <f t="shared" si="31"/>
        <v>TAE manquant</v>
      </c>
      <c r="AF470" s="7"/>
      <c r="AG470" s="10"/>
      <c r="AH470" s="10"/>
      <c r="AI470" s="7" t="s">
        <v>160</v>
      </c>
      <c r="AJ470" s="10"/>
      <c r="AK470" s="10"/>
      <c r="AL470" s="10"/>
      <c r="AM470" s="11" t="s">
        <v>131</v>
      </c>
      <c r="AN470" s="11" t="s">
        <v>131</v>
      </c>
      <c r="AO470" s="11" t="s">
        <v>131</v>
      </c>
      <c r="AP470" s="11" t="s">
        <v>131</v>
      </c>
      <c r="AQ470" s="11"/>
      <c r="AR470" s="7"/>
    </row>
    <row r="471" spans="1:44" ht="14.4" x14ac:dyDescent="0.3">
      <c r="A471" s="6" t="s">
        <v>270</v>
      </c>
      <c r="B471" s="6" t="s">
        <v>2480</v>
      </c>
      <c r="C471" s="6" t="s">
        <v>2496</v>
      </c>
      <c r="D471" s="6" t="s">
        <v>2482</v>
      </c>
      <c r="E471" s="6" t="s">
        <v>2497</v>
      </c>
      <c r="F471" s="7" t="s">
        <v>125</v>
      </c>
      <c r="G471" s="10"/>
      <c r="H471" s="7" t="s">
        <v>93</v>
      </c>
      <c r="I471" s="7"/>
      <c r="J471" s="10"/>
      <c r="K471" s="6" t="s">
        <v>90</v>
      </c>
      <c r="L471" s="7"/>
      <c r="M471" s="14"/>
      <c r="N471" s="7" t="s">
        <v>93</v>
      </c>
      <c r="O471" s="10"/>
      <c r="P471" s="7" t="s">
        <v>90</v>
      </c>
      <c r="Q471" s="15">
        <f>IF(P471="oui",MIN(Parametres!$B$4,MAX(Parametres!$B$3,IF(M471="",Parametres!$B$3,ROUND(M471*10%,0)))),"")</f>
        <v>0</v>
      </c>
      <c r="R471" s="7" t="s">
        <v>134</v>
      </c>
      <c r="S471" s="7" t="s">
        <v>90</v>
      </c>
      <c r="T471" s="15">
        <f>IF(S471="oui",Parametres!$B$5,"")</f>
        <v>500</v>
      </c>
      <c r="U471" s="7" t="s">
        <v>134</v>
      </c>
      <c r="V471" s="15">
        <f t="shared" si="28"/>
        <v>500</v>
      </c>
      <c r="W471" s="15" t="str">
        <f t="shared" si="29"/>
        <v/>
      </c>
      <c r="X471" s="6" t="s">
        <v>90</v>
      </c>
      <c r="Y471" s="7" t="s">
        <v>133</v>
      </c>
      <c r="Z471" s="10"/>
      <c r="AA471" s="6" t="s">
        <v>93</v>
      </c>
      <c r="AB471" s="7" t="s">
        <v>160</v>
      </c>
      <c r="AC471" s="10"/>
      <c r="AD471" s="9" t="str">
        <f t="shared" si="30"/>
        <v>oui</v>
      </c>
      <c r="AE471" s="9" t="str">
        <f t="shared" si="31"/>
        <v>TAE manquant</v>
      </c>
      <c r="AF471" s="7"/>
      <c r="AG471" s="10"/>
      <c r="AH471" s="10"/>
      <c r="AI471" s="7" t="s">
        <v>160</v>
      </c>
      <c r="AJ471" s="10"/>
      <c r="AK471" s="10"/>
      <c r="AL471" s="10"/>
      <c r="AM471" s="11" t="s">
        <v>131</v>
      </c>
      <c r="AN471" s="11" t="s">
        <v>131</v>
      </c>
      <c r="AO471" s="11" t="s">
        <v>131</v>
      </c>
      <c r="AP471" s="11" t="s">
        <v>131</v>
      </c>
      <c r="AQ471" s="11"/>
      <c r="AR471" s="7"/>
    </row>
    <row r="472" spans="1:44" ht="14.4" x14ac:dyDescent="0.3">
      <c r="A472" s="6" t="s">
        <v>262</v>
      </c>
      <c r="B472" s="6" t="s">
        <v>2500</v>
      </c>
      <c r="C472" s="6" t="s">
        <v>2501</v>
      </c>
      <c r="D472" s="6" t="s">
        <v>2502</v>
      </c>
      <c r="E472" s="6" t="s">
        <v>2503</v>
      </c>
      <c r="F472" s="7" t="s">
        <v>125</v>
      </c>
      <c r="G472" s="10"/>
      <c r="H472" s="7" t="s">
        <v>93</v>
      </c>
      <c r="I472" s="7"/>
      <c r="J472" s="10"/>
      <c r="K472" s="6" t="s">
        <v>90</v>
      </c>
      <c r="L472" s="7"/>
      <c r="M472" s="14"/>
      <c r="N472" s="7" t="s">
        <v>93</v>
      </c>
      <c r="O472" s="10"/>
      <c r="P472" s="7" t="s">
        <v>90</v>
      </c>
      <c r="Q472" s="15">
        <f>IF(P472="oui",MIN(Parametres!$B$4,MAX(Parametres!$B$3,IF(M472="",Parametres!$B$3,ROUND(M472*10%,0)))),"")</f>
        <v>0</v>
      </c>
      <c r="R472" s="7" t="s">
        <v>134</v>
      </c>
      <c r="S472" s="7" t="s">
        <v>90</v>
      </c>
      <c r="T472" s="15">
        <f>IF(S472="oui",Parametres!$B$5,"")</f>
        <v>500</v>
      </c>
      <c r="U472" s="7" t="s">
        <v>134</v>
      </c>
      <c r="V472" s="15">
        <f t="shared" si="28"/>
        <v>500</v>
      </c>
      <c r="W472" s="15" t="str">
        <f t="shared" si="29"/>
        <v/>
      </c>
      <c r="X472" s="6" t="s">
        <v>90</v>
      </c>
      <c r="Y472" s="7" t="s">
        <v>133</v>
      </c>
      <c r="Z472" s="10"/>
      <c r="AA472" s="6" t="s">
        <v>93</v>
      </c>
      <c r="AB472" s="7" t="s">
        <v>160</v>
      </c>
      <c r="AC472" s="10"/>
      <c r="AD472" s="9" t="str">
        <f t="shared" si="30"/>
        <v>oui</v>
      </c>
      <c r="AE472" s="9" t="str">
        <f t="shared" si="31"/>
        <v>TAE manquant</v>
      </c>
      <c r="AF472" s="7"/>
      <c r="AG472" s="10"/>
      <c r="AH472" s="10"/>
      <c r="AI472" s="7" t="s">
        <v>160</v>
      </c>
      <c r="AJ472" s="10"/>
      <c r="AK472" s="10"/>
      <c r="AL472" s="10"/>
      <c r="AM472" s="11" t="s">
        <v>131</v>
      </c>
      <c r="AN472" s="11" t="s">
        <v>131</v>
      </c>
      <c r="AO472" s="11" t="s">
        <v>131</v>
      </c>
      <c r="AP472" s="11" t="s">
        <v>131</v>
      </c>
      <c r="AQ472" s="11"/>
      <c r="AR472" s="7"/>
    </row>
    <row r="473" spans="1:44" ht="14.4" x14ac:dyDescent="0.3">
      <c r="A473" s="6" t="s">
        <v>262</v>
      </c>
      <c r="B473" s="6" t="s">
        <v>2500</v>
      </c>
      <c r="C473" s="6" t="s">
        <v>2506</v>
      </c>
      <c r="D473" s="6" t="s">
        <v>2502</v>
      </c>
      <c r="E473" s="6" t="s">
        <v>2507</v>
      </c>
      <c r="F473" s="7" t="s">
        <v>125</v>
      </c>
      <c r="G473" s="10"/>
      <c r="H473" s="7" t="s">
        <v>93</v>
      </c>
      <c r="I473" s="7"/>
      <c r="J473" s="10"/>
      <c r="K473" s="6" t="s">
        <v>90</v>
      </c>
      <c r="L473" s="7"/>
      <c r="M473" s="14"/>
      <c r="N473" s="7" t="s">
        <v>93</v>
      </c>
      <c r="O473" s="10"/>
      <c r="P473" s="7" t="s">
        <v>90</v>
      </c>
      <c r="Q473" s="15">
        <f>IF(P473="oui",MIN(Parametres!$B$4,MAX(Parametres!$B$3,IF(M473="",Parametres!$B$3,ROUND(M473*10%,0)))),"")</f>
        <v>0</v>
      </c>
      <c r="R473" s="7" t="s">
        <v>134</v>
      </c>
      <c r="S473" s="7" t="s">
        <v>90</v>
      </c>
      <c r="T473" s="15">
        <f>IF(S473="oui",Parametres!$B$5,"")</f>
        <v>500</v>
      </c>
      <c r="U473" s="7" t="s">
        <v>134</v>
      </c>
      <c r="V473" s="15">
        <f t="shared" si="28"/>
        <v>500</v>
      </c>
      <c r="W473" s="15" t="str">
        <f t="shared" si="29"/>
        <v/>
      </c>
      <c r="X473" s="6" t="s">
        <v>90</v>
      </c>
      <c r="Y473" s="7" t="s">
        <v>133</v>
      </c>
      <c r="Z473" s="10"/>
      <c r="AA473" s="6" t="s">
        <v>93</v>
      </c>
      <c r="AB473" s="7" t="s">
        <v>160</v>
      </c>
      <c r="AC473" s="10"/>
      <c r="AD473" s="9" t="str">
        <f t="shared" si="30"/>
        <v>oui</v>
      </c>
      <c r="AE473" s="9" t="str">
        <f t="shared" si="31"/>
        <v>TAE manquant</v>
      </c>
      <c r="AF473" s="7"/>
      <c r="AG473" s="10"/>
      <c r="AH473" s="10"/>
      <c r="AI473" s="7" t="s">
        <v>160</v>
      </c>
      <c r="AJ473" s="10"/>
      <c r="AK473" s="10"/>
      <c r="AL473" s="10"/>
      <c r="AM473" s="11" t="s">
        <v>131</v>
      </c>
      <c r="AN473" s="11" t="s">
        <v>131</v>
      </c>
      <c r="AO473" s="11" t="s">
        <v>131</v>
      </c>
      <c r="AP473" s="11" t="s">
        <v>131</v>
      </c>
      <c r="AQ473" s="11"/>
      <c r="AR473" s="7"/>
    </row>
    <row r="474" spans="1:44" ht="14.4" x14ac:dyDescent="0.3">
      <c r="A474" s="6" t="s">
        <v>262</v>
      </c>
      <c r="B474" s="6" t="s">
        <v>2500</v>
      </c>
      <c r="C474" s="6" t="s">
        <v>2508</v>
      </c>
      <c r="D474" s="6" t="s">
        <v>2502</v>
      </c>
      <c r="E474" s="6" t="s">
        <v>2509</v>
      </c>
      <c r="F474" s="7" t="s">
        <v>125</v>
      </c>
      <c r="G474" s="10"/>
      <c r="H474" s="7" t="s">
        <v>93</v>
      </c>
      <c r="I474" s="7"/>
      <c r="J474" s="10"/>
      <c r="K474" s="6" t="s">
        <v>90</v>
      </c>
      <c r="L474" s="7"/>
      <c r="M474" s="14"/>
      <c r="N474" s="7" t="s">
        <v>93</v>
      </c>
      <c r="O474" s="10"/>
      <c r="P474" s="7" t="s">
        <v>90</v>
      </c>
      <c r="Q474" s="15">
        <f>IF(P474="oui",MIN(Parametres!$B$4,MAX(Parametres!$B$3,IF(M474="",Parametres!$B$3,ROUND(M474*10%,0)))),"")</f>
        <v>0</v>
      </c>
      <c r="R474" s="7" t="s">
        <v>134</v>
      </c>
      <c r="S474" s="7" t="s">
        <v>90</v>
      </c>
      <c r="T474" s="15">
        <f>IF(S474="oui",Parametres!$B$5,"")</f>
        <v>500</v>
      </c>
      <c r="U474" s="7" t="s">
        <v>134</v>
      </c>
      <c r="V474" s="15">
        <f t="shared" si="28"/>
        <v>500</v>
      </c>
      <c r="W474" s="15" t="str">
        <f t="shared" si="29"/>
        <v/>
      </c>
      <c r="X474" s="6" t="s">
        <v>90</v>
      </c>
      <c r="Y474" s="7" t="s">
        <v>133</v>
      </c>
      <c r="Z474" s="10"/>
      <c r="AA474" s="6" t="s">
        <v>93</v>
      </c>
      <c r="AB474" s="7" t="s">
        <v>160</v>
      </c>
      <c r="AC474" s="10"/>
      <c r="AD474" s="9" t="str">
        <f t="shared" si="30"/>
        <v>oui</v>
      </c>
      <c r="AE474" s="9" t="str">
        <f t="shared" si="31"/>
        <v>TAE manquant</v>
      </c>
      <c r="AF474" s="7"/>
      <c r="AG474" s="10"/>
      <c r="AH474" s="10"/>
      <c r="AI474" s="7" t="s">
        <v>160</v>
      </c>
      <c r="AJ474" s="10"/>
      <c r="AK474" s="10"/>
      <c r="AL474" s="10"/>
      <c r="AM474" s="11" t="s">
        <v>131</v>
      </c>
      <c r="AN474" s="11" t="s">
        <v>131</v>
      </c>
      <c r="AO474" s="11" t="s">
        <v>131</v>
      </c>
      <c r="AP474" s="11" t="s">
        <v>131</v>
      </c>
      <c r="AQ474" s="11"/>
      <c r="AR474" s="7"/>
    </row>
    <row r="475" spans="1:44" ht="14.4" x14ac:dyDescent="0.3">
      <c r="A475" s="6" t="s">
        <v>262</v>
      </c>
      <c r="B475" s="6" t="s">
        <v>2500</v>
      </c>
      <c r="C475" s="6" t="s">
        <v>2514</v>
      </c>
      <c r="D475" s="6" t="s">
        <v>2502</v>
      </c>
      <c r="E475" s="6" t="s">
        <v>2515</v>
      </c>
      <c r="F475" s="7" t="s">
        <v>125</v>
      </c>
      <c r="G475" s="10"/>
      <c r="H475" s="7" t="s">
        <v>93</v>
      </c>
      <c r="I475" s="7"/>
      <c r="J475" s="10"/>
      <c r="K475" s="6" t="s">
        <v>90</v>
      </c>
      <c r="L475" s="7"/>
      <c r="M475" s="14"/>
      <c r="N475" s="7" t="s">
        <v>93</v>
      </c>
      <c r="O475" s="10"/>
      <c r="P475" s="7" t="s">
        <v>90</v>
      </c>
      <c r="Q475" s="15">
        <f>IF(P475="oui",MIN(Parametres!$B$4,MAX(Parametres!$B$3,IF(M475="",Parametres!$B$3,ROUND(M475*10%,0)))),"")</f>
        <v>0</v>
      </c>
      <c r="R475" s="7" t="s">
        <v>134</v>
      </c>
      <c r="S475" s="7" t="s">
        <v>90</v>
      </c>
      <c r="T475" s="15">
        <f>IF(S475="oui",Parametres!$B$5,"")</f>
        <v>500</v>
      </c>
      <c r="U475" s="7" t="s">
        <v>134</v>
      </c>
      <c r="V475" s="15">
        <f t="shared" si="28"/>
        <v>500</v>
      </c>
      <c r="W475" s="15" t="str">
        <f t="shared" si="29"/>
        <v/>
      </c>
      <c r="X475" s="6" t="s">
        <v>90</v>
      </c>
      <c r="Y475" s="7" t="s">
        <v>133</v>
      </c>
      <c r="Z475" s="10"/>
      <c r="AA475" s="6" t="s">
        <v>93</v>
      </c>
      <c r="AB475" s="7" t="s">
        <v>160</v>
      </c>
      <c r="AC475" s="10"/>
      <c r="AD475" s="9" t="str">
        <f t="shared" si="30"/>
        <v>oui</v>
      </c>
      <c r="AE475" s="9" t="str">
        <f t="shared" si="31"/>
        <v>TAE manquant</v>
      </c>
      <c r="AF475" s="7"/>
      <c r="AG475" s="10"/>
      <c r="AH475" s="10"/>
      <c r="AI475" s="7" t="s">
        <v>160</v>
      </c>
      <c r="AJ475" s="10"/>
      <c r="AK475" s="10"/>
      <c r="AL475" s="10"/>
      <c r="AM475" s="11" t="s">
        <v>131</v>
      </c>
      <c r="AN475" s="11" t="s">
        <v>131</v>
      </c>
      <c r="AO475" s="11" t="s">
        <v>131</v>
      </c>
      <c r="AP475" s="11" t="s">
        <v>131</v>
      </c>
      <c r="AQ475" s="11"/>
      <c r="AR475" s="7"/>
    </row>
    <row r="476" spans="1:44" ht="14.4" x14ac:dyDescent="0.3">
      <c r="A476" s="6" t="s">
        <v>262</v>
      </c>
      <c r="B476" s="6" t="s">
        <v>2500</v>
      </c>
      <c r="C476" s="6" t="s">
        <v>2519</v>
      </c>
      <c r="D476" s="6" t="s">
        <v>2502</v>
      </c>
      <c r="E476" s="6" t="s">
        <v>2520</v>
      </c>
      <c r="F476" s="7" t="s">
        <v>125</v>
      </c>
      <c r="G476" s="10"/>
      <c r="H476" s="7" t="s">
        <v>93</v>
      </c>
      <c r="I476" s="7"/>
      <c r="J476" s="10"/>
      <c r="K476" s="6" t="s">
        <v>90</v>
      </c>
      <c r="L476" s="7"/>
      <c r="M476" s="14"/>
      <c r="N476" s="7" t="s">
        <v>93</v>
      </c>
      <c r="O476" s="10"/>
      <c r="P476" s="7" t="s">
        <v>90</v>
      </c>
      <c r="Q476" s="15">
        <f>IF(P476="oui",MIN(Parametres!$B$4,MAX(Parametres!$B$3,IF(M476="",Parametres!$B$3,ROUND(M476*10%,0)))),"")</f>
        <v>0</v>
      </c>
      <c r="R476" s="7" t="s">
        <v>134</v>
      </c>
      <c r="S476" s="7" t="s">
        <v>90</v>
      </c>
      <c r="T476" s="15">
        <f>IF(S476="oui",Parametres!$B$5,"")</f>
        <v>500</v>
      </c>
      <c r="U476" s="7" t="s">
        <v>134</v>
      </c>
      <c r="V476" s="15">
        <f t="shared" si="28"/>
        <v>500</v>
      </c>
      <c r="W476" s="15" t="str">
        <f t="shared" si="29"/>
        <v/>
      </c>
      <c r="X476" s="6" t="s">
        <v>90</v>
      </c>
      <c r="Y476" s="7" t="s">
        <v>133</v>
      </c>
      <c r="Z476" s="10"/>
      <c r="AA476" s="6" t="s">
        <v>93</v>
      </c>
      <c r="AB476" s="7" t="s">
        <v>160</v>
      </c>
      <c r="AC476" s="10"/>
      <c r="AD476" s="9" t="str">
        <f t="shared" si="30"/>
        <v>oui</v>
      </c>
      <c r="AE476" s="9" t="str">
        <f t="shared" si="31"/>
        <v>TAE manquant</v>
      </c>
      <c r="AF476" s="7"/>
      <c r="AG476" s="10"/>
      <c r="AH476" s="10"/>
      <c r="AI476" s="7" t="s">
        <v>160</v>
      </c>
      <c r="AJ476" s="10"/>
      <c r="AK476" s="10"/>
      <c r="AL476" s="10"/>
      <c r="AM476" s="11" t="s">
        <v>131</v>
      </c>
      <c r="AN476" s="11" t="s">
        <v>131</v>
      </c>
      <c r="AO476" s="11" t="s">
        <v>131</v>
      </c>
      <c r="AP476" s="11" t="s">
        <v>131</v>
      </c>
      <c r="AQ476" s="11"/>
      <c r="AR476" s="7"/>
    </row>
    <row r="477" spans="1:44" ht="14.4" x14ac:dyDescent="0.3">
      <c r="A477" s="6" t="s">
        <v>262</v>
      </c>
      <c r="B477" s="6" t="s">
        <v>2500</v>
      </c>
      <c r="C477" s="6" t="s">
        <v>2523</v>
      </c>
      <c r="D477" s="6" t="s">
        <v>2502</v>
      </c>
      <c r="E477" s="6" t="s">
        <v>2524</v>
      </c>
      <c r="F477" s="7" t="s">
        <v>125</v>
      </c>
      <c r="G477" s="10"/>
      <c r="H477" s="7" t="s">
        <v>93</v>
      </c>
      <c r="I477" s="7"/>
      <c r="J477" s="10"/>
      <c r="K477" s="6" t="s">
        <v>90</v>
      </c>
      <c r="L477" s="7"/>
      <c r="M477" s="14"/>
      <c r="N477" s="7" t="s">
        <v>93</v>
      </c>
      <c r="O477" s="10"/>
      <c r="P477" s="7" t="s">
        <v>90</v>
      </c>
      <c r="Q477" s="15">
        <f>IF(P477="oui",MIN(Parametres!$B$4,MAX(Parametres!$B$3,IF(M477="",Parametres!$B$3,ROUND(M477*10%,0)))),"")</f>
        <v>0</v>
      </c>
      <c r="R477" s="7" t="s">
        <v>134</v>
      </c>
      <c r="S477" s="7" t="s">
        <v>90</v>
      </c>
      <c r="T477" s="15">
        <f>IF(S477="oui",Parametres!$B$5,"")</f>
        <v>500</v>
      </c>
      <c r="U477" s="7" t="s">
        <v>134</v>
      </c>
      <c r="V477" s="15">
        <f t="shared" si="28"/>
        <v>500</v>
      </c>
      <c r="W477" s="15" t="str">
        <f t="shared" si="29"/>
        <v/>
      </c>
      <c r="X477" s="6" t="s">
        <v>90</v>
      </c>
      <c r="Y477" s="7" t="s">
        <v>133</v>
      </c>
      <c r="Z477" s="10"/>
      <c r="AA477" s="6" t="s">
        <v>93</v>
      </c>
      <c r="AB477" s="7" t="s">
        <v>160</v>
      </c>
      <c r="AC477" s="10"/>
      <c r="AD477" s="9" t="str">
        <f t="shared" si="30"/>
        <v>oui</v>
      </c>
      <c r="AE477" s="9" t="str">
        <f t="shared" si="31"/>
        <v>TAE manquant</v>
      </c>
      <c r="AF477" s="7"/>
      <c r="AG477" s="10"/>
      <c r="AH477" s="10"/>
      <c r="AI477" s="7" t="s">
        <v>160</v>
      </c>
      <c r="AJ477" s="10"/>
      <c r="AK477" s="10"/>
      <c r="AL477" s="10"/>
      <c r="AM477" s="11" t="s">
        <v>131</v>
      </c>
      <c r="AN477" s="11" t="s">
        <v>131</v>
      </c>
      <c r="AO477" s="11" t="s">
        <v>131</v>
      </c>
      <c r="AP477" s="11" t="s">
        <v>131</v>
      </c>
      <c r="AQ477" s="11"/>
      <c r="AR477" s="7"/>
    </row>
    <row r="478" spans="1:44" ht="14.4" x14ac:dyDescent="0.3">
      <c r="A478" s="6" t="s">
        <v>262</v>
      </c>
      <c r="B478" s="6" t="s">
        <v>2500</v>
      </c>
      <c r="C478" s="6" t="s">
        <v>2527</v>
      </c>
      <c r="D478" s="6" t="s">
        <v>2502</v>
      </c>
      <c r="E478" s="6" t="s">
        <v>2528</v>
      </c>
      <c r="F478" s="7" t="s">
        <v>125</v>
      </c>
      <c r="G478" s="10"/>
      <c r="H478" s="7" t="s">
        <v>93</v>
      </c>
      <c r="I478" s="7"/>
      <c r="J478" s="10"/>
      <c r="K478" s="6" t="s">
        <v>90</v>
      </c>
      <c r="L478" s="7"/>
      <c r="M478" s="14"/>
      <c r="N478" s="7" t="s">
        <v>93</v>
      </c>
      <c r="O478" s="10"/>
      <c r="P478" s="7" t="s">
        <v>90</v>
      </c>
      <c r="Q478" s="15">
        <f>IF(P478="oui",MIN(Parametres!$B$4,MAX(Parametres!$B$3,IF(M478="",Parametres!$B$3,ROUND(M478*10%,0)))),"")</f>
        <v>0</v>
      </c>
      <c r="R478" s="7" t="s">
        <v>134</v>
      </c>
      <c r="S478" s="7" t="s">
        <v>90</v>
      </c>
      <c r="T478" s="15">
        <f>IF(S478="oui",Parametres!$B$5,"")</f>
        <v>500</v>
      </c>
      <c r="U478" s="7" t="s">
        <v>134</v>
      </c>
      <c r="V478" s="15">
        <f t="shared" si="28"/>
        <v>500</v>
      </c>
      <c r="W478" s="15" t="str">
        <f t="shared" si="29"/>
        <v/>
      </c>
      <c r="X478" s="6" t="s">
        <v>90</v>
      </c>
      <c r="Y478" s="7" t="s">
        <v>133</v>
      </c>
      <c r="Z478" s="10"/>
      <c r="AA478" s="6" t="s">
        <v>93</v>
      </c>
      <c r="AB478" s="7" t="s">
        <v>160</v>
      </c>
      <c r="AC478" s="10"/>
      <c r="AD478" s="9" t="str">
        <f t="shared" si="30"/>
        <v>oui</v>
      </c>
      <c r="AE478" s="9" t="str">
        <f t="shared" si="31"/>
        <v>TAE manquant</v>
      </c>
      <c r="AF478" s="7"/>
      <c r="AG478" s="10"/>
      <c r="AH478" s="10"/>
      <c r="AI478" s="7" t="s">
        <v>160</v>
      </c>
      <c r="AJ478" s="10"/>
      <c r="AK478" s="10"/>
      <c r="AL478" s="10"/>
      <c r="AM478" s="11" t="s">
        <v>131</v>
      </c>
      <c r="AN478" s="11" t="s">
        <v>131</v>
      </c>
      <c r="AO478" s="11" t="s">
        <v>131</v>
      </c>
      <c r="AP478" s="11" t="s">
        <v>131</v>
      </c>
      <c r="AQ478" s="11"/>
      <c r="AR478" s="7"/>
    </row>
    <row r="479" spans="1:44" ht="14.4" x14ac:dyDescent="0.3">
      <c r="A479" s="6" t="s">
        <v>262</v>
      </c>
      <c r="B479" s="6" t="s">
        <v>2500</v>
      </c>
      <c r="C479" s="6" t="s">
        <v>2531</v>
      </c>
      <c r="D479" s="6" t="s">
        <v>2502</v>
      </c>
      <c r="E479" s="6" t="s">
        <v>2532</v>
      </c>
      <c r="F479" s="7" t="s">
        <v>125</v>
      </c>
      <c r="G479" s="10"/>
      <c r="H479" s="7" t="s">
        <v>93</v>
      </c>
      <c r="I479" s="7"/>
      <c r="J479" s="10"/>
      <c r="K479" s="6" t="s">
        <v>90</v>
      </c>
      <c r="L479" s="7"/>
      <c r="M479" s="14"/>
      <c r="N479" s="7" t="s">
        <v>93</v>
      </c>
      <c r="O479" s="10"/>
      <c r="P479" s="7" t="s">
        <v>90</v>
      </c>
      <c r="Q479" s="15">
        <f>IF(P479="oui",MIN(Parametres!$B$4,MAX(Parametres!$B$3,IF(M479="",Parametres!$B$3,ROUND(M479*10%,0)))),"")</f>
        <v>0</v>
      </c>
      <c r="R479" s="7" t="s">
        <v>134</v>
      </c>
      <c r="S479" s="7" t="s">
        <v>90</v>
      </c>
      <c r="T479" s="15">
        <f>IF(S479="oui",Parametres!$B$5,"")</f>
        <v>500</v>
      </c>
      <c r="U479" s="7" t="s">
        <v>134</v>
      </c>
      <c r="V479" s="15">
        <f t="shared" si="28"/>
        <v>500</v>
      </c>
      <c r="W479" s="15" t="str">
        <f t="shared" si="29"/>
        <v/>
      </c>
      <c r="X479" s="6" t="s">
        <v>90</v>
      </c>
      <c r="Y479" s="7" t="s">
        <v>133</v>
      </c>
      <c r="Z479" s="10"/>
      <c r="AA479" s="6" t="s">
        <v>93</v>
      </c>
      <c r="AB479" s="7" t="s">
        <v>160</v>
      </c>
      <c r="AC479" s="10"/>
      <c r="AD479" s="9" t="str">
        <f t="shared" si="30"/>
        <v>oui</v>
      </c>
      <c r="AE479" s="9" t="str">
        <f t="shared" si="31"/>
        <v>TAE manquant</v>
      </c>
      <c r="AF479" s="7"/>
      <c r="AG479" s="10"/>
      <c r="AH479" s="10"/>
      <c r="AI479" s="7" t="s">
        <v>160</v>
      </c>
      <c r="AJ479" s="10"/>
      <c r="AK479" s="10"/>
      <c r="AL479" s="10"/>
      <c r="AM479" s="11" t="s">
        <v>131</v>
      </c>
      <c r="AN479" s="11" t="s">
        <v>131</v>
      </c>
      <c r="AO479" s="11" t="s">
        <v>131</v>
      </c>
      <c r="AP479" s="11" t="s">
        <v>131</v>
      </c>
      <c r="AQ479" s="11"/>
      <c r="AR479" s="7"/>
    </row>
    <row r="480" spans="1:44" ht="14.4" x14ac:dyDescent="0.3">
      <c r="A480" s="6" t="s">
        <v>262</v>
      </c>
      <c r="B480" s="6" t="s">
        <v>2500</v>
      </c>
      <c r="C480" s="6" t="s">
        <v>2536</v>
      </c>
      <c r="D480" s="6" t="s">
        <v>2502</v>
      </c>
      <c r="E480" s="6" t="s">
        <v>2537</v>
      </c>
      <c r="F480" s="7" t="s">
        <v>125</v>
      </c>
      <c r="G480" s="10"/>
      <c r="H480" s="7" t="s">
        <v>93</v>
      </c>
      <c r="I480" s="7"/>
      <c r="J480" s="10"/>
      <c r="K480" s="6" t="s">
        <v>90</v>
      </c>
      <c r="L480" s="7"/>
      <c r="M480" s="14"/>
      <c r="N480" s="7" t="s">
        <v>93</v>
      </c>
      <c r="O480" s="10"/>
      <c r="P480" s="7" t="s">
        <v>90</v>
      </c>
      <c r="Q480" s="15">
        <f>IF(P480="oui",MIN(Parametres!$B$4,MAX(Parametres!$B$3,IF(M480="",Parametres!$B$3,ROUND(M480*10%,0)))),"")</f>
        <v>0</v>
      </c>
      <c r="R480" s="7" t="s">
        <v>134</v>
      </c>
      <c r="S480" s="7" t="s">
        <v>90</v>
      </c>
      <c r="T480" s="15">
        <f>IF(S480="oui",Parametres!$B$5,"")</f>
        <v>500</v>
      </c>
      <c r="U480" s="7" t="s">
        <v>134</v>
      </c>
      <c r="V480" s="15">
        <f t="shared" si="28"/>
        <v>500</v>
      </c>
      <c r="W480" s="15" t="str">
        <f t="shared" si="29"/>
        <v/>
      </c>
      <c r="X480" s="6" t="s">
        <v>90</v>
      </c>
      <c r="Y480" s="7" t="s">
        <v>133</v>
      </c>
      <c r="Z480" s="10"/>
      <c r="AA480" s="6" t="s">
        <v>93</v>
      </c>
      <c r="AB480" s="7" t="s">
        <v>160</v>
      </c>
      <c r="AC480" s="10"/>
      <c r="AD480" s="9" t="str">
        <f t="shared" si="30"/>
        <v>oui</v>
      </c>
      <c r="AE480" s="9" t="str">
        <f t="shared" si="31"/>
        <v>TAE manquant</v>
      </c>
      <c r="AF480" s="7"/>
      <c r="AG480" s="10"/>
      <c r="AH480" s="10"/>
      <c r="AI480" s="7" t="s">
        <v>160</v>
      </c>
      <c r="AJ480" s="10"/>
      <c r="AK480" s="10"/>
      <c r="AL480" s="10"/>
      <c r="AM480" s="11" t="s">
        <v>131</v>
      </c>
      <c r="AN480" s="11" t="s">
        <v>131</v>
      </c>
      <c r="AO480" s="11" t="s">
        <v>131</v>
      </c>
      <c r="AP480" s="11" t="s">
        <v>131</v>
      </c>
      <c r="AQ480" s="11"/>
      <c r="AR480" s="7"/>
    </row>
    <row r="481" spans="1:44" ht="14.4" x14ac:dyDescent="0.3">
      <c r="A481" s="6" t="s">
        <v>262</v>
      </c>
      <c r="B481" s="6" t="s">
        <v>2500</v>
      </c>
      <c r="C481" s="6" t="s">
        <v>2540</v>
      </c>
      <c r="D481" s="6" t="s">
        <v>2502</v>
      </c>
      <c r="E481" s="6" t="s">
        <v>2541</v>
      </c>
      <c r="F481" s="7" t="s">
        <v>125</v>
      </c>
      <c r="G481" s="10"/>
      <c r="H481" s="7" t="s">
        <v>93</v>
      </c>
      <c r="I481" s="7"/>
      <c r="J481" s="10"/>
      <c r="K481" s="6" t="s">
        <v>90</v>
      </c>
      <c r="L481" s="7"/>
      <c r="M481" s="14"/>
      <c r="N481" s="7" t="s">
        <v>93</v>
      </c>
      <c r="O481" s="10"/>
      <c r="P481" s="7" t="s">
        <v>90</v>
      </c>
      <c r="Q481" s="15">
        <f>IF(P481="oui",MIN(Parametres!$B$4,MAX(Parametres!$B$3,IF(M481="",Parametres!$B$3,ROUND(M481*10%,0)))),"")</f>
        <v>0</v>
      </c>
      <c r="R481" s="7" t="s">
        <v>134</v>
      </c>
      <c r="S481" s="7" t="s">
        <v>90</v>
      </c>
      <c r="T481" s="15">
        <f>IF(S481="oui",Parametres!$B$5,"")</f>
        <v>500</v>
      </c>
      <c r="U481" s="7" t="s">
        <v>134</v>
      </c>
      <c r="V481" s="15">
        <f t="shared" si="28"/>
        <v>500</v>
      </c>
      <c r="W481" s="15" t="str">
        <f t="shared" si="29"/>
        <v/>
      </c>
      <c r="X481" s="6" t="s">
        <v>90</v>
      </c>
      <c r="Y481" s="7" t="s">
        <v>133</v>
      </c>
      <c r="Z481" s="10"/>
      <c r="AA481" s="6" t="s">
        <v>93</v>
      </c>
      <c r="AB481" s="7" t="s">
        <v>160</v>
      </c>
      <c r="AC481" s="10"/>
      <c r="AD481" s="9" t="str">
        <f t="shared" si="30"/>
        <v>oui</v>
      </c>
      <c r="AE481" s="9" t="str">
        <f t="shared" si="31"/>
        <v>TAE manquant</v>
      </c>
      <c r="AF481" s="7"/>
      <c r="AG481" s="10"/>
      <c r="AH481" s="10"/>
      <c r="AI481" s="7" t="s">
        <v>160</v>
      </c>
      <c r="AJ481" s="10"/>
      <c r="AK481" s="10"/>
      <c r="AL481" s="10"/>
      <c r="AM481" s="11" t="s">
        <v>131</v>
      </c>
      <c r="AN481" s="11" t="s">
        <v>131</v>
      </c>
      <c r="AO481" s="11" t="s">
        <v>131</v>
      </c>
      <c r="AP481" s="11" t="s">
        <v>131</v>
      </c>
      <c r="AQ481" s="11"/>
      <c r="AR481" s="7"/>
    </row>
    <row r="482" spans="1:44" ht="14.4" x14ac:dyDescent="0.3">
      <c r="A482" s="6" t="s">
        <v>262</v>
      </c>
      <c r="B482" s="6" t="s">
        <v>2500</v>
      </c>
      <c r="C482" s="6" t="s">
        <v>2545</v>
      </c>
      <c r="D482" s="6" t="s">
        <v>2502</v>
      </c>
      <c r="E482" s="6" t="s">
        <v>2546</v>
      </c>
      <c r="F482" s="7" t="s">
        <v>125</v>
      </c>
      <c r="G482" s="10"/>
      <c r="H482" s="7" t="s">
        <v>93</v>
      </c>
      <c r="I482" s="7"/>
      <c r="J482" s="10"/>
      <c r="K482" s="6" t="s">
        <v>90</v>
      </c>
      <c r="L482" s="7"/>
      <c r="M482" s="14"/>
      <c r="N482" s="7" t="s">
        <v>93</v>
      </c>
      <c r="O482" s="10"/>
      <c r="P482" s="7" t="s">
        <v>90</v>
      </c>
      <c r="Q482" s="15">
        <f>IF(P482="oui",MIN(Parametres!$B$4,MAX(Parametres!$B$3,IF(M482="",Parametres!$B$3,ROUND(M482*10%,0)))),"")</f>
        <v>0</v>
      </c>
      <c r="R482" s="7" t="s">
        <v>134</v>
      </c>
      <c r="S482" s="7" t="s">
        <v>90</v>
      </c>
      <c r="T482" s="15">
        <f>IF(S482="oui",Parametres!$B$5,"")</f>
        <v>500</v>
      </c>
      <c r="U482" s="7" t="s">
        <v>134</v>
      </c>
      <c r="V482" s="15">
        <f t="shared" si="28"/>
        <v>500</v>
      </c>
      <c r="W482" s="15" t="str">
        <f t="shared" si="29"/>
        <v/>
      </c>
      <c r="X482" s="6" t="s">
        <v>90</v>
      </c>
      <c r="Y482" s="7" t="s">
        <v>133</v>
      </c>
      <c r="Z482" s="10"/>
      <c r="AA482" s="6" t="s">
        <v>93</v>
      </c>
      <c r="AB482" s="7" t="s">
        <v>160</v>
      </c>
      <c r="AC482" s="10"/>
      <c r="AD482" s="9" t="str">
        <f t="shared" si="30"/>
        <v>oui</v>
      </c>
      <c r="AE482" s="9" t="str">
        <f t="shared" si="31"/>
        <v>TAE manquant</v>
      </c>
      <c r="AF482" s="7"/>
      <c r="AG482" s="10"/>
      <c r="AH482" s="10"/>
      <c r="AI482" s="7" t="s">
        <v>160</v>
      </c>
      <c r="AJ482" s="10"/>
      <c r="AK482" s="10"/>
      <c r="AL482" s="10"/>
      <c r="AM482" s="11" t="s">
        <v>131</v>
      </c>
      <c r="AN482" s="11" t="s">
        <v>131</v>
      </c>
      <c r="AO482" s="11" t="s">
        <v>131</v>
      </c>
      <c r="AP482" s="11" t="s">
        <v>131</v>
      </c>
      <c r="AQ482" s="11"/>
      <c r="AR482" s="7"/>
    </row>
    <row r="483" spans="1:44" ht="14.4" x14ac:dyDescent="0.3">
      <c r="A483" s="6" t="s">
        <v>262</v>
      </c>
      <c r="B483" s="6" t="s">
        <v>2500</v>
      </c>
      <c r="C483" s="6" t="s">
        <v>2550</v>
      </c>
      <c r="D483" s="6" t="s">
        <v>2502</v>
      </c>
      <c r="E483" s="6" t="s">
        <v>2551</v>
      </c>
      <c r="F483" s="7" t="s">
        <v>125</v>
      </c>
      <c r="G483" s="10"/>
      <c r="H483" s="7" t="s">
        <v>93</v>
      </c>
      <c r="I483" s="7"/>
      <c r="J483" s="10"/>
      <c r="K483" s="6" t="s">
        <v>90</v>
      </c>
      <c r="L483" s="7"/>
      <c r="M483" s="14"/>
      <c r="N483" s="7" t="s">
        <v>93</v>
      </c>
      <c r="O483" s="10"/>
      <c r="P483" s="7" t="s">
        <v>90</v>
      </c>
      <c r="Q483" s="15">
        <f>IF(P483="oui",MIN(Parametres!$B$4,MAX(Parametres!$B$3,IF(M483="",Parametres!$B$3,ROUND(M483*10%,0)))),"")</f>
        <v>0</v>
      </c>
      <c r="R483" s="7" t="s">
        <v>134</v>
      </c>
      <c r="S483" s="7" t="s">
        <v>90</v>
      </c>
      <c r="T483" s="15">
        <f>IF(S483="oui",Parametres!$B$5,"")</f>
        <v>500</v>
      </c>
      <c r="U483" s="7" t="s">
        <v>134</v>
      </c>
      <c r="V483" s="15">
        <f t="shared" si="28"/>
        <v>500</v>
      </c>
      <c r="W483" s="15" t="str">
        <f t="shared" si="29"/>
        <v/>
      </c>
      <c r="X483" s="6" t="s">
        <v>90</v>
      </c>
      <c r="Y483" s="7" t="s">
        <v>133</v>
      </c>
      <c r="Z483" s="10"/>
      <c r="AA483" s="6" t="s">
        <v>93</v>
      </c>
      <c r="AB483" s="7" t="s">
        <v>160</v>
      </c>
      <c r="AC483" s="10"/>
      <c r="AD483" s="9" t="str">
        <f t="shared" si="30"/>
        <v>oui</v>
      </c>
      <c r="AE483" s="9" t="str">
        <f t="shared" si="31"/>
        <v>TAE manquant</v>
      </c>
      <c r="AF483" s="7"/>
      <c r="AG483" s="10"/>
      <c r="AH483" s="10"/>
      <c r="AI483" s="7" t="s">
        <v>160</v>
      </c>
      <c r="AJ483" s="10"/>
      <c r="AK483" s="10"/>
      <c r="AL483" s="10"/>
      <c r="AM483" s="11" t="s">
        <v>131</v>
      </c>
      <c r="AN483" s="11" t="s">
        <v>131</v>
      </c>
      <c r="AO483" s="11" t="s">
        <v>131</v>
      </c>
      <c r="AP483" s="11" t="s">
        <v>131</v>
      </c>
      <c r="AQ483" s="11"/>
      <c r="AR483" s="7"/>
    </row>
    <row r="484" spans="1:44" ht="14.4" x14ac:dyDescent="0.3">
      <c r="A484" s="6" t="s">
        <v>262</v>
      </c>
      <c r="B484" s="6" t="s">
        <v>2554</v>
      </c>
      <c r="C484" s="6" t="s">
        <v>2555</v>
      </c>
      <c r="D484" s="6" t="s">
        <v>2556</v>
      </c>
      <c r="E484" s="6" t="s">
        <v>2557</v>
      </c>
      <c r="F484" s="7" t="s">
        <v>125</v>
      </c>
      <c r="G484" s="10"/>
      <c r="H484" s="7" t="s">
        <v>93</v>
      </c>
      <c r="I484" s="7"/>
      <c r="J484" s="10"/>
      <c r="K484" s="6" t="s">
        <v>90</v>
      </c>
      <c r="L484" s="7"/>
      <c r="M484" s="14"/>
      <c r="N484" s="7" t="s">
        <v>93</v>
      </c>
      <c r="O484" s="10"/>
      <c r="P484" s="7" t="s">
        <v>90</v>
      </c>
      <c r="Q484" s="15">
        <f>IF(P484="oui",MIN(Parametres!$B$4,MAX(Parametres!$B$3,IF(M484="",Parametres!$B$3,ROUND(M484*10%,0)))),"")</f>
        <v>0</v>
      </c>
      <c r="R484" s="7" t="s">
        <v>134</v>
      </c>
      <c r="S484" s="7" t="s">
        <v>90</v>
      </c>
      <c r="T484" s="15">
        <f>IF(S484="oui",Parametres!$B$5,"")</f>
        <v>500</v>
      </c>
      <c r="U484" s="7" t="s">
        <v>134</v>
      </c>
      <c r="V484" s="15">
        <f t="shared" si="28"/>
        <v>500</v>
      </c>
      <c r="W484" s="15" t="str">
        <f t="shared" si="29"/>
        <v/>
      </c>
      <c r="X484" s="6" t="s">
        <v>90</v>
      </c>
      <c r="Y484" s="7" t="s">
        <v>133</v>
      </c>
      <c r="Z484" s="10"/>
      <c r="AA484" s="6" t="s">
        <v>93</v>
      </c>
      <c r="AB484" s="7" t="s">
        <v>160</v>
      </c>
      <c r="AC484" s="10"/>
      <c r="AD484" s="9" t="str">
        <f t="shared" si="30"/>
        <v>oui</v>
      </c>
      <c r="AE484" s="9" t="str">
        <f t="shared" si="31"/>
        <v>TAE manquant</v>
      </c>
      <c r="AF484" s="7"/>
      <c r="AG484" s="10"/>
      <c r="AH484" s="10"/>
      <c r="AI484" s="7" t="s">
        <v>160</v>
      </c>
      <c r="AJ484" s="10"/>
      <c r="AK484" s="10"/>
      <c r="AL484" s="10"/>
      <c r="AM484" s="11" t="s">
        <v>131</v>
      </c>
      <c r="AN484" s="11" t="s">
        <v>131</v>
      </c>
      <c r="AO484" s="11" t="s">
        <v>131</v>
      </c>
      <c r="AP484" s="11" t="s">
        <v>131</v>
      </c>
      <c r="AQ484" s="11"/>
      <c r="AR484" s="7"/>
    </row>
    <row r="485" spans="1:44" ht="14.4" x14ac:dyDescent="0.3">
      <c r="A485" s="6" t="s">
        <v>262</v>
      </c>
      <c r="B485" s="6" t="s">
        <v>2554</v>
      </c>
      <c r="C485" s="6" t="s">
        <v>2562</v>
      </c>
      <c r="D485" s="6" t="s">
        <v>2556</v>
      </c>
      <c r="E485" s="6" t="s">
        <v>2563</v>
      </c>
      <c r="F485" s="7" t="s">
        <v>125</v>
      </c>
      <c r="G485" s="10"/>
      <c r="H485" s="7" t="s">
        <v>93</v>
      </c>
      <c r="I485" s="7"/>
      <c r="J485" s="10"/>
      <c r="K485" s="6" t="s">
        <v>90</v>
      </c>
      <c r="L485" s="7"/>
      <c r="M485" s="14"/>
      <c r="N485" s="7" t="s">
        <v>93</v>
      </c>
      <c r="O485" s="10"/>
      <c r="P485" s="7" t="s">
        <v>90</v>
      </c>
      <c r="Q485" s="15">
        <f>IF(P485="oui",MIN(Parametres!$B$4,MAX(Parametres!$B$3,IF(M485="",Parametres!$B$3,ROUND(M485*10%,0)))),"")</f>
        <v>0</v>
      </c>
      <c r="R485" s="7" t="s">
        <v>134</v>
      </c>
      <c r="S485" s="7" t="s">
        <v>90</v>
      </c>
      <c r="T485" s="15">
        <f>IF(S485="oui",Parametres!$B$5,"")</f>
        <v>500</v>
      </c>
      <c r="U485" s="7" t="s">
        <v>134</v>
      </c>
      <c r="V485" s="15">
        <f t="shared" si="28"/>
        <v>500</v>
      </c>
      <c r="W485" s="15" t="str">
        <f t="shared" si="29"/>
        <v/>
      </c>
      <c r="X485" s="6" t="s">
        <v>90</v>
      </c>
      <c r="Y485" s="7" t="s">
        <v>133</v>
      </c>
      <c r="Z485" s="10"/>
      <c r="AA485" s="6" t="s">
        <v>93</v>
      </c>
      <c r="AB485" s="7" t="s">
        <v>160</v>
      </c>
      <c r="AC485" s="10"/>
      <c r="AD485" s="9" t="str">
        <f t="shared" si="30"/>
        <v>oui</v>
      </c>
      <c r="AE485" s="9" t="str">
        <f t="shared" si="31"/>
        <v>TAE manquant</v>
      </c>
      <c r="AF485" s="7"/>
      <c r="AG485" s="10"/>
      <c r="AH485" s="10"/>
      <c r="AI485" s="7" t="s">
        <v>160</v>
      </c>
      <c r="AJ485" s="10"/>
      <c r="AK485" s="10"/>
      <c r="AL485" s="10"/>
      <c r="AM485" s="11" t="s">
        <v>131</v>
      </c>
      <c r="AN485" s="11" t="s">
        <v>131</v>
      </c>
      <c r="AO485" s="11" t="s">
        <v>131</v>
      </c>
      <c r="AP485" s="11" t="s">
        <v>131</v>
      </c>
      <c r="AQ485" s="11"/>
      <c r="AR485" s="7"/>
    </row>
    <row r="486" spans="1:44" ht="14.4" x14ac:dyDescent="0.3">
      <c r="A486" s="6" t="s">
        <v>262</v>
      </c>
      <c r="B486" s="6" t="s">
        <v>2554</v>
      </c>
      <c r="C486" s="6" t="s">
        <v>2566</v>
      </c>
      <c r="D486" s="6" t="s">
        <v>2556</v>
      </c>
      <c r="E486" s="6" t="s">
        <v>2567</v>
      </c>
      <c r="F486" s="7" t="s">
        <v>125</v>
      </c>
      <c r="G486" s="10"/>
      <c r="H486" s="7" t="s">
        <v>93</v>
      </c>
      <c r="I486" s="7"/>
      <c r="J486" s="10"/>
      <c r="K486" s="6" t="s">
        <v>90</v>
      </c>
      <c r="L486" s="7"/>
      <c r="M486" s="14"/>
      <c r="N486" s="7" t="s">
        <v>93</v>
      </c>
      <c r="O486" s="10"/>
      <c r="P486" s="7" t="s">
        <v>90</v>
      </c>
      <c r="Q486" s="15">
        <f>IF(P486="oui",MIN(Parametres!$B$4,MAX(Parametres!$B$3,IF(M486="",Parametres!$B$3,ROUND(M486*10%,0)))),"")</f>
        <v>0</v>
      </c>
      <c r="R486" s="7" t="s">
        <v>134</v>
      </c>
      <c r="S486" s="7" t="s">
        <v>90</v>
      </c>
      <c r="T486" s="15">
        <f>IF(S486="oui",Parametres!$B$5,"")</f>
        <v>500</v>
      </c>
      <c r="U486" s="7" t="s">
        <v>134</v>
      </c>
      <c r="V486" s="15">
        <f t="shared" si="28"/>
        <v>500</v>
      </c>
      <c r="W486" s="15" t="str">
        <f t="shared" si="29"/>
        <v/>
      </c>
      <c r="X486" s="6" t="s">
        <v>90</v>
      </c>
      <c r="Y486" s="7" t="s">
        <v>133</v>
      </c>
      <c r="Z486" s="10"/>
      <c r="AA486" s="6" t="s">
        <v>93</v>
      </c>
      <c r="AB486" s="7" t="s">
        <v>160</v>
      </c>
      <c r="AC486" s="10"/>
      <c r="AD486" s="9" t="str">
        <f t="shared" si="30"/>
        <v>oui</v>
      </c>
      <c r="AE486" s="9" t="str">
        <f t="shared" si="31"/>
        <v>TAE manquant</v>
      </c>
      <c r="AF486" s="7"/>
      <c r="AG486" s="10"/>
      <c r="AH486" s="10"/>
      <c r="AI486" s="7" t="s">
        <v>160</v>
      </c>
      <c r="AJ486" s="10"/>
      <c r="AK486" s="10"/>
      <c r="AL486" s="10"/>
      <c r="AM486" s="11" t="s">
        <v>131</v>
      </c>
      <c r="AN486" s="11" t="s">
        <v>131</v>
      </c>
      <c r="AO486" s="11" t="s">
        <v>131</v>
      </c>
      <c r="AP486" s="11" t="s">
        <v>131</v>
      </c>
      <c r="AQ486" s="11"/>
      <c r="AR486" s="7"/>
    </row>
    <row r="487" spans="1:44" ht="14.4" x14ac:dyDescent="0.3">
      <c r="A487" s="6" t="s">
        <v>262</v>
      </c>
      <c r="B487" s="6" t="s">
        <v>2554</v>
      </c>
      <c r="C487" s="6" t="s">
        <v>2570</v>
      </c>
      <c r="D487" s="6" t="s">
        <v>2556</v>
      </c>
      <c r="E487" s="6" t="s">
        <v>2571</v>
      </c>
      <c r="F487" s="7" t="s">
        <v>125</v>
      </c>
      <c r="G487" s="10"/>
      <c r="H487" s="7" t="s">
        <v>93</v>
      </c>
      <c r="I487" s="7"/>
      <c r="J487" s="10"/>
      <c r="K487" s="6" t="s">
        <v>90</v>
      </c>
      <c r="L487" s="7"/>
      <c r="M487" s="14"/>
      <c r="N487" s="7" t="s">
        <v>93</v>
      </c>
      <c r="O487" s="10"/>
      <c r="P487" s="7" t="s">
        <v>90</v>
      </c>
      <c r="Q487" s="15">
        <f>IF(P487="oui",MIN(Parametres!$B$4,MAX(Parametres!$B$3,IF(M487="",Parametres!$B$3,ROUND(M487*10%,0)))),"")</f>
        <v>0</v>
      </c>
      <c r="R487" s="7" t="s">
        <v>134</v>
      </c>
      <c r="S487" s="7" t="s">
        <v>90</v>
      </c>
      <c r="T487" s="15">
        <f>IF(S487="oui",Parametres!$B$5,"")</f>
        <v>500</v>
      </c>
      <c r="U487" s="7" t="s">
        <v>134</v>
      </c>
      <c r="V487" s="15">
        <f t="shared" si="28"/>
        <v>500</v>
      </c>
      <c r="W487" s="15" t="str">
        <f t="shared" si="29"/>
        <v/>
      </c>
      <c r="X487" s="6" t="s">
        <v>90</v>
      </c>
      <c r="Y487" s="7" t="s">
        <v>133</v>
      </c>
      <c r="Z487" s="10"/>
      <c r="AA487" s="6" t="s">
        <v>93</v>
      </c>
      <c r="AB487" s="7" t="s">
        <v>160</v>
      </c>
      <c r="AC487" s="10"/>
      <c r="AD487" s="9" t="str">
        <f t="shared" si="30"/>
        <v>oui</v>
      </c>
      <c r="AE487" s="9" t="str">
        <f t="shared" si="31"/>
        <v>TAE manquant</v>
      </c>
      <c r="AF487" s="7"/>
      <c r="AG487" s="10"/>
      <c r="AH487" s="10"/>
      <c r="AI487" s="7" t="s">
        <v>160</v>
      </c>
      <c r="AJ487" s="10"/>
      <c r="AK487" s="10"/>
      <c r="AL487" s="10"/>
      <c r="AM487" s="11" t="s">
        <v>131</v>
      </c>
      <c r="AN487" s="11" t="s">
        <v>131</v>
      </c>
      <c r="AO487" s="11" t="s">
        <v>131</v>
      </c>
      <c r="AP487" s="11" t="s">
        <v>131</v>
      </c>
      <c r="AQ487" s="11"/>
      <c r="AR487" s="7"/>
    </row>
    <row r="488" spans="1:44" ht="14.4" x14ac:dyDescent="0.3">
      <c r="A488" s="6" t="s">
        <v>262</v>
      </c>
      <c r="B488" s="6" t="s">
        <v>2554</v>
      </c>
      <c r="C488" s="6" t="s">
        <v>2576</v>
      </c>
      <c r="D488" s="6" t="s">
        <v>2556</v>
      </c>
      <c r="E488" s="6" t="s">
        <v>2577</v>
      </c>
      <c r="F488" s="7" t="s">
        <v>125</v>
      </c>
      <c r="G488" s="10"/>
      <c r="H488" s="7" t="s">
        <v>93</v>
      </c>
      <c r="I488" s="7"/>
      <c r="J488" s="10"/>
      <c r="K488" s="6" t="s">
        <v>90</v>
      </c>
      <c r="L488" s="7"/>
      <c r="M488" s="14"/>
      <c r="N488" s="7" t="s">
        <v>93</v>
      </c>
      <c r="O488" s="10"/>
      <c r="P488" s="7" t="s">
        <v>90</v>
      </c>
      <c r="Q488" s="15">
        <f>IF(P488="oui",MIN(Parametres!$B$4,MAX(Parametres!$B$3,IF(M488="",Parametres!$B$3,ROUND(M488*10%,0)))),"")</f>
        <v>0</v>
      </c>
      <c r="R488" s="7" t="s">
        <v>134</v>
      </c>
      <c r="S488" s="7" t="s">
        <v>90</v>
      </c>
      <c r="T488" s="15">
        <f>IF(S488="oui",Parametres!$B$5,"")</f>
        <v>500</v>
      </c>
      <c r="U488" s="7" t="s">
        <v>134</v>
      </c>
      <c r="V488" s="15">
        <f t="shared" si="28"/>
        <v>500</v>
      </c>
      <c r="W488" s="15" t="str">
        <f t="shared" si="29"/>
        <v/>
      </c>
      <c r="X488" s="6" t="s">
        <v>90</v>
      </c>
      <c r="Y488" s="7" t="s">
        <v>133</v>
      </c>
      <c r="Z488" s="10"/>
      <c r="AA488" s="6" t="s">
        <v>93</v>
      </c>
      <c r="AB488" s="7" t="s">
        <v>160</v>
      </c>
      <c r="AC488" s="10"/>
      <c r="AD488" s="9" t="str">
        <f t="shared" si="30"/>
        <v>oui</v>
      </c>
      <c r="AE488" s="9" t="str">
        <f t="shared" si="31"/>
        <v>TAE manquant</v>
      </c>
      <c r="AF488" s="7"/>
      <c r="AG488" s="10"/>
      <c r="AH488" s="10"/>
      <c r="AI488" s="7" t="s">
        <v>160</v>
      </c>
      <c r="AJ488" s="10"/>
      <c r="AK488" s="10"/>
      <c r="AL488" s="10"/>
      <c r="AM488" s="11" t="s">
        <v>131</v>
      </c>
      <c r="AN488" s="11" t="s">
        <v>131</v>
      </c>
      <c r="AO488" s="11" t="s">
        <v>131</v>
      </c>
      <c r="AP488" s="11" t="s">
        <v>131</v>
      </c>
      <c r="AQ488" s="11"/>
      <c r="AR488" s="7"/>
    </row>
    <row r="489" spans="1:44" ht="14.4" x14ac:dyDescent="0.3">
      <c r="A489" s="6" t="s">
        <v>262</v>
      </c>
      <c r="B489" s="6" t="s">
        <v>2554</v>
      </c>
      <c r="C489" s="6" t="s">
        <v>2580</v>
      </c>
      <c r="D489" s="6" t="s">
        <v>2556</v>
      </c>
      <c r="E489" s="6" t="s">
        <v>2581</v>
      </c>
      <c r="F489" s="7" t="s">
        <v>125</v>
      </c>
      <c r="G489" s="10"/>
      <c r="H489" s="7" t="s">
        <v>93</v>
      </c>
      <c r="I489" s="7"/>
      <c r="J489" s="10"/>
      <c r="K489" s="6" t="s">
        <v>90</v>
      </c>
      <c r="L489" s="7"/>
      <c r="M489" s="14"/>
      <c r="N489" s="7" t="s">
        <v>93</v>
      </c>
      <c r="O489" s="10"/>
      <c r="P489" s="7" t="s">
        <v>90</v>
      </c>
      <c r="Q489" s="15">
        <f>IF(P489="oui",MIN(Parametres!$B$4,MAX(Parametres!$B$3,IF(M489="",Parametres!$B$3,ROUND(M489*10%,0)))),"")</f>
        <v>0</v>
      </c>
      <c r="R489" s="7" t="s">
        <v>134</v>
      </c>
      <c r="S489" s="7" t="s">
        <v>90</v>
      </c>
      <c r="T489" s="15">
        <f>IF(S489="oui",Parametres!$B$5,"")</f>
        <v>500</v>
      </c>
      <c r="U489" s="7" t="s">
        <v>134</v>
      </c>
      <c r="V489" s="15">
        <f t="shared" si="28"/>
        <v>500</v>
      </c>
      <c r="W489" s="15" t="str">
        <f t="shared" si="29"/>
        <v/>
      </c>
      <c r="X489" s="6" t="s">
        <v>90</v>
      </c>
      <c r="Y489" s="7" t="s">
        <v>133</v>
      </c>
      <c r="Z489" s="10"/>
      <c r="AA489" s="6" t="s">
        <v>93</v>
      </c>
      <c r="AB489" s="7" t="s">
        <v>160</v>
      </c>
      <c r="AC489" s="10"/>
      <c r="AD489" s="9" t="str">
        <f t="shared" si="30"/>
        <v>oui</v>
      </c>
      <c r="AE489" s="9" t="str">
        <f t="shared" si="31"/>
        <v>TAE manquant</v>
      </c>
      <c r="AF489" s="7"/>
      <c r="AG489" s="10"/>
      <c r="AH489" s="10"/>
      <c r="AI489" s="7" t="s">
        <v>160</v>
      </c>
      <c r="AJ489" s="10"/>
      <c r="AK489" s="10"/>
      <c r="AL489" s="10"/>
      <c r="AM489" s="11" t="s">
        <v>131</v>
      </c>
      <c r="AN489" s="11" t="s">
        <v>131</v>
      </c>
      <c r="AO489" s="11" t="s">
        <v>131</v>
      </c>
      <c r="AP489" s="11" t="s">
        <v>131</v>
      </c>
      <c r="AQ489" s="11"/>
      <c r="AR489" s="7"/>
    </row>
    <row r="490" spans="1:44" ht="14.4" x14ac:dyDescent="0.3">
      <c r="A490" s="6" t="s">
        <v>262</v>
      </c>
      <c r="B490" s="6" t="s">
        <v>2554</v>
      </c>
      <c r="C490" s="6" t="s">
        <v>2584</v>
      </c>
      <c r="D490" s="6" t="s">
        <v>2556</v>
      </c>
      <c r="E490" s="6" t="s">
        <v>2585</v>
      </c>
      <c r="F490" s="7" t="s">
        <v>125</v>
      </c>
      <c r="G490" s="10"/>
      <c r="H490" s="7" t="s">
        <v>93</v>
      </c>
      <c r="I490" s="7"/>
      <c r="J490" s="10"/>
      <c r="K490" s="6" t="s">
        <v>90</v>
      </c>
      <c r="L490" s="7"/>
      <c r="M490" s="14"/>
      <c r="N490" s="7" t="s">
        <v>93</v>
      </c>
      <c r="O490" s="10"/>
      <c r="P490" s="7" t="s">
        <v>90</v>
      </c>
      <c r="Q490" s="15">
        <f>IF(P490="oui",MIN(Parametres!$B$4,MAX(Parametres!$B$3,IF(M490="",Parametres!$B$3,ROUND(M490*10%,0)))),"")</f>
        <v>0</v>
      </c>
      <c r="R490" s="7" t="s">
        <v>134</v>
      </c>
      <c r="S490" s="7" t="s">
        <v>90</v>
      </c>
      <c r="T490" s="15">
        <f>IF(S490="oui",Parametres!$B$5,"")</f>
        <v>500</v>
      </c>
      <c r="U490" s="7" t="s">
        <v>134</v>
      </c>
      <c r="V490" s="15">
        <f t="shared" si="28"/>
        <v>500</v>
      </c>
      <c r="W490" s="15" t="str">
        <f t="shared" si="29"/>
        <v/>
      </c>
      <c r="X490" s="6" t="s">
        <v>90</v>
      </c>
      <c r="Y490" s="7" t="s">
        <v>133</v>
      </c>
      <c r="Z490" s="10"/>
      <c r="AA490" s="6" t="s">
        <v>93</v>
      </c>
      <c r="AB490" s="7" t="s">
        <v>160</v>
      </c>
      <c r="AC490" s="10"/>
      <c r="AD490" s="9" t="str">
        <f t="shared" si="30"/>
        <v>oui</v>
      </c>
      <c r="AE490" s="9" t="str">
        <f t="shared" si="31"/>
        <v>TAE manquant</v>
      </c>
      <c r="AF490" s="7"/>
      <c r="AG490" s="10"/>
      <c r="AH490" s="10"/>
      <c r="AI490" s="7" t="s">
        <v>160</v>
      </c>
      <c r="AJ490" s="10"/>
      <c r="AK490" s="10"/>
      <c r="AL490" s="10"/>
      <c r="AM490" s="11" t="s">
        <v>131</v>
      </c>
      <c r="AN490" s="11" t="s">
        <v>131</v>
      </c>
      <c r="AO490" s="11" t="s">
        <v>131</v>
      </c>
      <c r="AP490" s="11" t="s">
        <v>131</v>
      </c>
      <c r="AQ490" s="11"/>
      <c r="AR490" s="7"/>
    </row>
    <row r="491" spans="1:44" ht="14.4" x14ac:dyDescent="0.3">
      <c r="A491" s="6" t="s">
        <v>262</v>
      </c>
      <c r="B491" s="6" t="s">
        <v>2554</v>
      </c>
      <c r="C491" s="6" t="s">
        <v>2589</v>
      </c>
      <c r="D491" s="6" t="s">
        <v>2556</v>
      </c>
      <c r="E491" s="6" t="s">
        <v>2590</v>
      </c>
      <c r="F491" s="7" t="s">
        <v>125</v>
      </c>
      <c r="G491" s="10"/>
      <c r="H491" s="7" t="s">
        <v>93</v>
      </c>
      <c r="I491" s="7"/>
      <c r="J491" s="10"/>
      <c r="K491" s="6" t="s">
        <v>90</v>
      </c>
      <c r="L491" s="7"/>
      <c r="M491" s="14"/>
      <c r="N491" s="7" t="s">
        <v>93</v>
      </c>
      <c r="O491" s="10"/>
      <c r="P491" s="7" t="s">
        <v>90</v>
      </c>
      <c r="Q491" s="15">
        <f>IF(P491="oui",MIN(Parametres!$B$4,MAX(Parametres!$B$3,IF(M491="",Parametres!$B$3,ROUND(M491*10%,0)))),"")</f>
        <v>0</v>
      </c>
      <c r="R491" s="7" t="s">
        <v>134</v>
      </c>
      <c r="S491" s="7" t="s">
        <v>90</v>
      </c>
      <c r="T491" s="15">
        <f>IF(S491="oui",Parametres!$B$5,"")</f>
        <v>500</v>
      </c>
      <c r="U491" s="7" t="s">
        <v>134</v>
      </c>
      <c r="V491" s="15">
        <f t="shared" si="28"/>
        <v>500</v>
      </c>
      <c r="W491" s="15" t="str">
        <f t="shared" si="29"/>
        <v/>
      </c>
      <c r="X491" s="6" t="s">
        <v>90</v>
      </c>
      <c r="Y491" s="7" t="s">
        <v>133</v>
      </c>
      <c r="Z491" s="10"/>
      <c r="AA491" s="6" t="s">
        <v>93</v>
      </c>
      <c r="AB491" s="7" t="s">
        <v>160</v>
      </c>
      <c r="AC491" s="10"/>
      <c r="AD491" s="9" t="str">
        <f t="shared" si="30"/>
        <v>oui</v>
      </c>
      <c r="AE491" s="9" t="str">
        <f t="shared" si="31"/>
        <v>TAE manquant</v>
      </c>
      <c r="AF491" s="7"/>
      <c r="AG491" s="10"/>
      <c r="AH491" s="10"/>
      <c r="AI491" s="7" t="s">
        <v>160</v>
      </c>
      <c r="AJ491" s="10"/>
      <c r="AK491" s="10"/>
      <c r="AL491" s="10"/>
      <c r="AM491" s="11" t="s">
        <v>131</v>
      </c>
      <c r="AN491" s="11" t="s">
        <v>131</v>
      </c>
      <c r="AO491" s="11" t="s">
        <v>131</v>
      </c>
      <c r="AP491" s="11" t="s">
        <v>131</v>
      </c>
      <c r="AQ491" s="11"/>
      <c r="AR491" s="7"/>
    </row>
    <row r="492" spans="1:44" ht="14.4" x14ac:dyDescent="0.3">
      <c r="A492" s="6" t="s">
        <v>262</v>
      </c>
      <c r="B492" s="6" t="s">
        <v>2554</v>
      </c>
      <c r="C492" s="6" t="s">
        <v>2594</v>
      </c>
      <c r="D492" s="6" t="s">
        <v>2556</v>
      </c>
      <c r="E492" s="6" t="s">
        <v>2595</v>
      </c>
      <c r="F492" s="7" t="s">
        <v>125</v>
      </c>
      <c r="G492" s="10"/>
      <c r="H492" s="7" t="s">
        <v>93</v>
      </c>
      <c r="I492" s="7"/>
      <c r="J492" s="10"/>
      <c r="K492" s="6" t="s">
        <v>90</v>
      </c>
      <c r="L492" s="7"/>
      <c r="M492" s="14"/>
      <c r="N492" s="7" t="s">
        <v>93</v>
      </c>
      <c r="O492" s="10"/>
      <c r="P492" s="7" t="s">
        <v>90</v>
      </c>
      <c r="Q492" s="15">
        <f>IF(P492="oui",MIN(Parametres!$B$4,MAX(Parametres!$B$3,IF(M492="",Parametres!$B$3,ROUND(M492*10%,0)))),"")</f>
        <v>0</v>
      </c>
      <c r="R492" s="7" t="s">
        <v>134</v>
      </c>
      <c r="S492" s="7" t="s">
        <v>90</v>
      </c>
      <c r="T492" s="15">
        <f>IF(S492="oui",Parametres!$B$5,"")</f>
        <v>500</v>
      </c>
      <c r="U492" s="7" t="s">
        <v>134</v>
      </c>
      <c r="V492" s="15">
        <f t="shared" si="28"/>
        <v>500</v>
      </c>
      <c r="W492" s="15" t="str">
        <f t="shared" si="29"/>
        <v/>
      </c>
      <c r="X492" s="6" t="s">
        <v>90</v>
      </c>
      <c r="Y492" s="7" t="s">
        <v>133</v>
      </c>
      <c r="Z492" s="10"/>
      <c r="AA492" s="6" t="s">
        <v>93</v>
      </c>
      <c r="AB492" s="7" t="s">
        <v>160</v>
      </c>
      <c r="AC492" s="10"/>
      <c r="AD492" s="9" t="str">
        <f t="shared" si="30"/>
        <v>oui</v>
      </c>
      <c r="AE492" s="9" t="str">
        <f t="shared" si="31"/>
        <v>TAE manquant</v>
      </c>
      <c r="AF492" s="7"/>
      <c r="AG492" s="10"/>
      <c r="AH492" s="10"/>
      <c r="AI492" s="7" t="s">
        <v>160</v>
      </c>
      <c r="AJ492" s="10"/>
      <c r="AK492" s="10"/>
      <c r="AL492" s="10"/>
      <c r="AM492" s="11" t="s">
        <v>131</v>
      </c>
      <c r="AN492" s="11" t="s">
        <v>131</v>
      </c>
      <c r="AO492" s="11" t="s">
        <v>131</v>
      </c>
      <c r="AP492" s="11" t="s">
        <v>131</v>
      </c>
      <c r="AQ492" s="11"/>
      <c r="AR492" s="7"/>
    </row>
    <row r="493" spans="1:44" ht="14.4" x14ac:dyDescent="0.3">
      <c r="A493" s="6" t="s">
        <v>262</v>
      </c>
      <c r="B493" s="6" t="s">
        <v>2554</v>
      </c>
      <c r="C493" s="6" t="s">
        <v>2600</v>
      </c>
      <c r="D493" s="6" t="s">
        <v>2556</v>
      </c>
      <c r="E493" s="6" t="s">
        <v>2601</v>
      </c>
      <c r="F493" s="7" t="s">
        <v>125</v>
      </c>
      <c r="G493" s="10"/>
      <c r="H493" s="7" t="s">
        <v>93</v>
      </c>
      <c r="I493" s="7"/>
      <c r="J493" s="10"/>
      <c r="K493" s="6" t="s">
        <v>90</v>
      </c>
      <c r="L493" s="7"/>
      <c r="M493" s="14"/>
      <c r="N493" s="7" t="s">
        <v>93</v>
      </c>
      <c r="O493" s="10"/>
      <c r="P493" s="7" t="s">
        <v>90</v>
      </c>
      <c r="Q493" s="15">
        <f>IF(P493="oui",MIN(Parametres!$B$4,MAX(Parametres!$B$3,IF(M493="",Parametres!$B$3,ROUND(M493*10%,0)))),"")</f>
        <v>0</v>
      </c>
      <c r="R493" s="7" t="s">
        <v>134</v>
      </c>
      <c r="S493" s="7" t="s">
        <v>90</v>
      </c>
      <c r="T493" s="15">
        <f>IF(S493="oui",Parametres!$B$5,"")</f>
        <v>500</v>
      </c>
      <c r="U493" s="7" t="s">
        <v>134</v>
      </c>
      <c r="V493" s="15">
        <f t="shared" si="28"/>
        <v>500</v>
      </c>
      <c r="W493" s="15" t="str">
        <f t="shared" si="29"/>
        <v/>
      </c>
      <c r="X493" s="6" t="s">
        <v>90</v>
      </c>
      <c r="Y493" s="7" t="s">
        <v>133</v>
      </c>
      <c r="Z493" s="10"/>
      <c r="AA493" s="6" t="s">
        <v>93</v>
      </c>
      <c r="AB493" s="7" t="s">
        <v>160</v>
      </c>
      <c r="AC493" s="10"/>
      <c r="AD493" s="9" t="str">
        <f t="shared" si="30"/>
        <v>oui</v>
      </c>
      <c r="AE493" s="9" t="str">
        <f t="shared" si="31"/>
        <v>TAE manquant</v>
      </c>
      <c r="AF493" s="7"/>
      <c r="AG493" s="10"/>
      <c r="AH493" s="10"/>
      <c r="AI493" s="7" t="s">
        <v>160</v>
      </c>
      <c r="AJ493" s="10"/>
      <c r="AK493" s="10"/>
      <c r="AL493" s="10"/>
      <c r="AM493" s="11" t="s">
        <v>131</v>
      </c>
      <c r="AN493" s="11" t="s">
        <v>131</v>
      </c>
      <c r="AO493" s="11" t="s">
        <v>131</v>
      </c>
      <c r="AP493" s="11" t="s">
        <v>131</v>
      </c>
      <c r="AQ493" s="11"/>
      <c r="AR493" s="7"/>
    </row>
    <row r="494" spans="1:44" ht="14.4" x14ac:dyDescent="0.3">
      <c r="A494" s="6" t="s">
        <v>262</v>
      </c>
      <c r="B494" s="6" t="s">
        <v>2554</v>
      </c>
      <c r="C494" s="6" t="s">
        <v>2606</v>
      </c>
      <c r="D494" s="6" t="s">
        <v>2556</v>
      </c>
      <c r="E494" s="6" t="s">
        <v>2607</v>
      </c>
      <c r="F494" s="7" t="s">
        <v>125</v>
      </c>
      <c r="G494" s="10"/>
      <c r="H494" s="7" t="s">
        <v>93</v>
      </c>
      <c r="I494" s="7"/>
      <c r="J494" s="10"/>
      <c r="K494" s="6" t="s">
        <v>90</v>
      </c>
      <c r="L494" s="7"/>
      <c r="M494" s="14"/>
      <c r="N494" s="7" t="s">
        <v>93</v>
      </c>
      <c r="O494" s="10"/>
      <c r="P494" s="7" t="s">
        <v>90</v>
      </c>
      <c r="Q494" s="15">
        <f>IF(P494="oui",MIN(Parametres!$B$4,MAX(Parametres!$B$3,IF(M494="",Parametres!$B$3,ROUND(M494*10%,0)))),"")</f>
        <v>0</v>
      </c>
      <c r="R494" s="7" t="s">
        <v>134</v>
      </c>
      <c r="S494" s="7" t="s">
        <v>90</v>
      </c>
      <c r="T494" s="15">
        <f>IF(S494="oui",Parametres!$B$5,"")</f>
        <v>500</v>
      </c>
      <c r="U494" s="7" t="s">
        <v>134</v>
      </c>
      <c r="V494" s="15">
        <f t="shared" si="28"/>
        <v>500</v>
      </c>
      <c r="W494" s="15" t="str">
        <f t="shared" si="29"/>
        <v/>
      </c>
      <c r="X494" s="6" t="s">
        <v>90</v>
      </c>
      <c r="Y494" s="7" t="s">
        <v>133</v>
      </c>
      <c r="Z494" s="10"/>
      <c r="AA494" s="6" t="s">
        <v>93</v>
      </c>
      <c r="AB494" s="7" t="s">
        <v>160</v>
      </c>
      <c r="AC494" s="10"/>
      <c r="AD494" s="9" t="str">
        <f t="shared" si="30"/>
        <v>oui</v>
      </c>
      <c r="AE494" s="9" t="str">
        <f t="shared" si="31"/>
        <v>TAE manquant</v>
      </c>
      <c r="AF494" s="7"/>
      <c r="AG494" s="10"/>
      <c r="AH494" s="10"/>
      <c r="AI494" s="7" t="s">
        <v>160</v>
      </c>
      <c r="AJ494" s="10"/>
      <c r="AK494" s="10"/>
      <c r="AL494" s="10"/>
      <c r="AM494" s="11" t="s">
        <v>131</v>
      </c>
      <c r="AN494" s="11" t="s">
        <v>131</v>
      </c>
      <c r="AO494" s="11" t="s">
        <v>131</v>
      </c>
      <c r="AP494" s="11" t="s">
        <v>131</v>
      </c>
      <c r="AQ494" s="11"/>
      <c r="AR494" s="7"/>
    </row>
    <row r="495" spans="1:44" ht="27.6" x14ac:dyDescent="0.3">
      <c r="A495" s="6" t="s">
        <v>202</v>
      </c>
      <c r="B495" s="6" t="s">
        <v>2610</v>
      </c>
      <c r="C495" s="6" t="s">
        <v>2611</v>
      </c>
      <c r="D495" s="6" t="s">
        <v>82</v>
      </c>
      <c r="E495" s="6" t="s">
        <v>2612</v>
      </c>
      <c r="F495" s="7" t="s">
        <v>125</v>
      </c>
      <c r="G495" s="10"/>
      <c r="H495" s="7" t="s">
        <v>93</v>
      </c>
      <c r="I495" s="7"/>
      <c r="J495" s="10"/>
      <c r="K495" s="6" t="s">
        <v>93</v>
      </c>
      <c r="L495" s="7"/>
      <c r="M495" s="14"/>
      <c r="N495" s="7" t="s">
        <v>93</v>
      </c>
      <c r="O495" s="10"/>
      <c r="P495" s="7" t="s">
        <v>93</v>
      </c>
      <c r="Q495" s="15" t="str">
        <f>IF(P495="oui",MIN(Parametres!$B$4,MAX(Parametres!$B$3,IF(M495="",Parametres!$B$3,ROUND(M495*10%,0)))),"")</f>
        <v/>
      </c>
      <c r="R495" s="7" t="s">
        <v>160</v>
      </c>
      <c r="S495" s="7" t="s">
        <v>93</v>
      </c>
      <c r="T495" s="15" t="str">
        <f>IF(S495="oui",Parametres!$B$5,"")</f>
        <v/>
      </c>
      <c r="U495" s="7" t="s">
        <v>160</v>
      </c>
      <c r="V495" s="15">
        <f t="shared" si="28"/>
        <v>0</v>
      </c>
      <c r="W495" s="15" t="str">
        <f t="shared" si="29"/>
        <v/>
      </c>
      <c r="X495" s="6" t="s">
        <v>93</v>
      </c>
      <c r="Y495" s="7" t="s">
        <v>160</v>
      </c>
      <c r="Z495" s="10"/>
      <c r="AA495" s="6" t="s">
        <v>93</v>
      </c>
      <c r="AB495" s="7" t="s">
        <v>160</v>
      </c>
      <c r="AC495" s="10"/>
      <c r="AD495" s="9" t="str">
        <f t="shared" si="30"/>
        <v>oui</v>
      </c>
      <c r="AE495" s="9" t="str">
        <f t="shared" si="31"/>
        <v>Résidence ou logement non vendable</v>
      </c>
      <c r="AF495" s="7"/>
      <c r="AG495" s="10"/>
      <c r="AH495" s="10"/>
      <c r="AI495" s="7" t="s">
        <v>160</v>
      </c>
      <c r="AJ495" s="10"/>
      <c r="AK495" s="10"/>
      <c r="AL495" s="10"/>
      <c r="AM495" s="11" t="s">
        <v>160</v>
      </c>
      <c r="AN495" s="11" t="s">
        <v>160</v>
      </c>
      <c r="AO495" s="11" t="s">
        <v>160</v>
      </c>
      <c r="AP495" s="11" t="s">
        <v>160</v>
      </c>
      <c r="AQ495" s="11"/>
      <c r="AR495" s="7"/>
    </row>
    <row r="496" spans="1:44" ht="27.6" x14ac:dyDescent="0.3">
      <c r="A496" s="6" t="s">
        <v>202</v>
      </c>
      <c r="B496" s="6" t="s">
        <v>2610</v>
      </c>
      <c r="C496" s="6" t="s">
        <v>2617</v>
      </c>
      <c r="D496" s="6" t="s">
        <v>82</v>
      </c>
      <c r="E496" s="6" t="s">
        <v>2618</v>
      </c>
      <c r="F496" s="7" t="s">
        <v>125</v>
      </c>
      <c r="G496" s="10"/>
      <c r="H496" s="7" t="s">
        <v>93</v>
      </c>
      <c r="I496" s="7"/>
      <c r="J496" s="10"/>
      <c r="K496" s="6" t="s">
        <v>93</v>
      </c>
      <c r="L496" s="7"/>
      <c r="M496" s="14"/>
      <c r="N496" s="7" t="s">
        <v>93</v>
      </c>
      <c r="O496" s="10"/>
      <c r="P496" s="7" t="s">
        <v>93</v>
      </c>
      <c r="Q496" s="15" t="str">
        <f>IF(P496="oui",MIN(Parametres!$B$4,MAX(Parametres!$B$3,IF(M496="",Parametres!$B$3,ROUND(M496*10%,0)))),"")</f>
        <v/>
      </c>
      <c r="R496" s="7" t="s">
        <v>160</v>
      </c>
      <c r="S496" s="7" t="s">
        <v>93</v>
      </c>
      <c r="T496" s="15" t="str">
        <f>IF(S496="oui",Parametres!$B$5,"")</f>
        <v/>
      </c>
      <c r="U496" s="7" t="s">
        <v>160</v>
      </c>
      <c r="V496" s="15">
        <f t="shared" si="28"/>
        <v>0</v>
      </c>
      <c r="W496" s="15" t="str">
        <f t="shared" si="29"/>
        <v/>
      </c>
      <c r="X496" s="6" t="s">
        <v>93</v>
      </c>
      <c r="Y496" s="7" t="s">
        <v>160</v>
      </c>
      <c r="Z496" s="10"/>
      <c r="AA496" s="6" t="s">
        <v>93</v>
      </c>
      <c r="AB496" s="7" t="s">
        <v>160</v>
      </c>
      <c r="AC496" s="10"/>
      <c r="AD496" s="9" t="str">
        <f t="shared" si="30"/>
        <v>oui</v>
      </c>
      <c r="AE496" s="9" t="str">
        <f t="shared" si="31"/>
        <v>Résidence ou logement non vendable</v>
      </c>
      <c r="AF496" s="7"/>
      <c r="AG496" s="10"/>
      <c r="AH496" s="10"/>
      <c r="AI496" s="7" t="s">
        <v>160</v>
      </c>
      <c r="AJ496" s="10"/>
      <c r="AK496" s="10"/>
      <c r="AL496" s="10"/>
      <c r="AM496" s="11" t="s">
        <v>160</v>
      </c>
      <c r="AN496" s="11" t="s">
        <v>160</v>
      </c>
      <c r="AO496" s="11" t="s">
        <v>160</v>
      </c>
      <c r="AP496" s="11" t="s">
        <v>160</v>
      </c>
      <c r="AQ496" s="11"/>
      <c r="AR496" s="7"/>
    </row>
    <row r="497" spans="1:44" ht="27.6" x14ac:dyDescent="0.3">
      <c r="A497" s="6" t="s">
        <v>202</v>
      </c>
      <c r="B497" s="6" t="s">
        <v>2610</v>
      </c>
      <c r="C497" s="6" t="s">
        <v>2622</v>
      </c>
      <c r="D497" s="6" t="s">
        <v>82</v>
      </c>
      <c r="E497" s="6" t="s">
        <v>2623</v>
      </c>
      <c r="F497" s="7" t="s">
        <v>125</v>
      </c>
      <c r="G497" s="10"/>
      <c r="H497" s="7" t="s">
        <v>93</v>
      </c>
      <c r="I497" s="7"/>
      <c r="J497" s="10"/>
      <c r="K497" s="6" t="s">
        <v>93</v>
      </c>
      <c r="L497" s="7"/>
      <c r="M497" s="14"/>
      <c r="N497" s="7" t="s">
        <v>93</v>
      </c>
      <c r="O497" s="10"/>
      <c r="P497" s="7" t="s">
        <v>93</v>
      </c>
      <c r="Q497" s="15" t="str">
        <f>IF(P497="oui",MIN(Parametres!$B$4,MAX(Parametres!$B$3,IF(M497="",Parametres!$B$3,ROUND(M497*10%,0)))),"")</f>
        <v/>
      </c>
      <c r="R497" s="7" t="s">
        <v>160</v>
      </c>
      <c r="S497" s="7" t="s">
        <v>93</v>
      </c>
      <c r="T497" s="15" t="str">
        <f>IF(S497="oui",Parametres!$B$5,"")</f>
        <v/>
      </c>
      <c r="U497" s="7" t="s">
        <v>160</v>
      </c>
      <c r="V497" s="15">
        <f t="shared" si="28"/>
        <v>0</v>
      </c>
      <c r="W497" s="15" t="str">
        <f t="shared" si="29"/>
        <v/>
      </c>
      <c r="X497" s="6" t="s">
        <v>93</v>
      </c>
      <c r="Y497" s="7" t="s">
        <v>160</v>
      </c>
      <c r="Z497" s="10"/>
      <c r="AA497" s="6" t="s">
        <v>93</v>
      </c>
      <c r="AB497" s="7" t="s">
        <v>160</v>
      </c>
      <c r="AC497" s="10"/>
      <c r="AD497" s="9" t="str">
        <f t="shared" si="30"/>
        <v>oui</v>
      </c>
      <c r="AE497" s="9" t="str">
        <f t="shared" si="31"/>
        <v>Résidence ou logement non vendable</v>
      </c>
      <c r="AF497" s="7"/>
      <c r="AG497" s="10"/>
      <c r="AH497" s="10"/>
      <c r="AI497" s="7" t="s">
        <v>160</v>
      </c>
      <c r="AJ497" s="10"/>
      <c r="AK497" s="10"/>
      <c r="AL497" s="10"/>
      <c r="AM497" s="11" t="s">
        <v>160</v>
      </c>
      <c r="AN497" s="11" t="s">
        <v>160</v>
      </c>
      <c r="AO497" s="11" t="s">
        <v>160</v>
      </c>
      <c r="AP497" s="11" t="s">
        <v>160</v>
      </c>
      <c r="AQ497" s="11"/>
      <c r="AR497" s="7"/>
    </row>
    <row r="498" spans="1:44" ht="27.6" x14ac:dyDescent="0.3">
      <c r="A498" s="6" t="s">
        <v>202</v>
      </c>
      <c r="B498" s="6" t="s">
        <v>2610</v>
      </c>
      <c r="C498" s="6" t="s">
        <v>2627</v>
      </c>
      <c r="D498" s="6" t="s">
        <v>82</v>
      </c>
      <c r="E498" s="6" t="s">
        <v>2628</v>
      </c>
      <c r="F498" s="7" t="s">
        <v>125</v>
      </c>
      <c r="G498" s="10"/>
      <c r="H498" s="7" t="s">
        <v>93</v>
      </c>
      <c r="I498" s="7"/>
      <c r="J498" s="10"/>
      <c r="K498" s="6" t="s">
        <v>93</v>
      </c>
      <c r="L498" s="7"/>
      <c r="M498" s="14"/>
      <c r="N498" s="7" t="s">
        <v>93</v>
      </c>
      <c r="O498" s="10"/>
      <c r="P498" s="7" t="s">
        <v>93</v>
      </c>
      <c r="Q498" s="15" t="str">
        <f>IF(P498="oui",MIN(Parametres!$B$4,MAX(Parametres!$B$3,IF(M498="",Parametres!$B$3,ROUND(M498*10%,0)))),"")</f>
        <v/>
      </c>
      <c r="R498" s="7" t="s">
        <v>160</v>
      </c>
      <c r="S498" s="7" t="s">
        <v>93</v>
      </c>
      <c r="T498" s="15" t="str">
        <f>IF(S498="oui",Parametres!$B$5,"")</f>
        <v/>
      </c>
      <c r="U498" s="7" t="s">
        <v>160</v>
      </c>
      <c r="V498" s="15">
        <f t="shared" si="28"/>
        <v>0</v>
      </c>
      <c r="W498" s="15" t="str">
        <f t="shared" si="29"/>
        <v/>
      </c>
      <c r="X498" s="6" t="s">
        <v>93</v>
      </c>
      <c r="Y498" s="7" t="s">
        <v>160</v>
      </c>
      <c r="Z498" s="10"/>
      <c r="AA498" s="6" t="s">
        <v>93</v>
      </c>
      <c r="AB498" s="7" t="s">
        <v>160</v>
      </c>
      <c r="AC498" s="10"/>
      <c r="AD498" s="9" t="str">
        <f t="shared" si="30"/>
        <v>oui</v>
      </c>
      <c r="AE498" s="9" t="str">
        <f t="shared" si="31"/>
        <v>Résidence ou logement non vendable</v>
      </c>
      <c r="AF498" s="7"/>
      <c r="AG498" s="10"/>
      <c r="AH498" s="10"/>
      <c r="AI498" s="7" t="s">
        <v>160</v>
      </c>
      <c r="AJ498" s="10"/>
      <c r="AK498" s="10"/>
      <c r="AL498" s="10"/>
      <c r="AM498" s="11" t="s">
        <v>160</v>
      </c>
      <c r="AN498" s="11" t="s">
        <v>160</v>
      </c>
      <c r="AO498" s="11" t="s">
        <v>160</v>
      </c>
      <c r="AP498" s="11" t="s">
        <v>160</v>
      </c>
      <c r="AQ498" s="11"/>
      <c r="AR498" s="7"/>
    </row>
    <row r="499" spans="1:44" ht="27.6" x14ac:dyDescent="0.3">
      <c r="A499" s="6" t="s">
        <v>202</v>
      </c>
      <c r="B499" s="6" t="s">
        <v>2610</v>
      </c>
      <c r="C499" s="6" t="s">
        <v>2632</v>
      </c>
      <c r="D499" s="6" t="s">
        <v>82</v>
      </c>
      <c r="E499" s="6" t="s">
        <v>2633</v>
      </c>
      <c r="F499" s="7" t="s">
        <v>125</v>
      </c>
      <c r="G499" s="10"/>
      <c r="H499" s="7" t="s">
        <v>93</v>
      </c>
      <c r="I499" s="7"/>
      <c r="J499" s="10"/>
      <c r="K499" s="6" t="s">
        <v>93</v>
      </c>
      <c r="L499" s="7"/>
      <c r="M499" s="14"/>
      <c r="N499" s="7" t="s">
        <v>93</v>
      </c>
      <c r="O499" s="10"/>
      <c r="P499" s="7" t="s">
        <v>93</v>
      </c>
      <c r="Q499" s="15" t="str">
        <f>IF(P499="oui",MIN(Parametres!$B$4,MAX(Parametres!$B$3,IF(M499="",Parametres!$B$3,ROUND(M499*10%,0)))),"")</f>
        <v/>
      </c>
      <c r="R499" s="7" t="s">
        <v>160</v>
      </c>
      <c r="S499" s="7" t="s">
        <v>93</v>
      </c>
      <c r="T499" s="15" t="str">
        <f>IF(S499="oui",Parametres!$B$5,"")</f>
        <v/>
      </c>
      <c r="U499" s="7" t="s">
        <v>160</v>
      </c>
      <c r="V499" s="15">
        <f t="shared" si="28"/>
        <v>0</v>
      </c>
      <c r="W499" s="15" t="str">
        <f t="shared" si="29"/>
        <v/>
      </c>
      <c r="X499" s="6" t="s">
        <v>93</v>
      </c>
      <c r="Y499" s="7" t="s">
        <v>160</v>
      </c>
      <c r="Z499" s="10"/>
      <c r="AA499" s="6" t="s">
        <v>93</v>
      </c>
      <c r="AB499" s="7" t="s">
        <v>160</v>
      </c>
      <c r="AC499" s="10"/>
      <c r="AD499" s="9" t="str">
        <f t="shared" si="30"/>
        <v>oui</v>
      </c>
      <c r="AE499" s="9" t="str">
        <f t="shared" si="31"/>
        <v>Résidence ou logement non vendable</v>
      </c>
      <c r="AF499" s="7"/>
      <c r="AG499" s="10"/>
      <c r="AH499" s="10"/>
      <c r="AI499" s="7" t="s">
        <v>160</v>
      </c>
      <c r="AJ499" s="10"/>
      <c r="AK499" s="10"/>
      <c r="AL499" s="10"/>
      <c r="AM499" s="11" t="s">
        <v>160</v>
      </c>
      <c r="AN499" s="11" t="s">
        <v>160</v>
      </c>
      <c r="AO499" s="11" t="s">
        <v>160</v>
      </c>
      <c r="AP499" s="11" t="s">
        <v>160</v>
      </c>
      <c r="AQ499" s="11"/>
      <c r="AR499" s="7"/>
    </row>
    <row r="500" spans="1:44" ht="27.6" x14ac:dyDescent="0.3">
      <c r="A500" s="6" t="s">
        <v>202</v>
      </c>
      <c r="B500" s="6" t="s">
        <v>2610</v>
      </c>
      <c r="C500" s="6" t="s">
        <v>2636</v>
      </c>
      <c r="D500" s="6" t="s">
        <v>82</v>
      </c>
      <c r="E500" s="6" t="s">
        <v>2637</v>
      </c>
      <c r="F500" s="7" t="s">
        <v>125</v>
      </c>
      <c r="G500" s="10"/>
      <c r="H500" s="7" t="s">
        <v>93</v>
      </c>
      <c r="I500" s="7"/>
      <c r="J500" s="10"/>
      <c r="K500" s="6" t="s">
        <v>93</v>
      </c>
      <c r="L500" s="7"/>
      <c r="M500" s="14"/>
      <c r="N500" s="7" t="s">
        <v>93</v>
      </c>
      <c r="O500" s="10"/>
      <c r="P500" s="7" t="s">
        <v>93</v>
      </c>
      <c r="Q500" s="15" t="str">
        <f>IF(P500="oui",MIN(Parametres!$B$4,MAX(Parametres!$B$3,IF(M500="",Parametres!$B$3,ROUND(M500*10%,0)))),"")</f>
        <v/>
      </c>
      <c r="R500" s="7" t="s">
        <v>160</v>
      </c>
      <c r="S500" s="7" t="s">
        <v>93</v>
      </c>
      <c r="T500" s="15" t="str">
        <f>IF(S500="oui",Parametres!$B$5,"")</f>
        <v/>
      </c>
      <c r="U500" s="7" t="s">
        <v>160</v>
      </c>
      <c r="V500" s="15">
        <f t="shared" si="28"/>
        <v>0</v>
      </c>
      <c r="W500" s="15" t="str">
        <f t="shared" si="29"/>
        <v/>
      </c>
      <c r="X500" s="6" t="s">
        <v>93</v>
      </c>
      <c r="Y500" s="7" t="s">
        <v>160</v>
      </c>
      <c r="Z500" s="10"/>
      <c r="AA500" s="6" t="s">
        <v>93</v>
      </c>
      <c r="AB500" s="7" t="s">
        <v>160</v>
      </c>
      <c r="AC500" s="10"/>
      <c r="AD500" s="9" t="str">
        <f t="shared" si="30"/>
        <v>oui</v>
      </c>
      <c r="AE500" s="9" t="str">
        <f t="shared" si="31"/>
        <v>Résidence ou logement non vendable</v>
      </c>
      <c r="AF500" s="7"/>
      <c r="AG500" s="10"/>
      <c r="AH500" s="10"/>
      <c r="AI500" s="7" t="s">
        <v>160</v>
      </c>
      <c r="AJ500" s="10"/>
      <c r="AK500" s="10"/>
      <c r="AL500" s="10"/>
      <c r="AM500" s="11" t="s">
        <v>160</v>
      </c>
      <c r="AN500" s="11" t="s">
        <v>160</v>
      </c>
      <c r="AO500" s="11" t="s">
        <v>160</v>
      </c>
      <c r="AP500" s="11" t="s">
        <v>160</v>
      </c>
      <c r="AQ500" s="11"/>
      <c r="AR500" s="7"/>
    </row>
    <row r="501" spans="1:44" ht="27.6" x14ac:dyDescent="0.3">
      <c r="A501" s="6" t="s">
        <v>202</v>
      </c>
      <c r="B501" s="6" t="s">
        <v>2610</v>
      </c>
      <c r="C501" s="6" t="s">
        <v>2640</v>
      </c>
      <c r="D501" s="6" t="s">
        <v>82</v>
      </c>
      <c r="E501" s="6" t="s">
        <v>2641</v>
      </c>
      <c r="F501" s="7" t="s">
        <v>125</v>
      </c>
      <c r="G501" s="10"/>
      <c r="H501" s="7" t="s">
        <v>93</v>
      </c>
      <c r="I501" s="7"/>
      <c r="J501" s="10"/>
      <c r="K501" s="6" t="s">
        <v>93</v>
      </c>
      <c r="L501" s="7"/>
      <c r="M501" s="14"/>
      <c r="N501" s="7" t="s">
        <v>93</v>
      </c>
      <c r="O501" s="10"/>
      <c r="P501" s="7" t="s">
        <v>93</v>
      </c>
      <c r="Q501" s="15" t="str">
        <f>IF(P501="oui",MIN(Parametres!$B$4,MAX(Parametres!$B$3,IF(M501="",Parametres!$B$3,ROUND(M501*10%,0)))),"")</f>
        <v/>
      </c>
      <c r="R501" s="7" t="s">
        <v>160</v>
      </c>
      <c r="S501" s="7" t="s">
        <v>93</v>
      </c>
      <c r="T501" s="15" t="str">
        <f>IF(S501="oui",Parametres!$B$5,"")</f>
        <v/>
      </c>
      <c r="U501" s="7" t="s">
        <v>160</v>
      </c>
      <c r="V501" s="15">
        <f t="shared" si="28"/>
        <v>0</v>
      </c>
      <c r="W501" s="15" t="str">
        <f t="shared" si="29"/>
        <v/>
      </c>
      <c r="X501" s="6" t="s">
        <v>93</v>
      </c>
      <c r="Y501" s="7" t="s">
        <v>160</v>
      </c>
      <c r="Z501" s="10"/>
      <c r="AA501" s="6" t="s">
        <v>93</v>
      </c>
      <c r="AB501" s="7" t="s">
        <v>160</v>
      </c>
      <c r="AC501" s="10"/>
      <c r="AD501" s="9" t="str">
        <f t="shared" si="30"/>
        <v>oui</v>
      </c>
      <c r="AE501" s="9" t="str">
        <f t="shared" si="31"/>
        <v>Résidence ou logement non vendable</v>
      </c>
      <c r="AF501" s="7"/>
      <c r="AG501" s="10"/>
      <c r="AH501" s="10"/>
      <c r="AI501" s="7" t="s">
        <v>160</v>
      </c>
      <c r="AJ501" s="10"/>
      <c r="AK501" s="10"/>
      <c r="AL501" s="10"/>
      <c r="AM501" s="11" t="s">
        <v>160</v>
      </c>
      <c r="AN501" s="11" t="s">
        <v>160</v>
      </c>
      <c r="AO501" s="11" t="s">
        <v>160</v>
      </c>
      <c r="AP501" s="11" t="s">
        <v>160</v>
      </c>
      <c r="AQ501" s="11"/>
      <c r="AR501" s="7"/>
    </row>
    <row r="502" spans="1:44" ht="27.6" x14ac:dyDescent="0.3">
      <c r="A502" s="6" t="s">
        <v>202</v>
      </c>
      <c r="B502" s="6" t="s">
        <v>2610</v>
      </c>
      <c r="C502" s="6" t="s">
        <v>2646</v>
      </c>
      <c r="D502" s="6" t="s">
        <v>82</v>
      </c>
      <c r="E502" s="6" t="s">
        <v>2647</v>
      </c>
      <c r="F502" s="7" t="s">
        <v>125</v>
      </c>
      <c r="G502" s="10"/>
      <c r="H502" s="7" t="s">
        <v>93</v>
      </c>
      <c r="I502" s="7"/>
      <c r="J502" s="10"/>
      <c r="K502" s="6" t="s">
        <v>93</v>
      </c>
      <c r="L502" s="7"/>
      <c r="M502" s="14"/>
      <c r="N502" s="7" t="s">
        <v>93</v>
      </c>
      <c r="O502" s="10"/>
      <c r="P502" s="7" t="s">
        <v>93</v>
      </c>
      <c r="Q502" s="15" t="str">
        <f>IF(P502="oui",MIN(Parametres!$B$4,MAX(Parametres!$B$3,IF(M502="",Parametres!$B$3,ROUND(M502*10%,0)))),"")</f>
        <v/>
      </c>
      <c r="R502" s="7" t="s">
        <v>160</v>
      </c>
      <c r="S502" s="7" t="s">
        <v>93</v>
      </c>
      <c r="T502" s="15" t="str">
        <f>IF(S502="oui",Parametres!$B$5,"")</f>
        <v/>
      </c>
      <c r="U502" s="7" t="s">
        <v>160</v>
      </c>
      <c r="V502" s="15">
        <f t="shared" si="28"/>
        <v>0</v>
      </c>
      <c r="W502" s="15" t="str">
        <f t="shared" si="29"/>
        <v/>
      </c>
      <c r="X502" s="6" t="s">
        <v>93</v>
      </c>
      <c r="Y502" s="7" t="s">
        <v>160</v>
      </c>
      <c r="Z502" s="10"/>
      <c r="AA502" s="6" t="s">
        <v>93</v>
      </c>
      <c r="AB502" s="7" t="s">
        <v>160</v>
      </c>
      <c r="AC502" s="10"/>
      <c r="AD502" s="9" t="str">
        <f t="shared" si="30"/>
        <v>oui</v>
      </c>
      <c r="AE502" s="9" t="str">
        <f t="shared" si="31"/>
        <v>Résidence ou logement non vendable</v>
      </c>
      <c r="AF502" s="7"/>
      <c r="AG502" s="10"/>
      <c r="AH502" s="10"/>
      <c r="AI502" s="7" t="s">
        <v>160</v>
      </c>
      <c r="AJ502" s="10"/>
      <c r="AK502" s="10"/>
      <c r="AL502" s="10"/>
      <c r="AM502" s="11" t="s">
        <v>160</v>
      </c>
      <c r="AN502" s="11" t="s">
        <v>160</v>
      </c>
      <c r="AO502" s="11" t="s">
        <v>160</v>
      </c>
      <c r="AP502" s="11" t="s">
        <v>160</v>
      </c>
      <c r="AQ502" s="11"/>
      <c r="AR502" s="7"/>
    </row>
    <row r="503" spans="1:44" ht="27.6" x14ac:dyDescent="0.3">
      <c r="A503" s="6" t="s">
        <v>202</v>
      </c>
      <c r="B503" s="6" t="s">
        <v>2610</v>
      </c>
      <c r="C503" s="6" t="s">
        <v>2650</v>
      </c>
      <c r="D503" s="6" t="s">
        <v>82</v>
      </c>
      <c r="E503" s="6" t="s">
        <v>2651</v>
      </c>
      <c r="F503" s="7" t="s">
        <v>125</v>
      </c>
      <c r="G503" s="10"/>
      <c r="H503" s="7" t="s">
        <v>93</v>
      </c>
      <c r="I503" s="7"/>
      <c r="J503" s="10"/>
      <c r="K503" s="6" t="s">
        <v>93</v>
      </c>
      <c r="L503" s="7"/>
      <c r="M503" s="14"/>
      <c r="N503" s="7" t="s">
        <v>93</v>
      </c>
      <c r="O503" s="10"/>
      <c r="P503" s="7" t="s">
        <v>93</v>
      </c>
      <c r="Q503" s="15" t="str">
        <f>IF(P503="oui",MIN(Parametres!$B$4,MAX(Parametres!$B$3,IF(M503="",Parametres!$B$3,ROUND(M503*10%,0)))),"")</f>
        <v/>
      </c>
      <c r="R503" s="7" t="s">
        <v>160</v>
      </c>
      <c r="S503" s="7" t="s">
        <v>93</v>
      </c>
      <c r="T503" s="15" t="str">
        <f>IF(S503="oui",Parametres!$B$5,"")</f>
        <v/>
      </c>
      <c r="U503" s="7" t="s">
        <v>160</v>
      </c>
      <c r="V503" s="15">
        <f t="shared" si="28"/>
        <v>0</v>
      </c>
      <c r="W503" s="15" t="str">
        <f t="shared" si="29"/>
        <v/>
      </c>
      <c r="X503" s="6" t="s">
        <v>93</v>
      </c>
      <c r="Y503" s="7" t="s">
        <v>160</v>
      </c>
      <c r="Z503" s="10"/>
      <c r="AA503" s="6" t="s">
        <v>93</v>
      </c>
      <c r="AB503" s="7" t="s">
        <v>160</v>
      </c>
      <c r="AC503" s="10"/>
      <c r="AD503" s="9" t="str">
        <f t="shared" si="30"/>
        <v>oui</v>
      </c>
      <c r="AE503" s="9" t="str">
        <f t="shared" si="31"/>
        <v>Résidence ou logement non vendable</v>
      </c>
      <c r="AF503" s="7"/>
      <c r="AG503" s="10"/>
      <c r="AH503" s="10"/>
      <c r="AI503" s="7" t="s">
        <v>160</v>
      </c>
      <c r="AJ503" s="10"/>
      <c r="AK503" s="10"/>
      <c r="AL503" s="10"/>
      <c r="AM503" s="11" t="s">
        <v>160</v>
      </c>
      <c r="AN503" s="11" t="s">
        <v>160</v>
      </c>
      <c r="AO503" s="11" t="s">
        <v>160</v>
      </c>
      <c r="AP503" s="11" t="s">
        <v>160</v>
      </c>
      <c r="AQ503" s="11"/>
      <c r="AR503" s="7"/>
    </row>
    <row r="504" spans="1:44" ht="27.6" x14ac:dyDescent="0.3">
      <c r="A504" s="6" t="s">
        <v>202</v>
      </c>
      <c r="B504" s="6" t="s">
        <v>2610</v>
      </c>
      <c r="C504" s="6" t="s">
        <v>2654</v>
      </c>
      <c r="D504" s="6" t="s">
        <v>82</v>
      </c>
      <c r="E504" s="6" t="s">
        <v>2655</v>
      </c>
      <c r="F504" s="7" t="s">
        <v>125</v>
      </c>
      <c r="G504" s="10"/>
      <c r="H504" s="7" t="s">
        <v>93</v>
      </c>
      <c r="I504" s="7"/>
      <c r="J504" s="10"/>
      <c r="K504" s="6" t="s">
        <v>93</v>
      </c>
      <c r="L504" s="7"/>
      <c r="M504" s="14"/>
      <c r="N504" s="7" t="s">
        <v>93</v>
      </c>
      <c r="O504" s="10"/>
      <c r="P504" s="7" t="s">
        <v>93</v>
      </c>
      <c r="Q504" s="15" t="str">
        <f>IF(P504="oui",MIN(Parametres!$B$4,MAX(Parametres!$B$3,IF(M504="",Parametres!$B$3,ROUND(M504*10%,0)))),"")</f>
        <v/>
      </c>
      <c r="R504" s="7" t="s">
        <v>160</v>
      </c>
      <c r="S504" s="7" t="s">
        <v>93</v>
      </c>
      <c r="T504" s="15" t="str">
        <f>IF(S504="oui",Parametres!$B$5,"")</f>
        <v/>
      </c>
      <c r="U504" s="7" t="s">
        <v>160</v>
      </c>
      <c r="V504" s="15">
        <f t="shared" si="28"/>
        <v>0</v>
      </c>
      <c r="W504" s="15" t="str">
        <f t="shared" si="29"/>
        <v/>
      </c>
      <c r="X504" s="6" t="s">
        <v>93</v>
      </c>
      <c r="Y504" s="7" t="s">
        <v>160</v>
      </c>
      <c r="Z504" s="10"/>
      <c r="AA504" s="6" t="s">
        <v>93</v>
      </c>
      <c r="AB504" s="7" t="s">
        <v>160</v>
      </c>
      <c r="AC504" s="10"/>
      <c r="AD504" s="9" t="str">
        <f t="shared" si="30"/>
        <v>oui</v>
      </c>
      <c r="AE504" s="9" t="str">
        <f t="shared" si="31"/>
        <v>Résidence ou logement non vendable</v>
      </c>
      <c r="AF504" s="7"/>
      <c r="AG504" s="10"/>
      <c r="AH504" s="10"/>
      <c r="AI504" s="7" t="s">
        <v>160</v>
      </c>
      <c r="AJ504" s="10"/>
      <c r="AK504" s="10"/>
      <c r="AL504" s="10"/>
      <c r="AM504" s="11" t="s">
        <v>160</v>
      </c>
      <c r="AN504" s="11" t="s">
        <v>160</v>
      </c>
      <c r="AO504" s="11" t="s">
        <v>160</v>
      </c>
      <c r="AP504" s="11" t="s">
        <v>160</v>
      </c>
      <c r="AQ504" s="11"/>
      <c r="AR504" s="7"/>
    </row>
    <row r="505" spans="1:44" ht="27.6" x14ac:dyDescent="0.3">
      <c r="A505" s="6" t="s">
        <v>202</v>
      </c>
      <c r="B505" s="6" t="s">
        <v>2610</v>
      </c>
      <c r="C505" s="6" t="s">
        <v>2659</v>
      </c>
      <c r="D505" s="6" t="s">
        <v>82</v>
      </c>
      <c r="E505" s="6" t="s">
        <v>2660</v>
      </c>
      <c r="F505" s="7" t="s">
        <v>125</v>
      </c>
      <c r="G505" s="10"/>
      <c r="H505" s="7" t="s">
        <v>93</v>
      </c>
      <c r="I505" s="7"/>
      <c r="J505" s="10"/>
      <c r="K505" s="6" t="s">
        <v>93</v>
      </c>
      <c r="L505" s="7"/>
      <c r="M505" s="14"/>
      <c r="N505" s="7" t="s">
        <v>93</v>
      </c>
      <c r="O505" s="10"/>
      <c r="P505" s="7" t="s">
        <v>93</v>
      </c>
      <c r="Q505" s="15" t="str">
        <f>IF(P505="oui",MIN(Parametres!$B$4,MAX(Parametres!$B$3,IF(M505="",Parametres!$B$3,ROUND(M505*10%,0)))),"")</f>
        <v/>
      </c>
      <c r="R505" s="7" t="s">
        <v>160</v>
      </c>
      <c r="S505" s="7" t="s">
        <v>93</v>
      </c>
      <c r="T505" s="15" t="str">
        <f>IF(S505="oui",Parametres!$B$5,"")</f>
        <v/>
      </c>
      <c r="U505" s="7" t="s">
        <v>160</v>
      </c>
      <c r="V505" s="15">
        <f t="shared" si="28"/>
        <v>0</v>
      </c>
      <c r="W505" s="15" t="str">
        <f t="shared" si="29"/>
        <v/>
      </c>
      <c r="X505" s="6" t="s">
        <v>93</v>
      </c>
      <c r="Y505" s="7" t="s">
        <v>160</v>
      </c>
      <c r="Z505" s="10"/>
      <c r="AA505" s="6" t="s">
        <v>93</v>
      </c>
      <c r="AB505" s="7" t="s">
        <v>160</v>
      </c>
      <c r="AC505" s="10"/>
      <c r="AD505" s="9" t="str">
        <f t="shared" si="30"/>
        <v>oui</v>
      </c>
      <c r="AE505" s="9" t="str">
        <f t="shared" si="31"/>
        <v>Résidence ou logement non vendable</v>
      </c>
      <c r="AF505" s="7"/>
      <c r="AG505" s="10"/>
      <c r="AH505" s="10"/>
      <c r="AI505" s="7" t="s">
        <v>160</v>
      </c>
      <c r="AJ505" s="10"/>
      <c r="AK505" s="10"/>
      <c r="AL505" s="10"/>
      <c r="AM505" s="11" t="s">
        <v>160</v>
      </c>
      <c r="AN505" s="11" t="s">
        <v>160</v>
      </c>
      <c r="AO505" s="11" t="s">
        <v>160</v>
      </c>
      <c r="AP505" s="11" t="s">
        <v>160</v>
      </c>
      <c r="AQ505" s="11"/>
      <c r="AR505" s="7"/>
    </row>
    <row r="506" spans="1:44" ht="27.6" x14ac:dyDescent="0.3">
      <c r="A506" s="6" t="s">
        <v>202</v>
      </c>
      <c r="B506" s="6" t="s">
        <v>2610</v>
      </c>
      <c r="C506" s="6" t="s">
        <v>2664</v>
      </c>
      <c r="D506" s="6" t="s">
        <v>82</v>
      </c>
      <c r="E506" s="6" t="s">
        <v>2665</v>
      </c>
      <c r="F506" s="7" t="s">
        <v>125</v>
      </c>
      <c r="G506" s="10"/>
      <c r="H506" s="7" t="s">
        <v>93</v>
      </c>
      <c r="I506" s="7"/>
      <c r="J506" s="10"/>
      <c r="K506" s="6" t="s">
        <v>93</v>
      </c>
      <c r="L506" s="7"/>
      <c r="M506" s="14"/>
      <c r="N506" s="7" t="s">
        <v>93</v>
      </c>
      <c r="O506" s="10"/>
      <c r="P506" s="7" t="s">
        <v>93</v>
      </c>
      <c r="Q506" s="15" t="str">
        <f>IF(P506="oui",MIN(Parametres!$B$4,MAX(Parametres!$B$3,IF(M506="",Parametres!$B$3,ROUND(M506*10%,0)))),"")</f>
        <v/>
      </c>
      <c r="R506" s="7" t="s">
        <v>160</v>
      </c>
      <c r="S506" s="7" t="s">
        <v>93</v>
      </c>
      <c r="T506" s="15" t="str">
        <f>IF(S506="oui",Parametres!$B$5,"")</f>
        <v/>
      </c>
      <c r="U506" s="7" t="s">
        <v>160</v>
      </c>
      <c r="V506" s="15">
        <f t="shared" si="28"/>
        <v>0</v>
      </c>
      <c r="W506" s="15" t="str">
        <f t="shared" si="29"/>
        <v/>
      </c>
      <c r="X506" s="6" t="s">
        <v>93</v>
      </c>
      <c r="Y506" s="7" t="s">
        <v>160</v>
      </c>
      <c r="Z506" s="10"/>
      <c r="AA506" s="6" t="s">
        <v>93</v>
      </c>
      <c r="AB506" s="7" t="s">
        <v>160</v>
      </c>
      <c r="AC506" s="10"/>
      <c r="AD506" s="9" t="str">
        <f t="shared" si="30"/>
        <v>oui</v>
      </c>
      <c r="AE506" s="9" t="str">
        <f t="shared" si="31"/>
        <v>Résidence ou logement non vendable</v>
      </c>
      <c r="AF506" s="7"/>
      <c r="AG506" s="10"/>
      <c r="AH506" s="10"/>
      <c r="AI506" s="7" t="s">
        <v>160</v>
      </c>
      <c r="AJ506" s="10"/>
      <c r="AK506" s="10"/>
      <c r="AL506" s="10"/>
      <c r="AM506" s="11" t="s">
        <v>160</v>
      </c>
      <c r="AN506" s="11" t="s">
        <v>160</v>
      </c>
      <c r="AO506" s="11" t="s">
        <v>160</v>
      </c>
      <c r="AP506" s="11" t="s">
        <v>160</v>
      </c>
      <c r="AQ506" s="11"/>
      <c r="AR506" s="7"/>
    </row>
    <row r="507" spans="1:44" ht="27.6" x14ac:dyDescent="0.3">
      <c r="A507" s="6" t="s">
        <v>202</v>
      </c>
      <c r="B507" s="6" t="s">
        <v>2610</v>
      </c>
      <c r="C507" s="6" t="s">
        <v>2668</v>
      </c>
      <c r="D507" s="6" t="s">
        <v>82</v>
      </c>
      <c r="E507" s="6" t="s">
        <v>2669</v>
      </c>
      <c r="F507" s="7" t="s">
        <v>125</v>
      </c>
      <c r="G507" s="10"/>
      <c r="H507" s="7" t="s">
        <v>93</v>
      </c>
      <c r="I507" s="7"/>
      <c r="J507" s="10"/>
      <c r="K507" s="6" t="s">
        <v>93</v>
      </c>
      <c r="L507" s="7"/>
      <c r="M507" s="14"/>
      <c r="N507" s="7" t="s">
        <v>93</v>
      </c>
      <c r="O507" s="10"/>
      <c r="P507" s="7" t="s">
        <v>93</v>
      </c>
      <c r="Q507" s="15" t="str">
        <f>IF(P507="oui",MIN(Parametres!$B$4,MAX(Parametres!$B$3,IF(M507="",Parametres!$B$3,ROUND(M507*10%,0)))),"")</f>
        <v/>
      </c>
      <c r="R507" s="7" t="s">
        <v>160</v>
      </c>
      <c r="S507" s="7" t="s">
        <v>93</v>
      </c>
      <c r="T507" s="15" t="str">
        <f>IF(S507="oui",Parametres!$B$5,"")</f>
        <v/>
      </c>
      <c r="U507" s="7" t="s">
        <v>160</v>
      </c>
      <c r="V507" s="15">
        <f t="shared" si="28"/>
        <v>0</v>
      </c>
      <c r="W507" s="15" t="str">
        <f t="shared" si="29"/>
        <v/>
      </c>
      <c r="X507" s="6" t="s">
        <v>93</v>
      </c>
      <c r="Y507" s="7" t="s">
        <v>160</v>
      </c>
      <c r="Z507" s="10"/>
      <c r="AA507" s="6" t="s">
        <v>93</v>
      </c>
      <c r="AB507" s="7" t="s">
        <v>160</v>
      </c>
      <c r="AC507" s="10"/>
      <c r="AD507" s="9" t="str">
        <f t="shared" si="30"/>
        <v>oui</v>
      </c>
      <c r="AE507" s="9" t="str">
        <f t="shared" si="31"/>
        <v>Résidence ou logement non vendable</v>
      </c>
      <c r="AF507" s="7"/>
      <c r="AG507" s="10"/>
      <c r="AH507" s="10"/>
      <c r="AI507" s="7" t="s">
        <v>160</v>
      </c>
      <c r="AJ507" s="10"/>
      <c r="AK507" s="10"/>
      <c r="AL507" s="10"/>
      <c r="AM507" s="11" t="s">
        <v>160</v>
      </c>
      <c r="AN507" s="11" t="s">
        <v>160</v>
      </c>
      <c r="AO507" s="11" t="s">
        <v>160</v>
      </c>
      <c r="AP507" s="11" t="s">
        <v>160</v>
      </c>
      <c r="AQ507" s="11"/>
      <c r="AR507" s="7"/>
    </row>
    <row r="508" spans="1:44" ht="27.6" x14ac:dyDescent="0.3">
      <c r="A508" s="6" t="s">
        <v>202</v>
      </c>
      <c r="B508" s="6" t="s">
        <v>2610</v>
      </c>
      <c r="C508" s="6" t="s">
        <v>2672</v>
      </c>
      <c r="D508" s="6" t="s">
        <v>82</v>
      </c>
      <c r="E508" s="6" t="s">
        <v>2673</v>
      </c>
      <c r="F508" s="7" t="s">
        <v>125</v>
      </c>
      <c r="G508" s="10"/>
      <c r="H508" s="7" t="s">
        <v>93</v>
      </c>
      <c r="I508" s="7"/>
      <c r="J508" s="10"/>
      <c r="K508" s="6" t="s">
        <v>93</v>
      </c>
      <c r="L508" s="7"/>
      <c r="M508" s="14"/>
      <c r="N508" s="7" t="s">
        <v>93</v>
      </c>
      <c r="O508" s="10"/>
      <c r="P508" s="7" t="s">
        <v>93</v>
      </c>
      <c r="Q508" s="15" t="str">
        <f>IF(P508="oui",MIN(Parametres!$B$4,MAX(Parametres!$B$3,IF(M508="",Parametres!$B$3,ROUND(M508*10%,0)))),"")</f>
        <v/>
      </c>
      <c r="R508" s="7" t="s">
        <v>160</v>
      </c>
      <c r="S508" s="7" t="s">
        <v>93</v>
      </c>
      <c r="T508" s="15" t="str">
        <f>IF(S508="oui",Parametres!$B$5,"")</f>
        <v/>
      </c>
      <c r="U508" s="7" t="s">
        <v>160</v>
      </c>
      <c r="V508" s="15">
        <f t="shared" si="28"/>
        <v>0</v>
      </c>
      <c r="W508" s="15" t="str">
        <f t="shared" si="29"/>
        <v/>
      </c>
      <c r="X508" s="6" t="s">
        <v>93</v>
      </c>
      <c r="Y508" s="7" t="s">
        <v>160</v>
      </c>
      <c r="Z508" s="10"/>
      <c r="AA508" s="6" t="s">
        <v>93</v>
      </c>
      <c r="AB508" s="7" t="s">
        <v>160</v>
      </c>
      <c r="AC508" s="10"/>
      <c r="AD508" s="9" t="str">
        <f t="shared" si="30"/>
        <v>oui</v>
      </c>
      <c r="AE508" s="9" t="str">
        <f t="shared" si="31"/>
        <v>Résidence ou logement non vendable</v>
      </c>
      <c r="AF508" s="7"/>
      <c r="AG508" s="10"/>
      <c r="AH508" s="10"/>
      <c r="AI508" s="7" t="s">
        <v>160</v>
      </c>
      <c r="AJ508" s="10"/>
      <c r="AK508" s="10"/>
      <c r="AL508" s="10"/>
      <c r="AM508" s="11" t="s">
        <v>160</v>
      </c>
      <c r="AN508" s="11" t="s">
        <v>160</v>
      </c>
      <c r="AO508" s="11" t="s">
        <v>160</v>
      </c>
      <c r="AP508" s="11" t="s">
        <v>160</v>
      </c>
      <c r="AQ508" s="11"/>
      <c r="AR508" s="7"/>
    </row>
    <row r="509" spans="1:44" ht="27.6" x14ac:dyDescent="0.3">
      <c r="A509" s="6" t="s">
        <v>202</v>
      </c>
      <c r="B509" s="6" t="s">
        <v>2610</v>
      </c>
      <c r="C509" s="6" t="s">
        <v>2676</v>
      </c>
      <c r="D509" s="6" t="s">
        <v>82</v>
      </c>
      <c r="E509" s="6" t="s">
        <v>2677</v>
      </c>
      <c r="F509" s="7" t="s">
        <v>125</v>
      </c>
      <c r="G509" s="10"/>
      <c r="H509" s="7" t="s">
        <v>93</v>
      </c>
      <c r="I509" s="7"/>
      <c r="J509" s="10"/>
      <c r="K509" s="6" t="s">
        <v>93</v>
      </c>
      <c r="L509" s="7"/>
      <c r="M509" s="14"/>
      <c r="N509" s="7" t="s">
        <v>93</v>
      </c>
      <c r="O509" s="10"/>
      <c r="P509" s="7" t="s">
        <v>93</v>
      </c>
      <c r="Q509" s="15" t="str">
        <f>IF(P509="oui",MIN(Parametres!$B$4,MAX(Parametres!$B$3,IF(M509="",Parametres!$B$3,ROUND(M509*10%,0)))),"")</f>
        <v/>
      </c>
      <c r="R509" s="7" t="s">
        <v>160</v>
      </c>
      <c r="S509" s="7" t="s">
        <v>93</v>
      </c>
      <c r="T509" s="15" t="str">
        <f>IF(S509="oui",Parametres!$B$5,"")</f>
        <v/>
      </c>
      <c r="U509" s="7" t="s">
        <v>160</v>
      </c>
      <c r="V509" s="15">
        <f t="shared" si="28"/>
        <v>0</v>
      </c>
      <c r="W509" s="15" t="str">
        <f t="shared" si="29"/>
        <v/>
      </c>
      <c r="X509" s="6" t="s">
        <v>93</v>
      </c>
      <c r="Y509" s="7" t="s">
        <v>160</v>
      </c>
      <c r="Z509" s="10"/>
      <c r="AA509" s="6" t="s">
        <v>93</v>
      </c>
      <c r="AB509" s="7" t="s">
        <v>160</v>
      </c>
      <c r="AC509" s="10"/>
      <c r="AD509" s="9" t="str">
        <f t="shared" si="30"/>
        <v>oui</v>
      </c>
      <c r="AE509" s="9" t="str">
        <f t="shared" si="31"/>
        <v>Résidence ou logement non vendable</v>
      </c>
      <c r="AF509" s="7"/>
      <c r="AG509" s="10"/>
      <c r="AH509" s="10"/>
      <c r="AI509" s="7" t="s">
        <v>160</v>
      </c>
      <c r="AJ509" s="10"/>
      <c r="AK509" s="10"/>
      <c r="AL509" s="10"/>
      <c r="AM509" s="11" t="s">
        <v>160</v>
      </c>
      <c r="AN509" s="11" t="s">
        <v>160</v>
      </c>
      <c r="AO509" s="11" t="s">
        <v>160</v>
      </c>
      <c r="AP509" s="11" t="s">
        <v>160</v>
      </c>
      <c r="AQ509" s="11"/>
      <c r="AR509" s="7"/>
    </row>
    <row r="510" spans="1:44" ht="27.6" x14ac:dyDescent="0.3">
      <c r="A510" s="6" t="s">
        <v>202</v>
      </c>
      <c r="B510" s="6" t="s">
        <v>2610</v>
      </c>
      <c r="C510" s="6" t="s">
        <v>2681</v>
      </c>
      <c r="D510" s="6" t="s">
        <v>82</v>
      </c>
      <c r="E510" s="6" t="s">
        <v>2682</v>
      </c>
      <c r="F510" s="7" t="s">
        <v>125</v>
      </c>
      <c r="G510" s="10"/>
      <c r="H510" s="7" t="s">
        <v>93</v>
      </c>
      <c r="I510" s="7"/>
      <c r="J510" s="10"/>
      <c r="K510" s="6" t="s">
        <v>93</v>
      </c>
      <c r="L510" s="7"/>
      <c r="M510" s="14"/>
      <c r="N510" s="7" t="s">
        <v>93</v>
      </c>
      <c r="O510" s="10"/>
      <c r="P510" s="7" t="s">
        <v>93</v>
      </c>
      <c r="Q510" s="15" t="str">
        <f>IF(P510="oui",MIN(Parametres!$B$4,MAX(Parametres!$B$3,IF(M510="",Parametres!$B$3,ROUND(M510*10%,0)))),"")</f>
        <v/>
      </c>
      <c r="R510" s="7" t="s">
        <v>160</v>
      </c>
      <c r="S510" s="7" t="s">
        <v>93</v>
      </c>
      <c r="T510" s="15" t="str">
        <f>IF(S510="oui",Parametres!$B$5,"")</f>
        <v/>
      </c>
      <c r="U510" s="7" t="s">
        <v>160</v>
      </c>
      <c r="V510" s="15">
        <f t="shared" si="28"/>
        <v>0</v>
      </c>
      <c r="W510" s="15" t="str">
        <f t="shared" si="29"/>
        <v/>
      </c>
      <c r="X510" s="6" t="s">
        <v>93</v>
      </c>
      <c r="Y510" s="7" t="s">
        <v>160</v>
      </c>
      <c r="Z510" s="10"/>
      <c r="AA510" s="6" t="s">
        <v>93</v>
      </c>
      <c r="AB510" s="7" t="s">
        <v>160</v>
      </c>
      <c r="AC510" s="10"/>
      <c r="AD510" s="9" t="str">
        <f t="shared" si="30"/>
        <v>oui</v>
      </c>
      <c r="AE510" s="9" t="str">
        <f t="shared" si="31"/>
        <v>Résidence ou logement non vendable</v>
      </c>
      <c r="AF510" s="7"/>
      <c r="AG510" s="10"/>
      <c r="AH510" s="10"/>
      <c r="AI510" s="7" t="s">
        <v>160</v>
      </c>
      <c r="AJ510" s="10"/>
      <c r="AK510" s="10"/>
      <c r="AL510" s="10"/>
      <c r="AM510" s="11" t="s">
        <v>160</v>
      </c>
      <c r="AN510" s="11" t="s">
        <v>160</v>
      </c>
      <c r="AO510" s="11" t="s">
        <v>160</v>
      </c>
      <c r="AP510" s="11" t="s">
        <v>160</v>
      </c>
      <c r="AQ510" s="11"/>
      <c r="AR510" s="7"/>
    </row>
    <row r="511" spans="1:44" ht="27.6" x14ac:dyDescent="0.3">
      <c r="A511" s="6" t="s">
        <v>202</v>
      </c>
      <c r="B511" s="6" t="s">
        <v>2610</v>
      </c>
      <c r="C511" s="6" t="s">
        <v>2685</v>
      </c>
      <c r="D511" s="6" t="s">
        <v>82</v>
      </c>
      <c r="E511" s="6" t="s">
        <v>2686</v>
      </c>
      <c r="F511" s="7" t="s">
        <v>125</v>
      </c>
      <c r="G511" s="10"/>
      <c r="H511" s="7" t="s">
        <v>93</v>
      </c>
      <c r="I511" s="7"/>
      <c r="J511" s="10"/>
      <c r="K511" s="6" t="s">
        <v>93</v>
      </c>
      <c r="L511" s="7"/>
      <c r="M511" s="14"/>
      <c r="N511" s="7" t="s">
        <v>93</v>
      </c>
      <c r="O511" s="10"/>
      <c r="P511" s="7" t="s">
        <v>93</v>
      </c>
      <c r="Q511" s="15" t="str">
        <f>IF(P511="oui",MIN(Parametres!$B$4,MAX(Parametres!$B$3,IF(M511="",Parametres!$B$3,ROUND(M511*10%,0)))),"")</f>
        <v/>
      </c>
      <c r="R511" s="7" t="s">
        <v>160</v>
      </c>
      <c r="S511" s="7" t="s">
        <v>93</v>
      </c>
      <c r="T511" s="15" t="str">
        <f>IF(S511="oui",Parametres!$B$5,"")</f>
        <v/>
      </c>
      <c r="U511" s="7" t="s">
        <v>160</v>
      </c>
      <c r="V511" s="15">
        <f t="shared" si="28"/>
        <v>0</v>
      </c>
      <c r="W511" s="15" t="str">
        <f t="shared" si="29"/>
        <v/>
      </c>
      <c r="X511" s="6" t="s">
        <v>93</v>
      </c>
      <c r="Y511" s="7" t="s">
        <v>160</v>
      </c>
      <c r="Z511" s="10"/>
      <c r="AA511" s="6" t="s">
        <v>93</v>
      </c>
      <c r="AB511" s="7" t="s">
        <v>160</v>
      </c>
      <c r="AC511" s="10"/>
      <c r="AD511" s="9" t="str">
        <f t="shared" si="30"/>
        <v>oui</v>
      </c>
      <c r="AE511" s="9" t="str">
        <f t="shared" si="31"/>
        <v>Résidence ou logement non vendable</v>
      </c>
      <c r="AF511" s="7"/>
      <c r="AG511" s="10"/>
      <c r="AH511" s="10"/>
      <c r="AI511" s="7" t="s">
        <v>160</v>
      </c>
      <c r="AJ511" s="10"/>
      <c r="AK511" s="10"/>
      <c r="AL511" s="10"/>
      <c r="AM511" s="11" t="s">
        <v>160</v>
      </c>
      <c r="AN511" s="11" t="s">
        <v>160</v>
      </c>
      <c r="AO511" s="11" t="s">
        <v>160</v>
      </c>
      <c r="AP511" s="11" t="s">
        <v>160</v>
      </c>
      <c r="AQ511" s="11"/>
      <c r="AR511" s="7"/>
    </row>
    <row r="512" spans="1:44" ht="27.6" x14ac:dyDescent="0.3">
      <c r="A512" s="6" t="s">
        <v>202</v>
      </c>
      <c r="B512" s="6" t="s">
        <v>2610</v>
      </c>
      <c r="C512" s="6" t="s">
        <v>2690</v>
      </c>
      <c r="D512" s="6" t="s">
        <v>82</v>
      </c>
      <c r="E512" s="6" t="s">
        <v>2691</v>
      </c>
      <c r="F512" s="7" t="s">
        <v>125</v>
      </c>
      <c r="G512" s="10"/>
      <c r="H512" s="7" t="s">
        <v>93</v>
      </c>
      <c r="I512" s="7"/>
      <c r="J512" s="10"/>
      <c r="K512" s="6" t="s">
        <v>93</v>
      </c>
      <c r="L512" s="7"/>
      <c r="M512" s="14"/>
      <c r="N512" s="7" t="s">
        <v>93</v>
      </c>
      <c r="O512" s="10"/>
      <c r="P512" s="7" t="s">
        <v>93</v>
      </c>
      <c r="Q512" s="15" t="str">
        <f>IF(P512="oui",MIN(Parametres!$B$4,MAX(Parametres!$B$3,IF(M512="",Parametres!$B$3,ROUND(M512*10%,0)))),"")</f>
        <v/>
      </c>
      <c r="R512" s="7" t="s">
        <v>160</v>
      </c>
      <c r="S512" s="7" t="s">
        <v>93</v>
      </c>
      <c r="T512" s="15" t="str">
        <f>IF(S512="oui",Parametres!$B$5,"")</f>
        <v/>
      </c>
      <c r="U512" s="7" t="s">
        <v>160</v>
      </c>
      <c r="V512" s="15">
        <f t="shared" si="28"/>
        <v>0</v>
      </c>
      <c r="W512" s="15" t="str">
        <f t="shared" si="29"/>
        <v/>
      </c>
      <c r="X512" s="6" t="s">
        <v>93</v>
      </c>
      <c r="Y512" s="7" t="s">
        <v>160</v>
      </c>
      <c r="Z512" s="10"/>
      <c r="AA512" s="6" t="s">
        <v>93</v>
      </c>
      <c r="AB512" s="7" t="s">
        <v>160</v>
      </c>
      <c r="AC512" s="10"/>
      <c r="AD512" s="9" t="str">
        <f t="shared" si="30"/>
        <v>oui</v>
      </c>
      <c r="AE512" s="9" t="str">
        <f t="shared" si="31"/>
        <v>Résidence ou logement non vendable</v>
      </c>
      <c r="AF512" s="7"/>
      <c r="AG512" s="10"/>
      <c r="AH512" s="10"/>
      <c r="AI512" s="7" t="s">
        <v>160</v>
      </c>
      <c r="AJ512" s="10"/>
      <c r="AK512" s="10"/>
      <c r="AL512" s="10"/>
      <c r="AM512" s="11" t="s">
        <v>160</v>
      </c>
      <c r="AN512" s="11" t="s">
        <v>160</v>
      </c>
      <c r="AO512" s="11" t="s">
        <v>160</v>
      </c>
      <c r="AP512" s="11" t="s">
        <v>160</v>
      </c>
      <c r="AQ512" s="11"/>
      <c r="AR512" s="7"/>
    </row>
    <row r="513" spans="1:44" ht="27.6" x14ac:dyDescent="0.3">
      <c r="A513" s="6" t="s">
        <v>202</v>
      </c>
      <c r="B513" s="6" t="s">
        <v>2610</v>
      </c>
      <c r="C513" s="6" t="s">
        <v>2695</v>
      </c>
      <c r="D513" s="6" t="s">
        <v>82</v>
      </c>
      <c r="E513" s="6" t="s">
        <v>2696</v>
      </c>
      <c r="F513" s="7" t="s">
        <v>125</v>
      </c>
      <c r="G513" s="10"/>
      <c r="H513" s="7" t="s">
        <v>93</v>
      </c>
      <c r="I513" s="7"/>
      <c r="J513" s="10"/>
      <c r="K513" s="6" t="s">
        <v>93</v>
      </c>
      <c r="L513" s="7"/>
      <c r="M513" s="14"/>
      <c r="N513" s="7" t="s">
        <v>93</v>
      </c>
      <c r="O513" s="10"/>
      <c r="P513" s="7" t="s">
        <v>93</v>
      </c>
      <c r="Q513" s="15" t="str">
        <f>IF(P513="oui",MIN(Parametres!$B$4,MAX(Parametres!$B$3,IF(M513="",Parametres!$B$3,ROUND(M513*10%,0)))),"")</f>
        <v/>
      </c>
      <c r="R513" s="7" t="s">
        <v>160</v>
      </c>
      <c r="S513" s="7" t="s">
        <v>93</v>
      </c>
      <c r="T513" s="15" t="str">
        <f>IF(S513="oui",Parametres!$B$5,"")</f>
        <v/>
      </c>
      <c r="U513" s="7" t="s">
        <v>160</v>
      </c>
      <c r="V513" s="15">
        <f t="shared" si="28"/>
        <v>0</v>
      </c>
      <c r="W513" s="15" t="str">
        <f t="shared" si="29"/>
        <v/>
      </c>
      <c r="X513" s="6" t="s">
        <v>93</v>
      </c>
      <c r="Y513" s="7" t="s">
        <v>160</v>
      </c>
      <c r="Z513" s="10"/>
      <c r="AA513" s="6" t="s">
        <v>93</v>
      </c>
      <c r="AB513" s="7" t="s">
        <v>160</v>
      </c>
      <c r="AC513" s="10"/>
      <c r="AD513" s="9" t="str">
        <f t="shared" si="30"/>
        <v>oui</v>
      </c>
      <c r="AE513" s="9" t="str">
        <f t="shared" si="31"/>
        <v>Résidence ou logement non vendable</v>
      </c>
      <c r="AF513" s="7"/>
      <c r="AG513" s="10"/>
      <c r="AH513" s="10"/>
      <c r="AI513" s="7" t="s">
        <v>160</v>
      </c>
      <c r="AJ513" s="10"/>
      <c r="AK513" s="10"/>
      <c r="AL513" s="10"/>
      <c r="AM513" s="11" t="s">
        <v>160</v>
      </c>
      <c r="AN513" s="11" t="s">
        <v>160</v>
      </c>
      <c r="AO513" s="11" t="s">
        <v>160</v>
      </c>
      <c r="AP513" s="11" t="s">
        <v>160</v>
      </c>
      <c r="AQ513" s="11"/>
      <c r="AR513" s="7"/>
    </row>
    <row r="514" spans="1:44" ht="27.6" x14ac:dyDescent="0.3">
      <c r="A514" s="6" t="s">
        <v>202</v>
      </c>
      <c r="B514" s="6" t="s">
        <v>2610</v>
      </c>
      <c r="C514" s="6" t="s">
        <v>2699</v>
      </c>
      <c r="D514" s="6" t="s">
        <v>82</v>
      </c>
      <c r="E514" s="6" t="s">
        <v>2700</v>
      </c>
      <c r="F514" s="7" t="s">
        <v>125</v>
      </c>
      <c r="G514" s="10"/>
      <c r="H514" s="7" t="s">
        <v>93</v>
      </c>
      <c r="I514" s="7"/>
      <c r="J514" s="10"/>
      <c r="K514" s="6" t="s">
        <v>93</v>
      </c>
      <c r="L514" s="7"/>
      <c r="M514" s="14"/>
      <c r="N514" s="7" t="s">
        <v>93</v>
      </c>
      <c r="O514" s="10"/>
      <c r="P514" s="7" t="s">
        <v>93</v>
      </c>
      <c r="Q514" s="15" t="str">
        <f>IF(P514="oui",MIN(Parametres!$B$4,MAX(Parametres!$B$3,IF(M514="",Parametres!$B$3,ROUND(M514*10%,0)))),"")</f>
        <v/>
      </c>
      <c r="R514" s="7" t="s">
        <v>160</v>
      </c>
      <c r="S514" s="7" t="s">
        <v>93</v>
      </c>
      <c r="T514" s="15" t="str">
        <f>IF(S514="oui",Parametres!$B$5,"")</f>
        <v/>
      </c>
      <c r="U514" s="7" t="s">
        <v>160</v>
      </c>
      <c r="V514" s="15">
        <f t="shared" ref="V514:V529" si="32">SUM(Q514,T514)</f>
        <v>0</v>
      </c>
      <c r="W514" s="15" t="str">
        <f t="shared" ref="W514:W529" si="33">IF(M514="","",M514-V514)</f>
        <v/>
      </c>
      <c r="X514" s="6" t="s">
        <v>93</v>
      </c>
      <c r="Y514" s="7" t="s">
        <v>160</v>
      </c>
      <c r="Z514" s="10"/>
      <c r="AA514" s="6" t="s">
        <v>93</v>
      </c>
      <c r="AB514" s="7" t="s">
        <v>160</v>
      </c>
      <c r="AC514" s="10"/>
      <c r="AD514" s="9" t="str">
        <f t="shared" ref="AD514:AD529" si="34">IF(K514&lt;&gt;"oui","oui",IF(OR(AND(X514="oui",Y514&lt;&gt;"fait"),AND(AA514="oui",AB514&lt;&gt;"fait"),AND(P514="oui",R514&lt;&gt;"valide"),AND(S514="oui",U514&lt;&gt;"valide"),N514&lt;&gt;"oui"),"oui","non"))</f>
        <v>oui</v>
      </c>
      <c r="AE514" s="9" t="str">
        <f t="shared" ref="AE514:AE529" si="35">IF(K514&lt;&gt;"oui","Résidence ou logement non vendable",IF(AND(X514="oui",Y514&lt;&gt;"fait"),"TAE manquant",IF(AND(AA514="oui",AB514&lt;&gt;"fait"),"SPANC manquant",IF(AND(P514="oui",R514&lt;&gt;"valide"),"Chèque primo non validé",IF(AND(S514="oui",U514&lt;&gt;"valide"),"Chèque CINOR non validé",IF(N514&lt;&gt;"oui","Prix non confirmé",""))))))</f>
        <v>Résidence ou logement non vendable</v>
      </c>
      <c r="AF514" s="7"/>
      <c r="AG514" s="10"/>
      <c r="AH514" s="10"/>
      <c r="AI514" s="7" t="s">
        <v>160</v>
      </c>
      <c r="AJ514" s="10"/>
      <c r="AK514" s="10"/>
      <c r="AL514" s="10"/>
      <c r="AM514" s="11" t="s">
        <v>160</v>
      </c>
      <c r="AN514" s="11" t="s">
        <v>160</v>
      </c>
      <c r="AO514" s="11" t="s">
        <v>160</v>
      </c>
      <c r="AP514" s="11" t="s">
        <v>160</v>
      </c>
      <c r="AQ514" s="11"/>
      <c r="AR514" s="7"/>
    </row>
    <row r="515" spans="1:44" ht="14.4" x14ac:dyDescent="0.3">
      <c r="A515" s="6" t="s">
        <v>262</v>
      </c>
      <c r="B515" s="6" t="s">
        <v>2705</v>
      </c>
      <c r="C515" s="6" t="s">
        <v>2706</v>
      </c>
      <c r="D515" s="6" t="s">
        <v>2707</v>
      </c>
      <c r="E515" s="6" t="s">
        <v>2708</v>
      </c>
      <c r="F515" s="7" t="s">
        <v>125</v>
      </c>
      <c r="G515" s="10"/>
      <c r="H515" s="7" t="s">
        <v>93</v>
      </c>
      <c r="I515" s="7"/>
      <c r="J515" s="10"/>
      <c r="K515" s="6" t="s">
        <v>90</v>
      </c>
      <c r="L515" s="7"/>
      <c r="M515" s="14"/>
      <c r="N515" s="7" t="s">
        <v>93</v>
      </c>
      <c r="O515" s="10"/>
      <c r="P515" s="7" t="s">
        <v>90</v>
      </c>
      <c r="Q515" s="15">
        <f>IF(P515="oui",MIN(Parametres!$B$4,MAX(Parametres!$B$3,IF(M515="",Parametres!$B$3,ROUND(M515*10%,0)))),"")</f>
        <v>0</v>
      </c>
      <c r="R515" s="7" t="s">
        <v>134</v>
      </c>
      <c r="S515" s="7" t="s">
        <v>90</v>
      </c>
      <c r="T515" s="15">
        <f>IF(S515="oui",Parametres!$B$5,"")</f>
        <v>500</v>
      </c>
      <c r="U515" s="7" t="s">
        <v>134</v>
      </c>
      <c r="V515" s="15">
        <f t="shared" si="32"/>
        <v>500</v>
      </c>
      <c r="W515" s="15" t="str">
        <f t="shared" si="33"/>
        <v/>
      </c>
      <c r="X515" s="6" t="s">
        <v>90</v>
      </c>
      <c r="Y515" s="7" t="s">
        <v>133</v>
      </c>
      <c r="Z515" s="10"/>
      <c r="AA515" s="6" t="s">
        <v>93</v>
      </c>
      <c r="AB515" s="7" t="s">
        <v>160</v>
      </c>
      <c r="AC515" s="10"/>
      <c r="AD515" s="9" t="str">
        <f t="shared" si="34"/>
        <v>oui</v>
      </c>
      <c r="AE515" s="9" t="str">
        <f t="shared" si="35"/>
        <v>TAE manquant</v>
      </c>
      <c r="AF515" s="7"/>
      <c r="AG515" s="10"/>
      <c r="AH515" s="10"/>
      <c r="AI515" s="7" t="s">
        <v>160</v>
      </c>
      <c r="AJ515" s="10"/>
      <c r="AK515" s="10"/>
      <c r="AL515" s="10"/>
      <c r="AM515" s="11" t="s">
        <v>131</v>
      </c>
      <c r="AN515" s="11" t="s">
        <v>131</v>
      </c>
      <c r="AO515" s="11" t="s">
        <v>131</v>
      </c>
      <c r="AP515" s="11" t="s">
        <v>131</v>
      </c>
      <c r="AQ515" s="11"/>
      <c r="AR515" s="7"/>
    </row>
    <row r="516" spans="1:44" ht="14.4" x14ac:dyDescent="0.3">
      <c r="A516" s="6" t="s">
        <v>262</v>
      </c>
      <c r="B516" s="6" t="s">
        <v>2705</v>
      </c>
      <c r="C516" s="6" t="s">
        <v>2712</v>
      </c>
      <c r="D516" s="6" t="s">
        <v>2707</v>
      </c>
      <c r="E516" s="6" t="s">
        <v>2713</v>
      </c>
      <c r="F516" s="7" t="s">
        <v>125</v>
      </c>
      <c r="G516" s="10"/>
      <c r="H516" s="7" t="s">
        <v>93</v>
      </c>
      <c r="I516" s="7"/>
      <c r="J516" s="10"/>
      <c r="K516" s="6" t="s">
        <v>90</v>
      </c>
      <c r="L516" s="7"/>
      <c r="M516" s="14"/>
      <c r="N516" s="7" t="s">
        <v>93</v>
      </c>
      <c r="O516" s="10"/>
      <c r="P516" s="7" t="s">
        <v>90</v>
      </c>
      <c r="Q516" s="15">
        <f>IF(P516="oui",MIN(Parametres!$B$4,MAX(Parametres!$B$3,IF(M516="",Parametres!$B$3,ROUND(M516*10%,0)))),"")</f>
        <v>0</v>
      </c>
      <c r="R516" s="7" t="s">
        <v>134</v>
      </c>
      <c r="S516" s="7" t="s">
        <v>90</v>
      </c>
      <c r="T516" s="15">
        <f>IF(S516="oui",Parametres!$B$5,"")</f>
        <v>500</v>
      </c>
      <c r="U516" s="7" t="s">
        <v>134</v>
      </c>
      <c r="V516" s="15">
        <f t="shared" si="32"/>
        <v>500</v>
      </c>
      <c r="W516" s="15" t="str">
        <f t="shared" si="33"/>
        <v/>
      </c>
      <c r="X516" s="6" t="s">
        <v>90</v>
      </c>
      <c r="Y516" s="7" t="s">
        <v>133</v>
      </c>
      <c r="Z516" s="10"/>
      <c r="AA516" s="6" t="s">
        <v>93</v>
      </c>
      <c r="AB516" s="7" t="s">
        <v>160</v>
      </c>
      <c r="AC516" s="10"/>
      <c r="AD516" s="9" t="str">
        <f t="shared" si="34"/>
        <v>oui</v>
      </c>
      <c r="AE516" s="9" t="str">
        <f t="shared" si="35"/>
        <v>TAE manquant</v>
      </c>
      <c r="AF516" s="7"/>
      <c r="AG516" s="10"/>
      <c r="AH516" s="10"/>
      <c r="AI516" s="7" t="s">
        <v>160</v>
      </c>
      <c r="AJ516" s="10"/>
      <c r="AK516" s="10"/>
      <c r="AL516" s="10"/>
      <c r="AM516" s="11" t="s">
        <v>131</v>
      </c>
      <c r="AN516" s="11" t="s">
        <v>131</v>
      </c>
      <c r="AO516" s="11" t="s">
        <v>131</v>
      </c>
      <c r="AP516" s="11" t="s">
        <v>131</v>
      </c>
      <c r="AQ516" s="11"/>
      <c r="AR516" s="7"/>
    </row>
    <row r="517" spans="1:44" ht="14.4" x14ac:dyDescent="0.3">
      <c r="A517" s="6" t="s">
        <v>262</v>
      </c>
      <c r="B517" s="6" t="s">
        <v>2705</v>
      </c>
      <c r="C517" s="6" t="s">
        <v>2716</v>
      </c>
      <c r="D517" s="6" t="s">
        <v>2707</v>
      </c>
      <c r="E517" s="6" t="s">
        <v>2717</v>
      </c>
      <c r="F517" s="7" t="s">
        <v>125</v>
      </c>
      <c r="G517" s="10"/>
      <c r="H517" s="7" t="s">
        <v>93</v>
      </c>
      <c r="I517" s="7"/>
      <c r="J517" s="10"/>
      <c r="K517" s="6" t="s">
        <v>90</v>
      </c>
      <c r="L517" s="7"/>
      <c r="M517" s="14"/>
      <c r="N517" s="7" t="s">
        <v>93</v>
      </c>
      <c r="O517" s="10"/>
      <c r="P517" s="7" t="s">
        <v>90</v>
      </c>
      <c r="Q517" s="15">
        <f>IF(P517="oui",MIN(Parametres!$B$4,MAX(Parametres!$B$3,IF(M517="",Parametres!$B$3,ROUND(M517*10%,0)))),"")</f>
        <v>0</v>
      </c>
      <c r="R517" s="7" t="s">
        <v>134</v>
      </c>
      <c r="S517" s="7" t="s">
        <v>90</v>
      </c>
      <c r="T517" s="15">
        <f>IF(S517="oui",Parametres!$B$5,"")</f>
        <v>500</v>
      </c>
      <c r="U517" s="7" t="s">
        <v>134</v>
      </c>
      <c r="V517" s="15">
        <f t="shared" si="32"/>
        <v>500</v>
      </c>
      <c r="W517" s="15" t="str">
        <f t="shared" si="33"/>
        <v/>
      </c>
      <c r="X517" s="6" t="s">
        <v>90</v>
      </c>
      <c r="Y517" s="7" t="s">
        <v>133</v>
      </c>
      <c r="Z517" s="10"/>
      <c r="AA517" s="6" t="s">
        <v>93</v>
      </c>
      <c r="AB517" s="7" t="s">
        <v>160</v>
      </c>
      <c r="AC517" s="10"/>
      <c r="AD517" s="9" t="str">
        <f t="shared" si="34"/>
        <v>oui</v>
      </c>
      <c r="AE517" s="9" t="str">
        <f t="shared" si="35"/>
        <v>TAE manquant</v>
      </c>
      <c r="AF517" s="7"/>
      <c r="AG517" s="10"/>
      <c r="AH517" s="10"/>
      <c r="AI517" s="7" t="s">
        <v>160</v>
      </c>
      <c r="AJ517" s="10"/>
      <c r="AK517" s="10"/>
      <c r="AL517" s="10"/>
      <c r="AM517" s="11" t="s">
        <v>131</v>
      </c>
      <c r="AN517" s="11" t="s">
        <v>131</v>
      </c>
      <c r="AO517" s="11" t="s">
        <v>131</v>
      </c>
      <c r="AP517" s="11" t="s">
        <v>131</v>
      </c>
      <c r="AQ517" s="11"/>
      <c r="AR517" s="7"/>
    </row>
    <row r="518" spans="1:44" ht="14.4" x14ac:dyDescent="0.3">
      <c r="A518" s="6" t="s">
        <v>262</v>
      </c>
      <c r="B518" s="6" t="s">
        <v>2705</v>
      </c>
      <c r="C518" s="6" t="s">
        <v>2721</v>
      </c>
      <c r="D518" s="6" t="s">
        <v>2707</v>
      </c>
      <c r="E518" s="6" t="s">
        <v>2722</v>
      </c>
      <c r="F518" s="7" t="s">
        <v>125</v>
      </c>
      <c r="G518" s="10"/>
      <c r="H518" s="7" t="s">
        <v>93</v>
      </c>
      <c r="I518" s="7"/>
      <c r="J518" s="10"/>
      <c r="K518" s="6" t="s">
        <v>90</v>
      </c>
      <c r="L518" s="7"/>
      <c r="M518" s="14"/>
      <c r="N518" s="7" t="s">
        <v>93</v>
      </c>
      <c r="O518" s="10"/>
      <c r="P518" s="7" t="s">
        <v>90</v>
      </c>
      <c r="Q518" s="15">
        <f>IF(P518="oui",MIN(Parametres!$B$4,MAX(Parametres!$B$3,IF(M518="",Parametres!$B$3,ROUND(M518*10%,0)))),"")</f>
        <v>0</v>
      </c>
      <c r="R518" s="7" t="s">
        <v>134</v>
      </c>
      <c r="S518" s="7" t="s">
        <v>90</v>
      </c>
      <c r="T518" s="15">
        <f>IF(S518="oui",Parametres!$B$5,"")</f>
        <v>500</v>
      </c>
      <c r="U518" s="7" t="s">
        <v>134</v>
      </c>
      <c r="V518" s="15">
        <f t="shared" si="32"/>
        <v>500</v>
      </c>
      <c r="W518" s="15" t="str">
        <f t="shared" si="33"/>
        <v/>
      </c>
      <c r="X518" s="6" t="s">
        <v>90</v>
      </c>
      <c r="Y518" s="7" t="s">
        <v>133</v>
      </c>
      <c r="Z518" s="10"/>
      <c r="AA518" s="6" t="s">
        <v>93</v>
      </c>
      <c r="AB518" s="7" t="s">
        <v>160</v>
      </c>
      <c r="AC518" s="10"/>
      <c r="AD518" s="9" t="str">
        <f t="shared" si="34"/>
        <v>oui</v>
      </c>
      <c r="AE518" s="9" t="str">
        <f t="shared" si="35"/>
        <v>TAE manquant</v>
      </c>
      <c r="AF518" s="7"/>
      <c r="AG518" s="10"/>
      <c r="AH518" s="10"/>
      <c r="AI518" s="7" t="s">
        <v>160</v>
      </c>
      <c r="AJ518" s="10"/>
      <c r="AK518" s="10"/>
      <c r="AL518" s="10"/>
      <c r="AM518" s="11" t="s">
        <v>131</v>
      </c>
      <c r="AN518" s="11" t="s">
        <v>131</v>
      </c>
      <c r="AO518" s="11" t="s">
        <v>131</v>
      </c>
      <c r="AP518" s="11" t="s">
        <v>131</v>
      </c>
      <c r="AQ518" s="11"/>
      <c r="AR518" s="7"/>
    </row>
    <row r="519" spans="1:44" ht="14.4" x14ac:dyDescent="0.3">
      <c r="A519" s="6" t="s">
        <v>262</v>
      </c>
      <c r="B519" s="6" t="s">
        <v>2705</v>
      </c>
      <c r="C519" s="6" t="s">
        <v>2725</v>
      </c>
      <c r="D519" s="6" t="s">
        <v>2707</v>
      </c>
      <c r="E519" s="6" t="s">
        <v>2726</v>
      </c>
      <c r="F519" s="7" t="s">
        <v>125</v>
      </c>
      <c r="G519" s="10"/>
      <c r="H519" s="7" t="s">
        <v>93</v>
      </c>
      <c r="I519" s="7"/>
      <c r="J519" s="10"/>
      <c r="K519" s="6" t="s">
        <v>90</v>
      </c>
      <c r="L519" s="7"/>
      <c r="M519" s="14"/>
      <c r="N519" s="7" t="s">
        <v>93</v>
      </c>
      <c r="O519" s="10"/>
      <c r="P519" s="7" t="s">
        <v>90</v>
      </c>
      <c r="Q519" s="15">
        <f>IF(P519="oui",MIN(Parametres!$B$4,MAX(Parametres!$B$3,IF(M519="",Parametres!$B$3,ROUND(M519*10%,0)))),"")</f>
        <v>0</v>
      </c>
      <c r="R519" s="7" t="s">
        <v>134</v>
      </c>
      <c r="S519" s="7" t="s">
        <v>90</v>
      </c>
      <c r="T519" s="15">
        <f>IF(S519="oui",Parametres!$B$5,"")</f>
        <v>500</v>
      </c>
      <c r="U519" s="7" t="s">
        <v>134</v>
      </c>
      <c r="V519" s="15">
        <f t="shared" si="32"/>
        <v>500</v>
      </c>
      <c r="W519" s="15" t="str">
        <f t="shared" si="33"/>
        <v/>
      </c>
      <c r="X519" s="6" t="s">
        <v>90</v>
      </c>
      <c r="Y519" s="7" t="s">
        <v>133</v>
      </c>
      <c r="Z519" s="10"/>
      <c r="AA519" s="6" t="s">
        <v>93</v>
      </c>
      <c r="AB519" s="7" t="s">
        <v>160</v>
      </c>
      <c r="AC519" s="10"/>
      <c r="AD519" s="9" t="str">
        <f t="shared" si="34"/>
        <v>oui</v>
      </c>
      <c r="AE519" s="9" t="str">
        <f t="shared" si="35"/>
        <v>TAE manquant</v>
      </c>
      <c r="AF519" s="7"/>
      <c r="AG519" s="10"/>
      <c r="AH519" s="10"/>
      <c r="AI519" s="7" t="s">
        <v>160</v>
      </c>
      <c r="AJ519" s="10"/>
      <c r="AK519" s="10"/>
      <c r="AL519" s="10"/>
      <c r="AM519" s="11" t="s">
        <v>131</v>
      </c>
      <c r="AN519" s="11" t="s">
        <v>131</v>
      </c>
      <c r="AO519" s="11" t="s">
        <v>131</v>
      </c>
      <c r="AP519" s="11" t="s">
        <v>131</v>
      </c>
      <c r="AQ519" s="11"/>
      <c r="AR519" s="7"/>
    </row>
    <row r="520" spans="1:44" ht="14.4" x14ac:dyDescent="0.3">
      <c r="A520" s="6" t="s">
        <v>262</v>
      </c>
      <c r="B520" s="6" t="s">
        <v>2705</v>
      </c>
      <c r="C520" s="6" t="s">
        <v>2731</v>
      </c>
      <c r="D520" s="6" t="s">
        <v>2707</v>
      </c>
      <c r="E520" s="6" t="s">
        <v>2732</v>
      </c>
      <c r="F520" s="7" t="s">
        <v>125</v>
      </c>
      <c r="G520" s="10"/>
      <c r="H520" s="7" t="s">
        <v>93</v>
      </c>
      <c r="I520" s="7"/>
      <c r="J520" s="10"/>
      <c r="K520" s="6" t="s">
        <v>90</v>
      </c>
      <c r="L520" s="7"/>
      <c r="M520" s="14"/>
      <c r="N520" s="7" t="s">
        <v>93</v>
      </c>
      <c r="O520" s="10"/>
      <c r="P520" s="7" t="s">
        <v>90</v>
      </c>
      <c r="Q520" s="15">
        <f>IF(P520="oui",MIN(Parametres!$B$4,MAX(Parametres!$B$3,IF(M520="",Parametres!$B$3,ROUND(M520*10%,0)))),"")</f>
        <v>0</v>
      </c>
      <c r="R520" s="7" t="s">
        <v>134</v>
      </c>
      <c r="S520" s="7" t="s">
        <v>90</v>
      </c>
      <c r="T520" s="15">
        <f>IF(S520="oui",Parametres!$B$5,"")</f>
        <v>500</v>
      </c>
      <c r="U520" s="7" t="s">
        <v>134</v>
      </c>
      <c r="V520" s="15">
        <f t="shared" si="32"/>
        <v>500</v>
      </c>
      <c r="W520" s="15" t="str">
        <f t="shared" si="33"/>
        <v/>
      </c>
      <c r="X520" s="6" t="s">
        <v>90</v>
      </c>
      <c r="Y520" s="7" t="s">
        <v>133</v>
      </c>
      <c r="Z520" s="10"/>
      <c r="AA520" s="6" t="s">
        <v>93</v>
      </c>
      <c r="AB520" s="7" t="s">
        <v>160</v>
      </c>
      <c r="AC520" s="10"/>
      <c r="AD520" s="9" t="str">
        <f t="shared" si="34"/>
        <v>oui</v>
      </c>
      <c r="AE520" s="9" t="str">
        <f t="shared" si="35"/>
        <v>TAE manquant</v>
      </c>
      <c r="AF520" s="7"/>
      <c r="AG520" s="10"/>
      <c r="AH520" s="10"/>
      <c r="AI520" s="7" t="s">
        <v>160</v>
      </c>
      <c r="AJ520" s="10"/>
      <c r="AK520" s="10"/>
      <c r="AL520" s="10"/>
      <c r="AM520" s="11" t="s">
        <v>131</v>
      </c>
      <c r="AN520" s="11" t="s">
        <v>131</v>
      </c>
      <c r="AO520" s="11" t="s">
        <v>131</v>
      </c>
      <c r="AP520" s="11" t="s">
        <v>131</v>
      </c>
      <c r="AQ520" s="11"/>
      <c r="AR520" s="7"/>
    </row>
    <row r="521" spans="1:44" ht="14.4" x14ac:dyDescent="0.3">
      <c r="A521" s="6" t="s">
        <v>262</v>
      </c>
      <c r="B521" s="6" t="s">
        <v>2705</v>
      </c>
      <c r="C521" s="6" t="s">
        <v>2735</v>
      </c>
      <c r="D521" s="6" t="s">
        <v>2707</v>
      </c>
      <c r="E521" s="6" t="s">
        <v>2736</v>
      </c>
      <c r="F521" s="7" t="s">
        <v>125</v>
      </c>
      <c r="G521" s="10"/>
      <c r="H521" s="7" t="s">
        <v>93</v>
      </c>
      <c r="I521" s="7"/>
      <c r="J521" s="10"/>
      <c r="K521" s="6" t="s">
        <v>90</v>
      </c>
      <c r="L521" s="7"/>
      <c r="M521" s="14"/>
      <c r="N521" s="7" t="s">
        <v>93</v>
      </c>
      <c r="O521" s="10"/>
      <c r="P521" s="7" t="s">
        <v>90</v>
      </c>
      <c r="Q521" s="15">
        <f>IF(P521="oui",MIN(Parametres!$B$4,MAX(Parametres!$B$3,IF(M521="",Parametres!$B$3,ROUND(M521*10%,0)))),"")</f>
        <v>0</v>
      </c>
      <c r="R521" s="7" t="s">
        <v>134</v>
      </c>
      <c r="S521" s="7" t="s">
        <v>90</v>
      </c>
      <c r="T521" s="15">
        <f>IF(S521="oui",Parametres!$B$5,"")</f>
        <v>500</v>
      </c>
      <c r="U521" s="7" t="s">
        <v>134</v>
      </c>
      <c r="V521" s="15">
        <f t="shared" si="32"/>
        <v>500</v>
      </c>
      <c r="W521" s="15" t="str">
        <f t="shared" si="33"/>
        <v/>
      </c>
      <c r="X521" s="6" t="s">
        <v>90</v>
      </c>
      <c r="Y521" s="7" t="s">
        <v>133</v>
      </c>
      <c r="Z521" s="10"/>
      <c r="AA521" s="6" t="s">
        <v>93</v>
      </c>
      <c r="AB521" s="7" t="s">
        <v>160</v>
      </c>
      <c r="AC521" s="10"/>
      <c r="AD521" s="9" t="str">
        <f t="shared" si="34"/>
        <v>oui</v>
      </c>
      <c r="AE521" s="9" t="str">
        <f t="shared" si="35"/>
        <v>TAE manquant</v>
      </c>
      <c r="AF521" s="7"/>
      <c r="AG521" s="10"/>
      <c r="AH521" s="10"/>
      <c r="AI521" s="7" t="s">
        <v>160</v>
      </c>
      <c r="AJ521" s="10"/>
      <c r="AK521" s="10"/>
      <c r="AL521" s="10"/>
      <c r="AM521" s="11" t="s">
        <v>131</v>
      </c>
      <c r="AN521" s="11" t="s">
        <v>131</v>
      </c>
      <c r="AO521" s="11" t="s">
        <v>131</v>
      </c>
      <c r="AP521" s="11" t="s">
        <v>131</v>
      </c>
      <c r="AQ521" s="11"/>
      <c r="AR521" s="7"/>
    </row>
    <row r="522" spans="1:44" ht="14.4" x14ac:dyDescent="0.3">
      <c r="A522" s="6" t="s">
        <v>262</v>
      </c>
      <c r="B522" s="6" t="s">
        <v>2705</v>
      </c>
      <c r="C522" s="6" t="s">
        <v>2739</v>
      </c>
      <c r="D522" s="6" t="s">
        <v>2707</v>
      </c>
      <c r="E522" s="6" t="s">
        <v>2740</v>
      </c>
      <c r="F522" s="7" t="s">
        <v>125</v>
      </c>
      <c r="G522" s="10"/>
      <c r="H522" s="7" t="s">
        <v>93</v>
      </c>
      <c r="I522" s="7"/>
      <c r="J522" s="10"/>
      <c r="K522" s="6" t="s">
        <v>90</v>
      </c>
      <c r="L522" s="7"/>
      <c r="M522" s="14"/>
      <c r="N522" s="7" t="s">
        <v>93</v>
      </c>
      <c r="O522" s="10"/>
      <c r="P522" s="7" t="s">
        <v>90</v>
      </c>
      <c r="Q522" s="15">
        <f>IF(P522="oui",MIN(Parametres!$B$4,MAX(Parametres!$B$3,IF(M522="",Parametres!$B$3,ROUND(M522*10%,0)))),"")</f>
        <v>0</v>
      </c>
      <c r="R522" s="7" t="s">
        <v>134</v>
      </c>
      <c r="S522" s="7" t="s">
        <v>90</v>
      </c>
      <c r="T522" s="15">
        <f>IF(S522="oui",Parametres!$B$5,"")</f>
        <v>500</v>
      </c>
      <c r="U522" s="7" t="s">
        <v>134</v>
      </c>
      <c r="V522" s="15">
        <f t="shared" si="32"/>
        <v>500</v>
      </c>
      <c r="W522" s="15" t="str">
        <f t="shared" si="33"/>
        <v/>
      </c>
      <c r="X522" s="6" t="s">
        <v>90</v>
      </c>
      <c r="Y522" s="7" t="s">
        <v>133</v>
      </c>
      <c r="Z522" s="10"/>
      <c r="AA522" s="6" t="s">
        <v>93</v>
      </c>
      <c r="AB522" s="7" t="s">
        <v>160</v>
      </c>
      <c r="AC522" s="10"/>
      <c r="AD522" s="9" t="str">
        <f t="shared" si="34"/>
        <v>oui</v>
      </c>
      <c r="AE522" s="9" t="str">
        <f t="shared" si="35"/>
        <v>TAE manquant</v>
      </c>
      <c r="AF522" s="7"/>
      <c r="AG522" s="10"/>
      <c r="AH522" s="10"/>
      <c r="AI522" s="7" t="s">
        <v>160</v>
      </c>
      <c r="AJ522" s="10"/>
      <c r="AK522" s="10"/>
      <c r="AL522" s="10"/>
      <c r="AM522" s="11" t="s">
        <v>131</v>
      </c>
      <c r="AN522" s="11" t="s">
        <v>131</v>
      </c>
      <c r="AO522" s="11" t="s">
        <v>131</v>
      </c>
      <c r="AP522" s="11" t="s">
        <v>131</v>
      </c>
      <c r="AQ522" s="11"/>
      <c r="AR522" s="7"/>
    </row>
    <row r="523" spans="1:44" ht="14.4" x14ac:dyDescent="0.3">
      <c r="A523" s="6" t="s">
        <v>262</v>
      </c>
      <c r="B523" s="6" t="s">
        <v>2705</v>
      </c>
      <c r="C523" s="6" t="s">
        <v>2742</v>
      </c>
      <c r="D523" s="6" t="s">
        <v>2707</v>
      </c>
      <c r="E523" s="6" t="s">
        <v>2743</v>
      </c>
      <c r="F523" s="7" t="s">
        <v>125</v>
      </c>
      <c r="G523" s="10"/>
      <c r="H523" s="7" t="s">
        <v>93</v>
      </c>
      <c r="I523" s="7"/>
      <c r="J523" s="10"/>
      <c r="K523" s="6" t="s">
        <v>90</v>
      </c>
      <c r="L523" s="7"/>
      <c r="M523" s="14"/>
      <c r="N523" s="7" t="s">
        <v>93</v>
      </c>
      <c r="O523" s="10"/>
      <c r="P523" s="7" t="s">
        <v>90</v>
      </c>
      <c r="Q523" s="15">
        <f>IF(P523="oui",MIN(Parametres!$B$4,MAX(Parametres!$B$3,IF(M523="",Parametres!$B$3,ROUND(M523*10%,0)))),"")</f>
        <v>0</v>
      </c>
      <c r="R523" s="7" t="s">
        <v>134</v>
      </c>
      <c r="S523" s="7" t="s">
        <v>90</v>
      </c>
      <c r="T523" s="15">
        <f>IF(S523="oui",Parametres!$B$5,"")</f>
        <v>500</v>
      </c>
      <c r="U523" s="7" t="s">
        <v>134</v>
      </c>
      <c r="V523" s="15">
        <f t="shared" si="32"/>
        <v>500</v>
      </c>
      <c r="W523" s="15" t="str">
        <f t="shared" si="33"/>
        <v/>
      </c>
      <c r="X523" s="6" t="s">
        <v>90</v>
      </c>
      <c r="Y523" s="7" t="s">
        <v>133</v>
      </c>
      <c r="Z523" s="10"/>
      <c r="AA523" s="6" t="s">
        <v>93</v>
      </c>
      <c r="AB523" s="7" t="s">
        <v>160</v>
      </c>
      <c r="AC523" s="10"/>
      <c r="AD523" s="9" t="str">
        <f t="shared" si="34"/>
        <v>oui</v>
      </c>
      <c r="AE523" s="9" t="str">
        <f t="shared" si="35"/>
        <v>TAE manquant</v>
      </c>
      <c r="AF523" s="7"/>
      <c r="AG523" s="10"/>
      <c r="AH523" s="10"/>
      <c r="AI523" s="7" t="s">
        <v>160</v>
      </c>
      <c r="AJ523" s="10"/>
      <c r="AK523" s="10"/>
      <c r="AL523" s="10"/>
      <c r="AM523" s="11" t="s">
        <v>131</v>
      </c>
      <c r="AN523" s="11" t="s">
        <v>131</v>
      </c>
      <c r="AO523" s="11" t="s">
        <v>131</v>
      </c>
      <c r="AP523" s="11" t="s">
        <v>131</v>
      </c>
      <c r="AQ523" s="11"/>
      <c r="AR523" s="7"/>
    </row>
    <row r="524" spans="1:44" ht="14.4" x14ac:dyDescent="0.3">
      <c r="A524" s="6" t="s">
        <v>262</v>
      </c>
      <c r="B524" s="6" t="s">
        <v>2705</v>
      </c>
      <c r="C524" s="6" t="s">
        <v>2748</v>
      </c>
      <c r="D524" s="6" t="s">
        <v>2707</v>
      </c>
      <c r="E524" s="6" t="s">
        <v>2749</v>
      </c>
      <c r="F524" s="7" t="s">
        <v>125</v>
      </c>
      <c r="G524" s="10"/>
      <c r="H524" s="7" t="s">
        <v>93</v>
      </c>
      <c r="I524" s="7"/>
      <c r="J524" s="10"/>
      <c r="K524" s="6" t="s">
        <v>90</v>
      </c>
      <c r="L524" s="7"/>
      <c r="M524" s="14"/>
      <c r="N524" s="7" t="s">
        <v>93</v>
      </c>
      <c r="O524" s="10"/>
      <c r="P524" s="7" t="s">
        <v>90</v>
      </c>
      <c r="Q524" s="15">
        <f>IF(P524="oui",MIN(Parametres!$B$4,MAX(Parametres!$B$3,IF(M524="",Parametres!$B$3,ROUND(M524*10%,0)))),"")</f>
        <v>0</v>
      </c>
      <c r="R524" s="7" t="s">
        <v>134</v>
      </c>
      <c r="S524" s="7" t="s">
        <v>90</v>
      </c>
      <c r="T524" s="15">
        <f>IF(S524="oui",Parametres!$B$5,"")</f>
        <v>500</v>
      </c>
      <c r="U524" s="7" t="s">
        <v>134</v>
      </c>
      <c r="V524" s="15">
        <f t="shared" si="32"/>
        <v>500</v>
      </c>
      <c r="W524" s="15" t="str">
        <f t="shared" si="33"/>
        <v/>
      </c>
      <c r="X524" s="6" t="s">
        <v>90</v>
      </c>
      <c r="Y524" s="7" t="s">
        <v>133</v>
      </c>
      <c r="Z524" s="10"/>
      <c r="AA524" s="6" t="s">
        <v>93</v>
      </c>
      <c r="AB524" s="7" t="s">
        <v>160</v>
      </c>
      <c r="AC524" s="10"/>
      <c r="AD524" s="9" t="str">
        <f t="shared" si="34"/>
        <v>oui</v>
      </c>
      <c r="AE524" s="9" t="str">
        <f t="shared" si="35"/>
        <v>TAE manquant</v>
      </c>
      <c r="AF524" s="7"/>
      <c r="AG524" s="10"/>
      <c r="AH524" s="10"/>
      <c r="AI524" s="7" t="s">
        <v>160</v>
      </c>
      <c r="AJ524" s="10"/>
      <c r="AK524" s="10"/>
      <c r="AL524" s="10"/>
      <c r="AM524" s="11" t="s">
        <v>131</v>
      </c>
      <c r="AN524" s="11" t="s">
        <v>131</v>
      </c>
      <c r="AO524" s="11" t="s">
        <v>131</v>
      </c>
      <c r="AP524" s="11" t="s">
        <v>131</v>
      </c>
      <c r="AQ524" s="11"/>
      <c r="AR524" s="7"/>
    </row>
    <row r="525" spans="1:44" ht="14.4" x14ac:dyDescent="0.3">
      <c r="A525" s="6" t="s">
        <v>262</v>
      </c>
      <c r="B525" s="6" t="s">
        <v>2705</v>
      </c>
      <c r="C525" s="6" t="s">
        <v>2752</v>
      </c>
      <c r="D525" s="6" t="s">
        <v>2707</v>
      </c>
      <c r="E525" s="6" t="s">
        <v>2753</v>
      </c>
      <c r="F525" s="7" t="s">
        <v>125</v>
      </c>
      <c r="G525" s="10"/>
      <c r="H525" s="7" t="s">
        <v>93</v>
      </c>
      <c r="I525" s="7"/>
      <c r="J525" s="10"/>
      <c r="K525" s="6" t="s">
        <v>90</v>
      </c>
      <c r="L525" s="7"/>
      <c r="M525" s="14"/>
      <c r="N525" s="7" t="s">
        <v>93</v>
      </c>
      <c r="O525" s="10"/>
      <c r="P525" s="7" t="s">
        <v>90</v>
      </c>
      <c r="Q525" s="15">
        <f>IF(P525="oui",MIN(Parametres!$B$4,MAX(Parametres!$B$3,IF(M525="",Parametres!$B$3,ROUND(M525*10%,0)))),"")</f>
        <v>0</v>
      </c>
      <c r="R525" s="7" t="s">
        <v>134</v>
      </c>
      <c r="S525" s="7" t="s">
        <v>90</v>
      </c>
      <c r="T525" s="15">
        <f>IF(S525="oui",Parametres!$B$5,"")</f>
        <v>500</v>
      </c>
      <c r="U525" s="7" t="s">
        <v>134</v>
      </c>
      <c r="V525" s="15">
        <f t="shared" si="32"/>
        <v>500</v>
      </c>
      <c r="W525" s="15" t="str">
        <f t="shared" si="33"/>
        <v/>
      </c>
      <c r="X525" s="6" t="s">
        <v>90</v>
      </c>
      <c r="Y525" s="7" t="s">
        <v>133</v>
      </c>
      <c r="Z525" s="10"/>
      <c r="AA525" s="6" t="s">
        <v>93</v>
      </c>
      <c r="AB525" s="7" t="s">
        <v>160</v>
      </c>
      <c r="AC525" s="10"/>
      <c r="AD525" s="9" t="str">
        <f t="shared" si="34"/>
        <v>oui</v>
      </c>
      <c r="AE525" s="9" t="str">
        <f t="shared" si="35"/>
        <v>TAE manquant</v>
      </c>
      <c r="AF525" s="7"/>
      <c r="AG525" s="10"/>
      <c r="AH525" s="10"/>
      <c r="AI525" s="7" t="s">
        <v>160</v>
      </c>
      <c r="AJ525" s="10"/>
      <c r="AK525" s="10"/>
      <c r="AL525" s="10"/>
      <c r="AM525" s="11" t="s">
        <v>131</v>
      </c>
      <c r="AN525" s="11" t="s">
        <v>131</v>
      </c>
      <c r="AO525" s="11" t="s">
        <v>131</v>
      </c>
      <c r="AP525" s="11" t="s">
        <v>131</v>
      </c>
      <c r="AQ525" s="11"/>
      <c r="AR525" s="7"/>
    </row>
    <row r="526" spans="1:44" ht="14.4" x14ac:dyDescent="0.3">
      <c r="A526" s="6" t="s">
        <v>262</v>
      </c>
      <c r="B526" s="6" t="s">
        <v>2705</v>
      </c>
      <c r="C526" s="6" t="s">
        <v>2755</v>
      </c>
      <c r="D526" s="6" t="s">
        <v>2707</v>
      </c>
      <c r="E526" s="6" t="s">
        <v>2756</v>
      </c>
      <c r="F526" s="7" t="s">
        <v>125</v>
      </c>
      <c r="G526" s="10"/>
      <c r="H526" s="7" t="s">
        <v>93</v>
      </c>
      <c r="I526" s="7"/>
      <c r="J526" s="10"/>
      <c r="K526" s="6" t="s">
        <v>90</v>
      </c>
      <c r="L526" s="7"/>
      <c r="M526" s="14"/>
      <c r="N526" s="7" t="s">
        <v>93</v>
      </c>
      <c r="O526" s="10"/>
      <c r="P526" s="7" t="s">
        <v>90</v>
      </c>
      <c r="Q526" s="15">
        <f>IF(P526="oui",MIN(Parametres!$B$4,MAX(Parametres!$B$3,IF(M526="",Parametres!$B$3,ROUND(M526*10%,0)))),"")</f>
        <v>0</v>
      </c>
      <c r="R526" s="7" t="s">
        <v>134</v>
      </c>
      <c r="S526" s="7" t="s">
        <v>90</v>
      </c>
      <c r="T526" s="15">
        <f>IF(S526="oui",Parametres!$B$5,"")</f>
        <v>500</v>
      </c>
      <c r="U526" s="7" t="s">
        <v>134</v>
      </c>
      <c r="V526" s="15">
        <f t="shared" si="32"/>
        <v>500</v>
      </c>
      <c r="W526" s="15" t="str">
        <f t="shared" si="33"/>
        <v/>
      </c>
      <c r="X526" s="6" t="s">
        <v>90</v>
      </c>
      <c r="Y526" s="7" t="s">
        <v>133</v>
      </c>
      <c r="Z526" s="10"/>
      <c r="AA526" s="6" t="s">
        <v>93</v>
      </c>
      <c r="AB526" s="7" t="s">
        <v>160</v>
      </c>
      <c r="AC526" s="10"/>
      <c r="AD526" s="9" t="str">
        <f t="shared" si="34"/>
        <v>oui</v>
      </c>
      <c r="AE526" s="9" t="str">
        <f t="shared" si="35"/>
        <v>TAE manquant</v>
      </c>
      <c r="AF526" s="7"/>
      <c r="AG526" s="10"/>
      <c r="AH526" s="10"/>
      <c r="AI526" s="7" t="s">
        <v>160</v>
      </c>
      <c r="AJ526" s="10"/>
      <c r="AK526" s="10"/>
      <c r="AL526" s="10"/>
      <c r="AM526" s="11" t="s">
        <v>131</v>
      </c>
      <c r="AN526" s="11" t="s">
        <v>131</v>
      </c>
      <c r="AO526" s="11" t="s">
        <v>131</v>
      </c>
      <c r="AP526" s="11" t="s">
        <v>131</v>
      </c>
      <c r="AQ526" s="11"/>
      <c r="AR526" s="7"/>
    </row>
    <row r="527" spans="1:44" ht="14.4" x14ac:dyDescent="0.3">
      <c r="A527" s="6" t="s">
        <v>262</v>
      </c>
      <c r="B527" s="6" t="s">
        <v>2705</v>
      </c>
      <c r="C527" s="6" t="s">
        <v>2758</v>
      </c>
      <c r="D527" s="6" t="s">
        <v>2707</v>
      </c>
      <c r="E527" s="6" t="s">
        <v>2759</v>
      </c>
      <c r="F527" s="7" t="s">
        <v>125</v>
      </c>
      <c r="G527" s="10"/>
      <c r="H527" s="7" t="s">
        <v>93</v>
      </c>
      <c r="I527" s="7"/>
      <c r="J527" s="10"/>
      <c r="K527" s="6" t="s">
        <v>90</v>
      </c>
      <c r="L527" s="7"/>
      <c r="M527" s="14"/>
      <c r="N527" s="7" t="s">
        <v>93</v>
      </c>
      <c r="O527" s="10"/>
      <c r="P527" s="7" t="s">
        <v>90</v>
      </c>
      <c r="Q527" s="15">
        <f>IF(P527="oui",MIN(Parametres!$B$4,MAX(Parametres!$B$3,IF(M527="",Parametres!$B$3,ROUND(M527*10%,0)))),"")</f>
        <v>0</v>
      </c>
      <c r="R527" s="7" t="s">
        <v>134</v>
      </c>
      <c r="S527" s="7" t="s">
        <v>90</v>
      </c>
      <c r="T527" s="15">
        <f>IF(S527="oui",Parametres!$B$5,"")</f>
        <v>500</v>
      </c>
      <c r="U527" s="7" t="s">
        <v>134</v>
      </c>
      <c r="V527" s="15">
        <f t="shared" si="32"/>
        <v>500</v>
      </c>
      <c r="W527" s="15" t="str">
        <f t="shared" si="33"/>
        <v/>
      </c>
      <c r="X527" s="6" t="s">
        <v>90</v>
      </c>
      <c r="Y527" s="7" t="s">
        <v>133</v>
      </c>
      <c r="Z527" s="10"/>
      <c r="AA527" s="6" t="s">
        <v>93</v>
      </c>
      <c r="AB527" s="7" t="s">
        <v>160</v>
      </c>
      <c r="AC527" s="10"/>
      <c r="AD527" s="9" t="str">
        <f t="shared" si="34"/>
        <v>oui</v>
      </c>
      <c r="AE527" s="9" t="str">
        <f t="shared" si="35"/>
        <v>TAE manquant</v>
      </c>
      <c r="AF527" s="7"/>
      <c r="AG527" s="10"/>
      <c r="AH527" s="10"/>
      <c r="AI527" s="7" t="s">
        <v>160</v>
      </c>
      <c r="AJ527" s="10"/>
      <c r="AK527" s="10"/>
      <c r="AL527" s="10"/>
      <c r="AM527" s="11" t="s">
        <v>131</v>
      </c>
      <c r="AN527" s="11" t="s">
        <v>131</v>
      </c>
      <c r="AO527" s="11" t="s">
        <v>131</v>
      </c>
      <c r="AP527" s="11" t="s">
        <v>131</v>
      </c>
      <c r="AQ527" s="11"/>
      <c r="AR527" s="7"/>
    </row>
    <row r="528" spans="1:44" ht="14.4" x14ac:dyDescent="0.3">
      <c r="A528" s="6" t="s">
        <v>262</v>
      </c>
      <c r="B528" s="6" t="s">
        <v>2705</v>
      </c>
      <c r="C528" s="6" t="s">
        <v>2763</v>
      </c>
      <c r="D528" s="6" t="s">
        <v>2707</v>
      </c>
      <c r="E528" s="6" t="s">
        <v>2764</v>
      </c>
      <c r="F528" s="7" t="s">
        <v>125</v>
      </c>
      <c r="G528" s="10"/>
      <c r="H528" s="7" t="s">
        <v>93</v>
      </c>
      <c r="I528" s="7"/>
      <c r="J528" s="10"/>
      <c r="K528" s="6" t="s">
        <v>90</v>
      </c>
      <c r="L528" s="7"/>
      <c r="M528" s="14"/>
      <c r="N528" s="7" t="s">
        <v>93</v>
      </c>
      <c r="O528" s="10"/>
      <c r="P528" s="7" t="s">
        <v>90</v>
      </c>
      <c r="Q528" s="15">
        <f>IF(P528="oui",MIN(Parametres!$B$4,MAX(Parametres!$B$3,IF(M528="",Parametres!$B$3,ROUND(M528*10%,0)))),"")</f>
        <v>0</v>
      </c>
      <c r="R528" s="7" t="s">
        <v>134</v>
      </c>
      <c r="S528" s="7" t="s">
        <v>90</v>
      </c>
      <c r="T528" s="15">
        <f>IF(S528="oui",Parametres!$B$5,"")</f>
        <v>500</v>
      </c>
      <c r="U528" s="7" t="s">
        <v>134</v>
      </c>
      <c r="V528" s="15">
        <f t="shared" si="32"/>
        <v>500</v>
      </c>
      <c r="W528" s="15" t="str">
        <f t="shared" si="33"/>
        <v/>
      </c>
      <c r="X528" s="6" t="s">
        <v>90</v>
      </c>
      <c r="Y528" s="7" t="s">
        <v>133</v>
      </c>
      <c r="Z528" s="10"/>
      <c r="AA528" s="6" t="s">
        <v>93</v>
      </c>
      <c r="AB528" s="7" t="s">
        <v>160</v>
      </c>
      <c r="AC528" s="10"/>
      <c r="AD528" s="9" t="str">
        <f t="shared" si="34"/>
        <v>oui</v>
      </c>
      <c r="AE528" s="9" t="str">
        <f t="shared" si="35"/>
        <v>TAE manquant</v>
      </c>
      <c r="AF528" s="7"/>
      <c r="AG528" s="10"/>
      <c r="AH528" s="10"/>
      <c r="AI528" s="7" t="s">
        <v>160</v>
      </c>
      <c r="AJ528" s="10"/>
      <c r="AK528" s="10"/>
      <c r="AL528" s="10"/>
      <c r="AM528" s="11" t="s">
        <v>131</v>
      </c>
      <c r="AN528" s="11" t="s">
        <v>131</v>
      </c>
      <c r="AO528" s="11" t="s">
        <v>131</v>
      </c>
      <c r="AP528" s="11" t="s">
        <v>131</v>
      </c>
      <c r="AQ528" s="11"/>
      <c r="AR528" s="7"/>
    </row>
    <row r="529" spans="1:44" ht="14.4" x14ac:dyDescent="0.3">
      <c r="A529" s="6" t="s">
        <v>262</v>
      </c>
      <c r="B529" s="6" t="s">
        <v>2705</v>
      </c>
      <c r="C529" s="6" t="s">
        <v>2767</v>
      </c>
      <c r="D529" s="6" t="s">
        <v>2707</v>
      </c>
      <c r="E529" s="6" t="s">
        <v>2768</v>
      </c>
      <c r="F529" s="7" t="s">
        <v>125</v>
      </c>
      <c r="G529" s="10"/>
      <c r="H529" s="7" t="s">
        <v>93</v>
      </c>
      <c r="I529" s="7"/>
      <c r="J529" s="10"/>
      <c r="K529" s="6" t="s">
        <v>90</v>
      </c>
      <c r="L529" s="7"/>
      <c r="M529" s="14"/>
      <c r="N529" s="7" t="s">
        <v>93</v>
      </c>
      <c r="O529" s="10"/>
      <c r="P529" s="7" t="s">
        <v>90</v>
      </c>
      <c r="Q529" s="15">
        <f>IF(P529="oui",MIN(Parametres!$B$4,MAX(Parametres!$B$3,IF(M529="",Parametres!$B$3,ROUND(M529*10%,0)))),"")</f>
        <v>0</v>
      </c>
      <c r="R529" s="7" t="s">
        <v>134</v>
      </c>
      <c r="S529" s="7" t="s">
        <v>90</v>
      </c>
      <c r="T529" s="15">
        <f>IF(S529="oui",Parametres!$B$5,"")</f>
        <v>500</v>
      </c>
      <c r="U529" s="7" t="s">
        <v>134</v>
      </c>
      <c r="V529" s="15">
        <f t="shared" si="32"/>
        <v>500</v>
      </c>
      <c r="W529" s="15" t="str">
        <f t="shared" si="33"/>
        <v/>
      </c>
      <c r="X529" s="6" t="s">
        <v>90</v>
      </c>
      <c r="Y529" s="7" t="s">
        <v>133</v>
      </c>
      <c r="Z529" s="10"/>
      <c r="AA529" s="6" t="s">
        <v>93</v>
      </c>
      <c r="AB529" s="7" t="s">
        <v>160</v>
      </c>
      <c r="AC529" s="10"/>
      <c r="AD529" s="9" t="str">
        <f t="shared" si="34"/>
        <v>oui</v>
      </c>
      <c r="AE529" s="9" t="str">
        <f t="shared" si="35"/>
        <v>TAE manquant</v>
      </c>
      <c r="AF529" s="7"/>
      <c r="AG529" s="10"/>
      <c r="AH529" s="10"/>
      <c r="AI529" s="7" t="s">
        <v>160</v>
      </c>
      <c r="AJ529" s="10"/>
      <c r="AK529" s="10"/>
      <c r="AL529" s="10"/>
      <c r="AM529" s="11" t="s">
        <v>131</v>
      </c>
      <c r="AN529" s="11" t="s">
        <v>131</v>
      </c>
      <c r="AO529" s="11" t="s">
        <v>131</v>
      </c>
      <c r="AP529" s="11" t="s">
        <v>131</v>
      </c>
      <c r="AQ529" s="11"/>
      <c r="AR529" s="7"/>
    </row>
  </sheetData>
  <autoFilter ref="A1:AR529" xr:uid="{00000000-0009-0000-0000-000007000000}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error="Valeur non autorisée" prompt="Choisir dans la liste" xr:uid="{00000000-0002-0000-0700-000000000000}">
          <x14:formula1>
            <xm:f>Referentiels!$I$4:$I$7</xm:f>
          </x14:formula1>
          <x14:formula2>
            <xm:f>0</xm:f>
          </x14:formula2>
          <xm:sqref>F2:F529</xm:sqref>
        </x14:dataValidation>
        <x14:dataValidation type="list" allowBlank="1" error="Valeur non autorisée" prompt="Choisir dans la liste" xr:uid="{00000000-0002-0000-0700-000001000000}">
          <x14:formula1>
            <xm:f>Referentiels!$A$4:$A$5</xm:f>
          </x14:formula1>
          <x14:formula2>
            <xm:f>0</xm:f>
          </x14:formula2>
          <xm:sqref>H2:I529 AD2:AD529 AA2:AA529 X2:X529 S2:S529 P2:P529 N2:N529</xm:sqref>
        </x14:dataValidation>
        <x14:dataValidation type="list" allowBlank="1" error="Valeur non autorisée" prompt="Choisir dans la liste" xr:uid="{00000000-0002-0000-0700-000002000000}">
          <x14:formula1>
            <xm:f>Referentiels!$AM$4:$AM$5</xm:f>
          </x14:formula1>
          <x14:formula2>
            <xm:f>0</xm:f>
          </x14:formula2>
          <xm:sqref>K2:K529</xm:sqref>
        </x14:dataValidation>
        <x14:dataValidation type="list" allowBlank="1" error="Valeur non autorisée" prompt="Choisir dans la liste" xr:uid="{00000000-0002-0000-0700-000003000000}">
          <x14:formula1>
            <xm:f>Referentiels!$W$4:$W$9</xm:f>
          </x14:formula1>
          <x14:formula2>
            <xm:f>0</xm:f>
          </x14:formula2>
          <xm:sqref>L2:L529</xm:sqref>
        </x14:dataValidation>
        <x14:dataValidation type="list" allowBlank="1" error="Valeur non autorisée" prompt="Choisir dans la liste" xr:uid="{00000000-0002-0000-0700-000006000000}">
          <x14:formula1>
            <xm:f>Referentiels!$AA$4:$AA$7</xm:f>
          </x14:formula1>
          <x14:formula2>
            <xm:f>0</xm:f>
          </x14:formula2>
          <xm:sqref>R2:R529 U2:U529</xm:sqref>
        </x14:dataValidation>
        <x14:dataValidation type="list" allowBlank="1" error="Valeur non autorisée" prompt="Choisir dans la liste" xr:uid="{00000000-0002-0000-0700-00000A000000}">
          <x14:formula1>
            <xm:f>Referentiels!$Y$4:$Y$6</xm:f>
          </x14:formula1>
          <x14:formula2>
            <xm:f>0</xm:f>
          </x14:formula2>
          <xm:sqref>Y2:Y529 AB2:AB529</xm:sqref>
        </x14:dataValidation>
        <x14:dataValidation type="list" allowBlank="1" error="Valeur non autorisée" prompt="Choisir dans la liste" xr:uid="{00000000-0002-0000-0700-00000E000000}">
          <x14:formula1>
            <xm:f>Referentiels!$AC$4:$AC$7</xm:f>
          </x14:formula1>
          <x14:formula2>
            <xm:f>0</xm:f>
          </x14:formula2>
          <xm:sqref>AI2:AI529</xm:sqref>
        </x14:dataValidation>
        <x14:dataValidation type="list" allowBlank="1" error="Valeur non autorisée" prompt="Choisir dans la liste" xr:uid="{00000000-0002-0000-0700-00000F000000}">
          <x14:formula1>
            <xm:f>Referentiels!$U$4:$U$6</xm:f>
          </x14:formula1>
          <x14:formula2>
            <xm:f>0</xm:f>
          </x14:formula2>
          <xm:sqref>AM2:AP529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251"/>
  <sheetViews>
    <sheetView zoomScaleNormal="100" workbookViewId="0">
      <pane ySplit="1" topLeftCell="A2" activePane="bottomLeft" state="frozen"/>
      <selection pane="bottomLeft" activeCell="C1" sqref="C1:C1048576"/>
    </sheetView>
  </sheetViews>
  <sheetFormatPr baseColWidth="10" defaultColWidth="8.6640625" defaultRowHeight="15" customHeight="1" x14ac:dyDescent="0.3"/>
  <cols>
    <col min="1" max="1" width="10" customWidth="1"/>
    <col min="2" max="2" width="12" customWidth="1"/>
    <col min="3" max="3" width="14" customWidth="1"/>
    <col min="4" max="4" width="18" customWidth="1"/>
    <col min="5" max="5" width="28" customWidth="1"/>
    <col min="6" max="6" width="18.33203125" customWidth="1"/>
    <col min="7" max="8" width="17" customWidth="1"/>
    <col min="9" max="9" width="20.44140625" customWidth="1"/>
    <col min="10" max="10" width="24" customWidth="1"/>
    <col min="11" max="11" width="16" customWidth="1"/>
    <col min="12" max="12" width="14" customWidth="1"/>
    <col min="13" max="14" width="16" customWidth="1"/>
    <col min="15" max="15" width="18" customWidth="1"/>
    <col min="16" max="16" width="16" customWidth="1"/>
    <col min="17" max="17" width="24" customWidth="1"/>
    <col min="18" max="18" width="12" customWidth="1"/>
    <col min="19" max="19" width="23.77734375" customWidth="1"/>
    <col min="20" max="20" width="20.33203125" customWidth="1"/>
    <col min="21" max="21" width="22.109375" customWidth="1"/>
    <col min="22" max="22" width="22.33203125" customWidth="1"/>
    <col min="23" max="23" width="27.44140625" customWidth="1"/>
    <col min="24" max="27" width="14" customWidth="1"/>
    <col min="28" max="28" width="23.33203125" customWidth="1"/>
    <col min="29" max="29" width="25.33203125" customWidth="1"/>
    <col min="30" max="30" width="29.5546875" customWidth="1"/>
    <col min="31" max="31" width="24.6640625" customWidth="1"/>
    <col min="32" max="32" width="23.5546875" customWidth="1"/>
    <col min="33" max="33" width="24.88671875" customWidth="1"/>
    <col min="34" max="34" width="24.6640625" customWidth="1"/>
    <col min="35" max="35" width="23.44140625" customWidth="1"/>
    <col min="36" max="37" width="24" customWidth="1"/>
    <col min="38" max="38" width="12" customWidth="1"/>
  </cols>
  <sheetData>
    <row r="1" spans="1:38" ht="27.75" customHeight="1" x14ac:dyDescent="0.3">
      <c r="A1" s="3" t="s">
        <v>183</v>
      </c>
      <c r="B1" s="3" t="s">
        <v>184</v>
      </c>
      <c r="C1" s="3" t="s">
        <v>5060</v>
      </c>
      <c r="D1" s="3" t="s">
        <v>186</v>
      </c>
      <c r="E1" s="3" t="s">
        <v>4443</v>
      </c>
      <c r="F1" s="3" t="s">
        <v>5069</v>
      </c>
      <c r="G1" s="3" t="s">
        <v>4385</v>
      </c>
      <c r="H1" s="3" t="s">
        <v>4444</v>
      </c>
      <c r="I1" s="3" t="s">
        <v>5070</v>
      </c>
      <c r="J1" s="3" t="s">
        <v>4410</v>
      </c>
      <c r="K1" s="3" t="s">
        <v>4411</v>
      </c>
      <c r="L1" s="3" t="s">
        <v>4387</v>
      </c>
      <c r="M1" s="3" t="s">
        <v>4388</v>
      </c>
      <c r="N1" s="3" t="s">
        <v>4412</v>
      </c>
      <c r="O1" s="3" t="s">
        <v>4413</v>
      </c>
      <c r="P1" s="3" t="s">
        <v>4414</v>
      </c>
      <c r="Q1" s="3" t="s">
        <v>4415</v>
      </c>
      <c r="R1" s="3" t="s">
        <v>159</v>
      </c>
      <c r="S1" s="3" t="s">
        <v>4416</v>
      </c>
      <c r="T1" s="3" t="s">
        <v>4417</v>
      </c>
      <c r="U1" s="3" t="s">
        <v>4418</v>
      </c>
      <c r="V1" s="3" t="s">
        <v>4419</v>
      </c>
      <c r="W1" s="3" t="s">
        <v>155</v>
      </c>
      <c r="X1" s="3" t="s">
        <v>4524</v>
      </c>
      <c r="Y1" s="3" t="s">
        <v>4420</v>
      </c>
      <c r="Z1" s="3" t="s">
        <v>4421</v>
      </c>
      <c r="AA1" s="3" t="s">
        <v>4422</v>
      </c>
      <c r="AB1" s="3" t="s">
        <v>4500</v>
      </c>
      <c r="AC1" s="3" t="s">
        <v>4406</v>
      </c>
      <c r="AD1" s="3" t="s">
        <v>4423</v>
      </c>
      <c r="AE1" s="3" t="s">
        <v>4424</v>
      </c>
      <c r="AF1" s="3" t="s">
        <v>4425</v>
      </c>
      <c r="AG1" s="3" t="s">
        <v>4426</v>
      </c>
      <c r="AH1" s="3" t="s">
        <v>4427</v>
      </c>
      <c r="AI1" s="3" t="s">
        <v>4381</v>
      </c>
      <c r="AJ1" s="3" t="s">
        <v>4428</v>
      </c>
      <c r="AK1" s="3" t="s">
        <v>4429</v>
      </c>
      <c r="AL1" s="3" t="s">
        <v>4383</v>
      </c>
    </row>
    <row r="2" spans="1:38" ht="21.75" customHeight="1" x14ac:dyDescent="0.3">
      <c r="A2" s="7"/>
      <c r="B2" s="7"/>
      <c r="C2" s="7"/>
      <c r="D2" s="7"/>
      <c r="E2" s="7"/>
      <c r="F2" s="7"/>
      <c r="G2" s="10"/>
      <c r="H2" s="10"/>
      <c r="I2" s="7"/>
      <c r="J2" s="7"/>
      <c r="K2" s="7"/>
      <c r="L2" s="7"/>
      <c r="M2" s="10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10"/>
      <c r="Z2" s="10"/>
      <c r="AA2" s="10"/>
      <c r="AB2" s="14"/>
      <c r="AC2" s="11"/>
      <c r="AD2" s="11"/>
      <c r="AE2" s="11"/>
      <c r="AF2" s="11"/>
      <c r="AG2" s="12"/>
      <c r="AH2" s="12"/>
      <c r="AI2" s="11"/>
      <c r="AJ2" s="9" t="str">
        <f t="shared" ref="AJ2:AJ65" si="0">IF(OR(G2="",M2=""),"",M2-G2)</f>
        <v/>
      </c>
      <c r="AK2" s="9" t="str">
        <f t="shared" ref="AK2:AK65" si="1">IF(OR(M2="",AA2=""),"",AA2-M2)</f>
        <v/>
      </c>
      <c r="AL2" s="7"/>
    </row>
    <row r="3" spans="1:38" ht="21.75" customHeight="1" x14ac:dyDescent="0.3">
      <c r="A3" s="7"/>
      <c r="B3" s="7"/>
      <c r="C3" s="7"/>
      <c r="D3" s="7"/>
      <c r="E3" s="7"/>
      <c r="F3" s="7"/>
      <c r="G3" s="10"/>
      <c r="H3" s="10"/>
      <c r="I3" s="7"/>
      <c r="J3" s="7"/>
      <c r="K3" s="7"/>
      <c r="L3" s="7"/>
      <c r="M3" s="10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10"/>
      <c r="Z3" s="10"/>
      <c r="AA3" s="10"/>
      <c r="AB3" s="14"/>
      <c r="AC3" s="11"/>
      <c r="AD3" s="11"/>
      <c r="AE3" s="11"/>
      <c r="AF3" s="11"/>
      <c r="AG3" s="12"/>
      <c r="AH3" s="12"/>
      <c r="AI3" s="11"/>
      <c r="AJ3" s="9" t="str">
        <f t="shared" si="0"/>
        <v/>
      </c>
      <c r="AK3" s="9" t="str">
        <f t="shared" si="1"/>
        <v/>
      </c>
      <c r="AL3" s="7"/>
    </row>
    <row r="4" spans="1:38" ht="21.75" customHeight="1" x14ac:dyDescent="0.3">
      <c r="A4" s="7"/>
      <c r="B4" s="7"/>
      <c r="C4" s="7"/>
      <c r="D4" s="7"/>
      <c r="E4" s="7"/>
      <c r="F4" s="7"/>
      <c r="G4" s="10"/>
      <c r="H4" s="10"/>
      <c r="I4" s="7"/>
      <c r="J4" s="7"/>
      <c r="K4" s="7"/>
      <c r="L4" s="7"/>
      <c r="M4" s="10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10"/>
      <c r="Z4" s="10"/>
      <c r="AA4" s="10"/>
      <c r="AB4" s="14"/>
      <c r="AC4" s="11"/>
      <c r="AD4" s="11"/>
      <c r="AE4" s="11"/>
      <c r="AF4" s="11"/>
      <c r="AG4" s="12"/>
      <c r="AH4" s="12"/>
      <c r="AI4" s="11"/>
      <c r="AJ4" s="9" t="str">
        <f t="shared" si="0"/>
        <v/>
      </c>
      <c r="AK4" s="9" t="str">
        <f t="shared" si="1"/>
        <v/>
      </c>
      <c r="AL4" s="7"/>
    </row>
    <row r="5" spans="1:38" ht="21.75" customHeight="1" x14ac:dyDescent="0.3">
      <c r="A5" s="7"/>
      <c r="B5" s="7"/>
      <c r="C5" s="7"/>
      <c r="D5" s="7"/>
      <c r="E5" s="7"/>
      <c r="F5" s="7"/>
      <c r="G5" s="10"/>
      <c r="H5" s="10"/>
      <c r="I5" s="7"/>
      <c r="J5" s="7"/>
      <c r="K5" s="7"/>
      <c r="L5" s="7"/>
      <c r="M5" s="10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10"/>
      <c r="Z5" s="10"/>
      <c r="AA5" s="10"/>
      <c r="AB5" s="14"/>
      <c r="AC5" s="11"/>
      <c r="AD5" s="11"/>
      <c r="AE5" s="11"/>
      <c r="AF5" s="11"/>
      <c r="AG5" s="12"/>
      <c r="AH5" s="12"/>
      <c r="AI5" s="11"/>
      <c r="AJ5" s="9" t="str">
        <f t="shared" si="0"/>
        <v/>
      </c>
      <c r="AK5" s="9" t="str">
        <f t="shared" si="1"/>
        <v/>
      </c>
      <c r="AL5" s="7"/>
    </row>
    <row r="6" spans="1:38" ht="21.75" customHeight="1" x14ac:dyDescent="0.3">
      <c r="A6" s="7"/>
      <c r="B6" s="7"/>
      <c r="C6" s="7"/>
      <c r="D6" s="7"/>
      <c r="E6" s="7"/>
      <c r="F6" s="7"/>
      <c r="G6" s="10"/>
      <c r="H6" s="10"/>
      <c r="I6" s="7"/>
      <c r="J6" s="7"/>
      <c r="K6" s="7"/>
      <c r="L6" s="7"/>
      <c r="M6" s="10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10"/>
      <c r="Z6" s="10"/>
      <c r="AA6" s="10"/>
      <c r="AB6" s="14"/>
      <c r="AC6" s="11"/>
      <c r="AD6" s="11"/>
      <c r="AE6" s="11"/>
      <c r="AF6" s="11"/>
      <c r="AG6" s="12"/>
      <c r="AH6" s="12"/>
      <c r="AI6" s="11"/>
      <c r="AJ6" s="9" t="str">
        <f t="shared" si="0"/>
        <v/>
      </c>
      <c r="AK6" s="9" t="str">
        <f t="shared" si="1"/>
        <v/>
      </c>
      <c r="AL6" s="7"/>
    </row>
    <row r="7" spans="1:38" ht="21.75" customHeight="1" x14ac:dyDescent="0.3">
      <c r="A7" s="7"/>
      <c r="B7" s="7"/>
      <c r="C7" s="7"/>
      <c r="D7" s="7"/>
      <c r="E7" s="7"/>
      <c r="F7" s="7"/>
      <c r="G7" s="10"/>
      <c r="H7" s="10"/>
      <c r="I7" s="7"/>
      <c r="J7" s="7"/>
      <c r="K7" s="7"/>
      <c r="L7" s="7"/>
      <c r="M7" s="10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10"/>
      <c r="Z7" s="10"/>
      <c r="AA7" s="10"/>
      <c r="AB7" s="14"/>
      <c r="AC7" s="11"/>
      <c r="AD7" s="11"/>
      <c r="AE7" s="11"/>
      <c r="AF7" s="11"/>
      <c r="AG7" s="12"/>
      <c r="AH7" s="12"/>
      <c r="AI7" s="11"/>
      <c r="AJ7" s="9" t="str">
        <f t="shared" si="0"/>
        <v/>
      </c>
      <c r="AK7" s="9" t="str">
        <f t="shared" si="1"/>
        <v/>
      </c>
      <c r="AL7" s="7"/>
    </row>
    <row r="8" spans="1:38" ht="21.75" customHeight="1" x14ac:dyDescent="0.3">
      <c r="A8" s="7"/>
      <c r="B8" s="7"/>
      <c r="C8" s="7"/>
      <c r="D8" s="7"/>
      <c r="E8" s="7"/>
      <c r="F8" s="7"/>
      <c r="G8" s="10"/>
      <c r="H8" s="10"/>
      <c r="I8" s="7"/>
      <c r="J8" s="7"/>
      <c r="K8" s="7"/>
      <c r="L8" s="7"/>
      <c r="M8" s="10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10"/>
      <c r="Z8" s="10"/>
      <c r="AA8" s="10"/>
      <c r="AB8" s="14"/>
      <c r="AC8" s="11"/>
      <c r="AD8" s="11"/>
      <c r="AE8" s="11"/>
      <c r="AF8" s="11"/>
      <c r="AG8" s="12"/>
      <c r="AH8" s="12"/>
      <c r="AI8" s="11"/>
      <c r="AJ8" s="9" t="str">
        <f t="shared" si="0"/>
        <v/>
      </c>
      <c r="AK8" s="9" t="str">
        <f t="shared" si="1"/>
        <v/>
      </c>
      <c r="AL8" s="7"/>
    </row>
    <row r="9" spans="1:38" ht="21.75" customHeight="1" x14ac:dyDescent="0.3">
      <c r="A9" s="7"/>
      <c r="B9" s="7"/>
      <c r="C9" s="7"/>
      <c r="D9" s="7"/>
      <c r="E9" s="7"/>
      <c r="F9" s="7"/>
      <c r="G9" s="10"/>
      <c r="H9" s="10"/>
      <c r="I9" s="7"/>
      <c r="J9" s="7"/>
      <c r="K9" s="7"/>
      <c r="L9" s="7"/>
      <c r="M9" s="10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10"/>
      <c r="Z9" s="10"/>
      <c r="AA9" s="10"/>
      <c r="AB9" s="14"/>
      <c r="AC9" s="11"/>
      <c r="AD9" s="11"/>
      <c r="AE9" s="11"/>
      <c r="AF9" s="11"/>
      <c r="AG9" s="12"/>
      <c r="AH9" s="12"/>
      <c r="AI9" s="11"/>
      <c r="AJ9" s="9" t="str">
        <f t="shared" si="0"/>
        <v/>
      </c>
      <c r="AK9" s="9" t="str">
        <f t="shared" si="1"/>
        <v/>
      </c>
      <c r="AL9" s="7"/>
    </row>
    <row r="10" spans="1:38" ht="21.75" customHeight="1" x14ac:dyDescent="0.3">
      <c r="A10" s="7"/>
      <c r="B10" s="7"/>
      <c r="C10" s="7"/>
      <c r="D10" s="7"/>
      <c r="E10" s="7"/>
      <c r="F10" s="7"/>
      <c r="G10" s="10"/>
      <c r="H10" s="10"/>
      <c r="I10" s="7"/>
      <c r="J10" s="7"/>
      <c r="K10" s="7"/>
      <c r="L10" s="7"/>
      <c r="M10" s="10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10"/>
      <c r="Z10" s="10"/>
      <c r="AA10" s="10"/>
      <c r="AB10" s="14"/>
      <c r="AC10" s="11"/>
      <c r="AD10" s="11"/>
      <c r="AE10" s="11"/>
      <c r="AF10" s="11"/>
      <c r="AG10" s="12"/>
      <c r="AH10" s="12"/>
      <c r="AI10" s="11"/>
      <c r="AJ10" s="9" t="str">
        <f t="shared" si="0"/>
        <v/>
      </c>
      <c r="AK10" s="9" t="str">
        <f t="shared" si="1"/>
        <v/>
      </c>
      <c r="AL10" s="7"/>
    </row>
    <row r="11" spans="1:38" ht="21.75" customHeight="1" x14ac:dyDescent="0.3">
      <c r="A11" s="7"/>
      <c r="B11" s="7"/>
      <c r="C11" s="7"/>
      <c r="D11" s="7"/>
      <c r="E11" s="7"/>
      <c r="F11" s="7"/>
      <c r="G11" s="10"/>
      <c r="H11" s="10"/>
      <c r="I11" s="7"/>
      <c r="J11" s="7"/>
      <c r="K11" s="7"/>
      <c r="L11" s="7"/>
      <c r="M11" s="10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10"/>
      <c r="Z11" s="10"/>
      <c r="AA11" s="10"/>
      <c r="AB11" s="14"/>
      <c r="AC11" s="11"/>
      <c r="AD11" s="11"/>
      <c r="AE11" s="11"/>
      <c r="AF11" s="11"/>
      <c r="AG11" s="12"/>
      <c r="AH11" s="12"/>
      <c r="AI11" s="11"/>
      <c r="AJ11" s="9" t="str">
        <f t="shared" si="0"/>
        <v/>
      </c>
      <c r="AK11" s="9" t="str">
        <f t="shared" si="1"/>
        <v/>
      </c>
      <c r="AL11" s="7"/>
    </row>
    <row r="12" spans="1:38" ht="21.75" customHeight="1" x14ac:dyDescent="0.3">
      <c r="A12" s="7"/>
      <c r="B12" s="7"/>
      <c r="C12" s="7"/>
      <c r="D12" s="7"/>
      <c r="E12" s="7"/>
      <c r="F12" s="7"/>
      <c r="G12" s="10"/>
      <c r="H12" s="10"/>
      <c r="I12" s="7"/>
      <c r="J12" s="7"/>
      <c r="K12" s="7"/>
      <c r="L12" s="7"/>
      <c r="M12" s="10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10"/>
      <c r="Z12" s="10"/>
      <c r="AA12" s="10"/>
      <c r="AB12" s="14"/>
      <c r="AC12" s="11"/>
      <c r="AD12" s="11"/>
      <c r="AE12" s="11"/>
      <c r="AF12" s="11"/>
      <c r="AG12" s="12"/>
      <c r="AH12" s="12"/>
      <c r="AI12" s="11"/>
      <c r="AJ12" s="9" t="str">
        <f t="shared" si="0"/>
        <v/>
      </c>
      <c r="AK12" s="9" t="str">
        <f t="shared" si="1"/>
        <v/>
      </c>
      <c r="AL12" s="7"/>
    </row>
    <row r="13" spans="1:38" ht="21.75" customHeight="1" x14ac:dyDescent="0.3">
      <c r="A13" s="7"/>
      <c r="B13" s="7"/>
      <c r="C13" s="7"/>
      <c r="D13" s="7"/>
      <c r="E13" s="7"/>
      <c r="F13" s="7"/>
      <c r="G13" s="10"/>
      <c r="H13" s="10"/>
      <c r="I13" s="7"/>
      <c r="J13" s="7"/>
      <c r="K13" s="7"/>
      <c r="L13" s="7"/>
      <c r="M13" s="10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10"/>
      <c r="Z13" s="10"/>
      <c r="AA13" s="10"/>
      <c r="AB13" s="14"/>
      <c r="AC13" s="11"/>
      <c r="AD13" s="11"/>
      <c r="AE13" s="11"/>
      <c r="AF13" s="11"/>
      <c r="AG13" s="12"/>
      <c r="AH13" s="12"/>
      <c r="AI13" s="11"/>
      <c r="AJ13" s="9" t="str">
        <f t="shared" si="0"/>
        <v/>
      </c>
      <c r="AK13" s="9" t="str">
        <f t="shared" si="1"/>
        <v/>
      </c>
      <c r="AL13" s="7"/>
    </row>
    <row r="14" spans="1:38" ht="21.75" customHeight="1" x14ac:dyDescent="0.3">
      <c r="A14" s="7"/>
      <c r="B14" s="7"/>
      <c r="C14" s="7"/>
      <c r="D14" s="7"/>
      <c r="E14" s="7"/>
      <c r="F14" s="7"/>
      <c r="G14" s="10"/>
      <c r="H14" s="10"/>
      <c r="I14" s="7"/>
      <c r="J14" s="7"/>
      <c r="K14" s="7"/>
      <c r="L14" s="7"/>
      <c r="M14" s="10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10"/>
      <c r="Z14" s="10"/>
      <c r="AA14" s="10"/>
      <c r="AB14" s="14"/>
      <c r="AC14" s="11"/>
      <c r="AD14" s="11"/>
      <c r="AE14" s="11"/>
      <c r="AF14" s="11"/>
      <c r="AG14" s="12"/>
      <c r="AH14" s="12"/>
      <c r="AI14" s="11"/>
      <c r="AJ14" s="9" t="str">
        <f t="shared" si="0"/>
        <v/>
      </c>
      <c r="AK14" s="9" t="str">
        <f t="shared" si="1"/>
        <v/>
      </c>
      <c r="AL14" s="7"/>
    </row>
    <row r="15" spans="1:38" ht="21.75" customHeight="1" x14ac:dyDescent="0.3">
      <c r="A15" s="7"/>
      <c r="B15" s="7"/>
      <c r="C15" s="7"/>
      <c r="D15" s="7"/>
      <c r="E15" s="7"/>
      <c r="F15" s="7"/>
      <c r="G15" s="10"/>
      <c r="H15" s="10"/>
      <c r="I15" s="7"/>
      <c r="J15" s="7"/>
      <c r="K15" s="7"/>
      <c r="L15" s="7"/>
      <c r="M15" s="10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10"/>
      <c r="Z15" s="10"/>
      <c r="AA15" s="10"/>
      <c r="AB15" s="14"/>
      <c r="AC15" s="11"/>
      <c r="AD15" s="11"/>
      <c r="AE15" s="11"/>
      <c r="AF15" s="11"/>
      <c r="AG15" s="12"/>
      <c r="AH15" s="12"/>
      <c r="AI15" s="11"/>
      <c r="AJ15" s="9" t="str">
        <f t="shared" si="0"/>
        <v/>
      </c>
      <c r="AK15" s="9" t="str">
        <f t="shared" si="1"/>
        <v/>
      </c>
      <c r="AL15" s="7"/>
    </row>
    <row r="16" spans="1:38" ht="21.75" customHeight="1" x14ac:dyDescent="0.3">
      <c r="A16" s="7"/>
      <c r="B16" s="7"/>
      <c r="C16" s="7"/>
      <c r="D16" s="7"/>
      <c r="E16" s="7"/>
      <c r="F16" s="7"/>
      <c r="G16" s="10"/>
      <c r="H16" s="10"/>
      <c r="I16" s="7"/>
      <c r="J16" s="7"/>
      <c r="K16" s="7"/>
      <c r="L16" s="7"/>
      <c r="M16" s="10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10"/>
      <c r="Z16" s="10"/>
      <c r="AA16" s="10"/>
      <c r="AB16" s="14"/>
      <c r="AC16" s="11"/>
      <c r="AD16" s="11"/>
      <c r="AE16" s="11"/>
      <c r="AF16" s="11"/>
      <c r="AG16" s="12"/>
      <c r="AH16" s="12"/>
      <c r="AI16" s="11"/>
      <c r="AJ16" s="9" t="str">
        <f t="shared" si="0"/>
        <v/>
      </c>
      <c r="AK16" s="9" t="str">
        <f t="shared" si="1"/>
        <v/>
      </c>
      <c r="AL16" s="7"/>
    </row>
    <row r="17" spans="1:38" ht="21.75" customHeight="1" x14ac:dyDescent="0.3">
      <c r="A17" s="7"/>
      <c r="B17" s="7"/>
      <c r="C17" s="7"/>
      <c r="D17" s="7"/>
      <c r="E17" s="7"/>
      <c r="F17" s="7"/>
      <c r="G17" s="10"/>
      <c r="H17" s="10"/>
      <c r="I17" s="7"/>
      <c r="J17" s="7"/>
      <c r="K17" s="7"/>
      <c r="L17" s="7"/>
      <c r="M17" s="10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10"/>
      <c r="Z17" s="10"/>
      <c r="AA17" s="10"/>
      <c r="AB17" s="14"/>
      <c r="AC17" s="11"/>
      <c r="AD17" s="11"/>
      <c r="AE17" s="11"/>
      <c r="AF17" s="11"/>
      <c r="AG17" s="12"/>
      <c r="AH17" s="12"/>
      <c r="AI17" s="11"/>
      <c r="AJ17" s="9" t="str">
        <f t="shared" si="0"/>
        <v/>
      </c>
      <c r="AK17" s="9" t="str">
        <f t="shared" si="1"/>
        <v/>
      </c>
      <c r="AL17" s="7"/>
    </row>
    <row r="18" spans="1:38" ht="21.75" customHeight="1" x14ac:dyDescent="0.3">
      <c r="A18" s="7"/>
      <c r="B18" s="7"/>
      <c r="C18" s="7"/>
      <c r="D18" s="7"/>
      <c r="E18" s="7"/>
      <c r="F18" s="7"/>
      <c r="G18" s="10"/>
      <c r="H18" s="10"/>
      <c r="I18" s="7"/>
      <c r="J18" s="7"/>
      <c r="K18" s="7"/>
      <c r="L18" s="7"/>
      <c r="M18" s="10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10"/>
      <c r="Z18" s="10"/>
      <c r="AA18" s="10"/>
      <c r="AB18" s="14"/>
      <c r="AC18" s="11"/>
      <c r="AD18" s="11"/>
      <c r="AE18" s="11"/>
      <c r="AF18" s="11"/>
      <c r="AG18" s="12"/>
      <c r="AH18" s="12"/>
      <c r="AI18" s="11"/>
      <c r="AJ18" s="9" t="str">
        <f t="shared" si="0"/>
        <v/>
      </c>
      <c r="AK18" s="9" t="str">
        <f t="shared" si="1"/>
        <v/>
      </c>
      <c r="AL18" s="7"/>
    </row>
    <row r="19" spans="1:38" ht="21.75" customHeight="1" x14ac:dyDescent="0.3">
      <c r="A19" s="7"/>
      <c r="B19" s="7"/>
      <c r="C19" s="7"/>
      <c r="D19" s="7"/>
      <c r="E19" s="7"/>
      <c r="F19" s="7"/>
      <c r="G19" s="10"/>
      <c r="H19" s="10"/>
      <c r="I19" s="7"/>
      <c r="J19" s="7"/>
      <c r="K19" s="7"/>
      <c r="L19" s="7"/>
      <c r="M19" s="10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10"/>
      <c r="Z19" s="10"/>
      <c r="AA19" s="10"/>
      <c r="AB19" s="14"/>
      <c r="AC19" s="11"/>
      <c r="AD19" s="11"/>
      <c r="AE19" s="11"/>
      <c r="AF19" s="11"/>
      <c r="AG19" s="12"/>
      <c r="AH19" s="12"/>
      <c r="AI19" s="11"/>
      <c r="AJ19" s="9" t="str">
        <f t="shared" si="0"/>
        <v/>
      </c>
      <c r="AK19" s="9" t="str">
        <f t="shared" si="1"/>
        <v/>
      </c>
      <c r="AL19" s="7"/>
    </row>
    <row r="20" spans="1:38" ht="21.75" customHeight="1" x14ac:dyDescent="0.3">
      <c r="A20" s="7"/>
      <c r="B20" s="7"/>
      <c r="C20" s="7"/>
      <c r="D20" s="7"/>
      <c r="E20" s="7"/>
      <c r="F20" s="7"/>
      <c r="G20" s="10"/>
      <c r="H20" s="10"/>
      <c r="I20" s="7"/>
      <c r="J20" s="7"/>
      <c r="K20" s="7"/>
      <c r="L20" s="7"/>
      <c r="M20" s="10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10"/>
      <c r="Z20" s="10"/>
      <c r="AA20" s="10"/>
      <c r="AB20" s="14"/>
      <c r="AC20" s="11"/>
      <c r="AD20" s="11"/>
      <c r="AE20" s="11"/>
      <c r="AF20" s="11"/>
      <c r="AG20" s="12"/>
      <c r="AH20" s="12"/>
      <c r="AI20" s="11"/>
      <c r="AJ20" s="9" t="str">
        <f t="shared" si="0"/>
        <v/>
      </c>
      <c r="AK20" s="9" t="str">
        <f t="shared" si="1"/>
        <v/>
      </c>
      <c r="AL20" s="7"/>
    </row>
    <row r="21" spans="1:38" ht="14.4" x14ac:dyDescent="0.3">
      <c r="A21" s="7"/>
      <c r="B21" s="7"/>
      <c r="C21" s="7"/>
      <c r="D21" s="7"/>
      <c r="E21" s="7"/>
      <c r="F21" s="7"/>
      <c r="G21" s="10"/>
      <c r="H21" s="10"/>
      <c r="I21" s="7"/>
      <c r="J21" s="7"/>
      <c r="K21" s="7"/>
      <c r="L21" s="7"/>
      <c r="M21" s="10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10"/>
      <c r="Z21" s="10"/>
      <c r="AA21" s="10"/>
      <c r="AB21" s="14"/>
      <c r="AC21" s="11"/>
      <c r="AD21" s="11"/>
      <c r="AE21" s="11"/>
      <c r="AF21" s="11"/>
      <c r="AG21" s="12"/>
      <c r="AH21" s="12"/>
      <c r="AI21" s="11"/>
      <c r="AJ21" s="9" t="str">
        <f t="shared" si="0"/>
        <v/>
      </c>
      <c r="AK21" s="9" t="str">
        <f t="shared" si="1"/>
        <v/>
      </c>
      <c r="AL21" s="7"/>
    </row>
    <row r="22" spans="1:38" ht="14.4" x14ac:dyDescent="0.3">
      <c r="A22" s="7"/>
      <c r="B22" s="7"/>
      <c r="C22" s="7"/>
      <c r="D22" s="7"/>
      <c r="E22" s="7"/>
      <c r="F22" s="7"/>
      <c r="G22" s="10"/>
      <c r="H22" s="10"/>
      <c r="I22" s="7"/>
      <c r="J22" s="7"/>
      <c r="K22" s="7"/>
      <c r="L22" s="7"/>
      <c r="M22" s="10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10"/>
      <c r="Z22" s="10"/>
      <c r="AA22" s="10"/>
      <c r="AB22" s="14"/>
      <c r="AC22" s="11"/>
      <c r="AD22" s="11"/>
      <c r="AE22" s="11"/>
      <c r="AF22" s="11"/>
      <c r="AG22" s="12"/>
      <c r="AH22" s="12"/>
      <c r="AI22" s="11"/>
      <c r="AJ22" s="9" t="str">
        <f t="shared" si="0"/>
        <v/>
      </c>
      <c r="AK22" s="9" t="str">
        <f t="shared" si="1"/>
        <v/>
      </c>
      <c r="AL22" s="7"/>
    </row>
    <row r="23" spans="1:38" ht="14.4" x14ac:dyDescent="0.3">
      <c r="A23" s="7"/>
      <c r="B23" s="7"/>
      <c r="C23" s="7"/>
      <c r="D23" s="7"/>
      <c r="E23" s="7"/>
      <c r="F23" s="7"/>
      <c r="G23" s="10"/>
      <c r="H23" s="10"/>
      <c r="I23" s="7"/>
      <c r="J23" s="7"/>
      <c r="K23" s="7"/>
      <c r="L23" s="7"/>
      <c r="M23" s="10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10"/>
      <c r="Z23" s="10"/>
      <c r="AA23" s="10"/>
      <c r="AB23" s="14"/>
      <c r="AC23" s="11"/>
      <c r="AD23" s="11"/>
      <c r="AE23" s="11"/>
      <c r="AF23" s="11"/>
      <c r="AG23" s="12"/>
      <c r="AH23" s="12"/>
      <c r="AI23" s="11"/>
      <c r="AJ23" s="9" t="str">
        <f t="shared" si="0"/>
        <v/>
      </c>
      <c r="AK23" s="9" t="str">
        <f t="shared" si="1"/>
        <v/>
      </c>
      <c r="AL23" s="7"/>
    </row>
    <row r="24" spans="1:38" ht="14.4" x14ac:dyDescent="0.3">
      <c r="A24" s="7"/>
      <c r="B24" s="7"/>
      <c r="C24" s="7"/>
      <c r="D24" s="7"/>
      <c r="E24" s="7"/>
      <c r="F24" s="7"/>
      <c r="G24" s="10"/>
      <c r="H24" s="10"/>
      <c r="I24" s="7"/>
      <c r="J24" s="7"/>
      <c r="K24" s="7"/>
      <c r="L24" s="7"/>
      <c r="M24" s="10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10"/>
      <c r="Z24" s="10"/>
      <c r="AA24" s="10"/>
      <c r="AB24" s="14"/>
      <c r="AC24" s="11"/>
      <c r="AD24" s="11"/>
      <c r="AE24" s="11"/>
      <c r="AF24" s="11"/>
      <c r="AG24" s="12"/>
      <c r="AH24" s="12"/>
      <c r="AI24" s="11"/>
      <c r="AJ24" s="9" t="str">
        <f t="shared" si="0"/>
        <v/>
      </c>
      <c r="AK24" s="9" t="str">
        <f t="shared" si="1"/>
        <v/>
      </c>
      <c r="AL24" s="7"/>
    </row>
    <row r="25" spans="1:38" ht="14.4" x14ac:dyDescent="0.3">
      <c r="A25" s="7"/>
      <c r="B25" s="7"/>
      <c r="C25" s="7"/>
      <c r="D25" s="7"/>
      <c r="E25" s="7"/>
      <c r="F25" s="7"/>
      <c r="G25" s="10"/>
      <c r="H25" s="10"/>
      <c r="I25" s="7"/>
      <c r="J25" s="7"/>
      <c r="K25" s="7"/>
      <c r="L25" s="7"/>
      <c r="M25" s="10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10"/>
      <c r="Z25" s="10"/>
      <c r="AA25" s="10"/>
      <c r="AB25" s="14"/>
      <c r="AC25" s="11"/>
      <c r="AD25" s="11"/>
      <c r="AE25" s="11"/>
      <c r="AF25" s="11"/>
      <c r="AG25" s="12"/>
      <c r="AH25" s="12"/>
      <c r="AI25" s="11"/>
      <c r="AJ25" s="9" t="str">
        <f t="shared" si="0"/>
        <v/>
      </c>
      <c r="AK25" s="9" t="str">
        <f t="shared" si="1"/>
        <v/>
      </c>
      <c r="AL25" s="7"/>
    </row>
    <row r="26" spans="1:38" ht="14.4" x14ac:dyDescent="0.3">
      <c r="A26" s="7"/>
      <c r="B26" s="7"/>
      <c r="C26" s="7"/>
      <c r="D26" s="7"/>
      <c r="E26" s="7"/>
      <c r="F26" s="7"/>
      <c r="G26" s="10"/>
      <c r="H26" s="10"/>
      <c r="I26" s="7"/>
      <c r="J26" s="7"/>
      <c r="K26" s="7"/>
      <c r="L26" s="7"/>
      <c r="M26" s="10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10"/>
      <c r="Z26" s="10"/>
      <c r="AA26" s="10"/>
      <c r="AB26" s="14"/>
      <c r="AC26" s="11"/>
      <c r="AD26" s="11"/>
      <c r="AE26" s="11"/>
      <c r="AF26" s="11"/>
      <c r="AG26" s="12"/>
      <c r="AH26" s="12"/>
      <c r="AI26" s="11"/>
      <c r="AJ26" s="9" t="str">
        <f t="shared" si="0"/>
        <v/>
      </c>
      <c r="AK26" s="9" t="str">
        <f t="shared" si="1"/>
        <v/>
      </c>
      <c r="AL26" s="7"/>
    </row>
    <row r="27" spans="1:38" ht="14.4" x14ac:dyDescent="0.3">
      <c r="A27" s="7"/>
      <c r="B27" s="7"/>
      <c r="C27" s="7"/>
      <c r="D27" s="7"/>
      <c r="E27" s="7"/>
      <c r="F27" s="7"/>
      <c r="G27" s="10"/>
      <c r="H27" s="10"/>
      <c r="I27" s="7"/>
      <c r="J27" s="7"/>
      <c r="K27" s="7"/>
      <c r="L27" s="7"/>
      <c r="M27" s="10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10"/>
      <c r="Z27" s="10"/>
      <c r="AA27" s="10"/>
      <c r="AB27" s="14"/>
      <c r="AC27" s="11"/>
      <c r="AD27" s="11"/>
      <c r="AE27" s="11"/>
      <c r="AF27" s="11"/>
      <c r="AG27" s="12"/>
      <c r="AH27" s="12"/>
      <c r="AI27" s="11"/>
      <c r="AJ27" s="9" t="str">
        <f t="shared" si="0"/>
        <v/>
      </c>
      <c r="AK27" s="9" t="str">
        <f t="shared" si="1"/>
        <v/>
      </c>
      <c r="AL27" s="7"/>
    </row>
    <row r="28" spans="1:38" ht="14.4" x14ac:dyDescent="0.3">
      <c r="A28" s="7"/>
      <c r="B28" s="7"/>
      <c r="C28" s="7"/>
      <c r="D28" s="7"/>
      <c r="E28" s="7"/>
      <c r="F28" s="7"/>
      <c r="G28" s="10"/>
      <c r="H28" s="10"/>
      <c r="I28" s="7"/>
      <c r="J28" s="7"/>
      <c r="K28" s="7"/>
      <c r="L28" s="7"/>
      <c r="M28" s="10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10"/>
      <c r="Z28" s="10"/>
      <c r="AA28" s="10"/>
      <c r="AB28" s="14"/>
      <c r="AC28" s="11"/>
      <c r="AD28" s="11"/>
      <c r="AE28" s="11"/>
      <c r="AF28" s="11"/>
      <c r="AG28" s="12"/>
      <c r="AH28" s="12"/>
      <c r="AI28" s="11"/>
      <c r="AJ28" s="9" t="str">
        <f t="shared" si="0"/>
        <v/>
      </c>
      <c r="AK28" s="9" t="str">
        <f t="shared" si="1"/>
        <v/>
      </c>
      <c r="AL28" s="7"/>
    </row>
    <row r="29" spans="1:38" ht="14.4" x14ac:dyDescent="0.3">
      <c r="A29" s="7"/>
      <c r="B29" s="7"/>
      <c r="C29" s="7"/>
      <c r="D29" s="7"/>
      <c r="E29" s="7"/>
      <c r="F29" s="7"/>
      <c r="G29" s="10"/>
      <c r="H29" s="10"/>
      <c r="I29" s="7"/>
      <c r="J29" s="7"/>
      <c r="K29" s="7"/>
      <c r="L29" s="7"/>
      <c r="M29" s="10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10"/>
      <c r="Z29" s="10"/>
      <c r="AA29" s="10"/>
      <c r="AB29" s="14"/>
      <c r="AC29" s="11"/>
      <c r="AD29" s="11"/>
      <c r="AE29" s="11"/>
      <c r="AF29" s="11"/>
      <c r="AG29" s="12"/>
      <c r="AH29" s="12"/>
      <c r="AI29" s="11"/>
      <c r="AJ29" s="9" t="str">
        <f t="shared" si="0"/>
        <v/>
      </c>
      <c r="AK29" s="9" t="str">
        <f t="shared" si="1"/>
        <v/>
      </c>
      <c r="AL29" s="7"/>
    </row>
    <row r="30" spans="1:38" ht="14.4" x14ac:dyDescent="0.3">
      <c r="A30" s="7"/>
      <c r="B30" s="7"/>
      <c r="C30" s="7"/>
      <c r="D30" s="7"/>
      <c r="E30" s="7"/>
      <c r="F30" s="7"/>
      <c r="G30" s="10"/>
      <c r="H30" s="10"/>
      <c r="I30" s="7"/>
      <c r="J30" s="7"/>
      <c r="K30" s="7"/>
      <c r="L30" s="7"/>
      <c r="M30" s="10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10"/>
      <c r="Z30" s="10"/>
      <c r="AA30" s="10"/>
      <c r="AB30" s="14"/>
      <c r="AC30" s="11"/>
      <c r="AD30" s="11"/>
      <c r="AE30" s="11"/>
      <c r="AF30" s="11"/>
      <c r="AG30" s="12"/>
      <c r="AH30" s="12"/>
      <c r="AI30" s="11"/>
      <c r="AJ30" s="9" t="str">
        <f t="shared" si="0"/>
        <v/>
      </c>
      <c r="AK30" s="9" t="str">
        <f t="shared" si="1"/>
        <v/>
      </c>
      <c r="AL30" s="7"/>
    </row>
    <row r="31" spans="1:38" ht="14.4" x14ac:dyDescent="0.3">
      <c r="A31" s="7"/>
      <c r="B31" s="7"/>
      <c r="C31" s="7"/>
      <c r="D31" s="7"/>
      <c r="E31" s="7"/>
      <c r="F31" s="7"/>
      <c r="G31" s="10"/>
      <c r="H31" s="10"/>
      <c r="I31" s="7"/>
      <c r="J31" s="7"/>
      <c r="K31" s="7"/>
      <c r="L31" s="7"/>
      <c r="M31" s="10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10"/>
      <c r="Z31" s="10"/>
      <c r="AA31" s="10"/>
      <c r="AB31" s="14"/>
      <c r="AC31" s="11"/>
      <c r="AD31" s="11"/>
      <c r="AE31" s="11"/>
      <c r="AF31" s="11"/>
      <c r="AG31" s="12"/>
      <c r="AH31" s="12"/>
      <c r="AI31" s="11"/>
      <c r="AJ31" s="9" t="str">
        <f t="shared" si="0"/>
        <v/>
      </c>
      <c r="AK31" s="9" t="str">
        <f t="shared" si="1"/>
        <v/>
      </c>
      <c r="AL31" s="7"/>
    </row>
    <row r="32" spans="1:38" ht="14.4" x14ac:dyDescent="0.3">
      <c r="A32" s="7"/>
      <c r="B32" s="7"/>
      <c r="C32" s="7"/>
      <c r="D32" s="7"/>
      <c r="E32" s="7"/>
      <c r="F32" s="7"/>
      <c r="G32" s="10"/>
      <c r="H32" s="10"/>
      <c r="I32" s="7"/>
      <c r="J32" s="7"/>
      <c r="K32" s="7"/>
      <c r="L32" s="7"/>
      <c r="M32" s="10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10"/>
      <c r="Z32" s="10"/>
      <c r="AA32" s="10"/>
      <c r="AB32" s="14"/>
      <c r="AC32" s="11"/>
      <c r="AD32" s="11"/>
      <c r="AE32" s="11"/>
      <c r="AF32" s="11"/>
      <c r="AG32" s="12"/>
      <c r="AH32" s="12"/>
      <c r="AI32" s="11"/>
      <c r="AJ32" s="9" t="str">
        <f t="shared" si="0"/>
        <v/>
      </c>
      <c r="AK32" s="9" t="str">
        <f t="shared" si="1"/>
        <v/>
      </c>
      <c r="AL32" s="7"/>
    </row>
    <row r="33" spans="1:38" ht="14.4" x14ac:dyDescent="0.3">
      <c r="A33" s="7"/>
      <c r="B33" s="7"/>
      <c r="C33" s="7"/>
      <c r="D33" s="7"/>
      <c r="E33" s="7"/>
      <c r="F33" s="7"/>
      <c r="G33" s="10"/>
      <c r="H33" s="10"/>
      <c r="I33" s="7"/>
      <c r="J33" s="7"/>
      <c r="K33" s="7"/>
      <c r="L33" s="7"/>
      <c r="M33" s="10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10"/>
      <c r="Z33" s="10"/>
      <c r="AA33" s="10"/>
      <c r="AB33" s="14"/>
      <c r="AC33" s="11"/>
      <c r="AD33" s="11"/>
      <c r="AE33" s="11"/>
      <c r="AF33" s="11"/>
      <c r="AG33" s="12"/>
      <c r="AH33" s="12"/>
      <c r="AI33" s="11"/>
      <c r="AJ33" s="9" t="str">
        <f t="shared" si="0"/>
        <v/>
      </c>
      <c r="AK33" s="9" t="str">
        <f t="shared" si="1"/>
        <v/>
      </c>
      <c r="AL33" s="7"/>
    </row>
    <row r="34" spans="1:38" ht="14.4" x14ac:dyDescent="0.3">
      <c r="A34" s="7"/>
      <c r="B34" s="7"/>
      <c r="C34" s="7"/>
      <c r="D34" s="7"/>
      <c r="E34" s="7"/>
      <c r="F34" s="7"/>
      <c r="G34" s="10"/>
      <c r="H34" s="10"/>
      <c r="I34" s="7"/>
      <c r="J34" s="7"/>
      <c r="K34" s="7"/>
      <c r="L34" s="7"/>
      <c r="M34" s="10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10"/>
      <c r="Z34" s="10"/>
      <c r="AA34" s="10"/>
      <c r="AB34" s="14"/>
      <c r="AC34" s="11"/>
      <c r="AD34" s="11"/>
      <c r="AE34" s="11"/>
      <c r="AF34" s="11"/>
      <c r="AG34" s="12"/>
      <c r="AH34" s="12"/>
      <c r="AI34" s="11"/>
      <c r="AJ34" s="9" t="str">
        <f t="shared" si="0"/>
        <v/>
      </c>
      <c r="AK34" s="9" t="str">
        <f t="shared" si="1"/>
        <v/>
      </c>
      <c r="AL34" s="7"/>
    </row>
    <row r="35" spans="1:38" ht="14.4" x14ac:dyDescent="0.3">
      <c r="A35" s="7"/>
      <c r="B35" s="7"/>
      <c r="C35" s="7"/>
      <c r="D35" s="7"/>
      <c r="E35" s="7"/>
      <c r="F35" s="7"/>
      <c r="G35" s="10"/>
      <c r="H35" s="10"/>
      <c r="I35" s="7"/>
      <c r="J35" s="7"/>
      <c r="K35" s="7"/>
      <c r="L35" s="7"/>
      <c r="M35" s="10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10"/>
      <c r="Z35" s="10"/>
      <c r="AA35" s="10"/>
      <c r="AB35" s="14"/>
      <c r="AC35" s="11"/>
      <c r="AD35" s="11"/>
      <c r="AE35" s="11"/>
      <c r="AF35" s="11"/>
      <c r="AG35" s="12"/>
      <c r="AH35" s="12"/>
      <c r="AI35" s="11"/>
      <c r="AJ35" s="9" t="str">
        <f t="shared" si="0"/>
        <v/>
      </c>
      <c r="AK35" s="9" t="str">
        <f t="shared" si="1"/>
        <v/>
      </c>
      <c r="AL35" s="7"/>
    </row>
    <row r="36" spans="1:38" ht="14.4" x14ac:dyDescent="0.3">
      <c r="A36" s="7"/>
      <c r="B36" s="7"/>
      <c r="C36" s="7"/>
      <c r="D36" s="7"/>
      <c r="E36" s="7"/>
      <c r="F36" s="7"/>
      <c r="G36" s="10"/>
      <c r="H36" s="10"/>
      <c r="I36" s="7"/>
      <c r="J36" s="7"/>
      <c r="K36" s="7"/>
      <c r="L36" s="7"/>
      <c r="M36" s="10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10"/>
      <c r="Z36" s="10"/>
      <c r="AA36" s="10"/>
      <c r="AB36" s="14"/>
      <c r="AC36" s="11"/>
      <c r="AD36" s="11"/>
      <c r="AE36" s="11"/>
      <c r="AF36" s="11"/>
      <c r="AG36" s="12"/>
      <c r="AH36" s="12"/>
      <c r="AI36" s="11"/>
      <c r="AJ36" s="9" t="str">
        <f t="shared" si="0"/>
        <v/>
      </c>
      <c r="AK36" s="9" t="str">
        <f t="shared" si="1"/>
        <v/>
      </c>
      <c r="AL36" s="7"/>
    </row>
    <row r="37" spans="1:38" ht="14.4" x14ac:dyDescent="0.3">
      <c r="A37" s="7"/>
      <c r="B37" s="7"/>
      <c r="C37" s="7"/>
      <c r="D37" s="7"/>
      <c r="E37" s="7"/>
      <c r="F37" s="7"/>
      <c r="G37" s="10"/>
      <c r="H37" s="10"/>
      <c r="I37" s="7"/>
      <c r="J37" s="7"/>
      <c r="K37" s="7"/>
      <c r="L37" s="7"/>
      <c r="M37" s="10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10"/>
      <c r="Z37" s="10"/>
      <c r="AA37" s="10"/>
      <c r="AB37" s="14"/>
      <c r="AC37" s="11"/>
      <c r="AD37" s="11"/>
      <c r="AE37" s="11"/>
      <c r="AF37" s="11"/>
      <c r="AG37" s="12"/>
      <c r="AH37" s="12"/>
      <c r="AI37" s="11"/>
      <c r="AJ37" s="9" t="str">
        <f t="shared" si="0"/>
        <v/>
      </c>
      <c r="AK37" s="9" t="str">
        <f t="shared" si="1"/>
        <v/>
      </c>
      <c r="AL37" s="7"/>
    </row>
    <row r="38" spans="1:38" ht="14.4" x14ac:dyDescent="0.3">
      <c r="A38" s="7"/>
      <c r="B38" s="7"/>
      <c r="C38" s="7"/>
      <c r="D38" s="7"/>
      <c r="E38" s="7"/>
      <c r="F38" s="7"/>
      <c r="G38" s="10"/>
      <c r="H38" s="10"/>
      <c r="I38" s="7"/>
      <c r="J38" s="7"/>
      <c r="K38" s="7"/>
      <c r="L38" s="7"/>
      <c r="M38" s="10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10"/>
      <c r="Z38" s="10"/>
      <c r="AA38" s="10"/>
      <c r="AB38" s="14"/>
      <c r="AC38" s="11"/>
      <c r="AD38" s="11"/>
      <c r="AE38" s="11"/>
      <c r="AF38" s="11"/>
      <c r="AG38" s="12"/>
      <c r="AH38" s="12"/>
      <c r="AI38" s="11"/>
      <c r="AJ38" s="9" t="str">
        <f t="shared" si="0"/>
        <v/>
      </c>
      <c r="AK38" s="9" t="str">
        <f t="shared" si="1"/>
        <v/>
      </c>
      <c r="AL38" s="7"/>
    </row>
    <row r="39" spans="1:38" ht="14.4" x14ac:dyDescent="0.3">
      <c r="A39" s="7"/>
      <c r="B39" s="7"/>
      <c r="C39" s="7"/>
      <c r="D39" s="7"/>
      <c r="E39" s="7"/>
      <c r="F39" s="7"/>
      <c r="G39" s="10"/>
      <c r="H39" s="10"/>
      <c r="I39" s="7"/>
      <c r="J39" s="7"/>
      <c r="K39" s="7"/>
      <c r="L39" s="7"/>
      <c r="M39" s="10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10"/>
      <c r="Z39" s="10"/>
      <c r="AA39" s="10"/>
      <c r="AB39" s="14"/>
      <c r="AC39" s="11"/>
      <c r="AD39" s="11"/>
      <c r="AE39" s="11"/>
      <c r="AF39" s="11"/>
      <c r="AG39" s="12"/>
      <c r="AH39" s="12"/>
      <c r="AI39" s="11"/>
      <c r="AJ39" s="9" t="str">
        <f t="shared" si="0"/>
        <v/>
      </c>
      <c r="AK39" s="9" t="str">
        <f t="shared" si="1"/>
        <v/>
      </c>
      <c r="AL39" s="7"/>
    </row>
    <row r="40" spans="1:38" ht="14.4" x14ac:dyDescent="0.3">
      <c r="A40" s="7"/>
      <c r="B40" s="7"/>
      <c r="C40" s="7"/>
      <c r="D40" s="7"/>
      <c r="E40" s="7"/>
      <c r="F40" s="7"/>
      <c r="G40" s="10"/>
      <c r="H40" s="10"/>
      <c r="I40" s="7"/>
      <c r="J40" s="7"/>
      <c r="K40" s="7"/>
      <c r="L40" s="7"/>
      <c r="M40" s="10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10"/>
      <c r="Z40" s="10"/>
      <c r="AA40" s="10"/>
      <c r="AB40" s="14"/>
      <c r="AC40" s="11"/>
      <c r="AD40" s="11"/>
      <c r="AE40" s="11"/>
      <c r="AF40" s="11"/>
      <c r="AG40" s="12"/>
      <c r="AH40" s="12"/>
      <c r="AI40" s="11"/>
      <c r="AJ40" s="9" t="str">
        <f t="shared" si="0"/>
        <v/>
      </c>
      <c r="AK40" s="9" t="str">
        <f t="shared" si="1"/>
        <v/>
      </c>
      <c r="AL40" s="7"/>
    </row>
    <row r="41" spans="1:38" ht="14.4" x14ac:dyDescent="0.3">
      <c r="A41" s="7"/>
      <c r="B41" s="7"/>
      <c r="C41" s="7"/>
      <c r="D41" s="7"/>
      <c r="E41" s="7"/>
      <c r="F41" s="7"/>
      <c r="G41" s="10"/>
      <c r="H41" s="10"/>
      <c r="I41" s="7"/>
      <c r="J41" s="7"/>
      <c r="K41" s="7"/>
      <c r="L41" s="7"/>
      <c r="M41" s="10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10"/>
      <c r="Z41" s="10"/>
      <c r="AA41" s="10"/>
      <c r="AB41" s="14"/>
      <c r="AC41" s="11"/>
      <c r="AD41" s="11"/>
      <c r="AE41" s="11"/>
      <c r="AF41" s="11"/>
      <c r="AG41" s="12"/>
      <c r="AH41" s="12"/>
      <c r="AI41" s="11"/>
      <c r="AJ41" s="9" t="str">
        <f t="shared" si="0"/>
        <v/>
      </c>
      <c r="AK41" s="9" t="str">
        <f t="shared" si="1"/>
        <v/>
      </c>
      <c r="AL41" s="7"/>
    </row>
    <row r="42" spans="1:38" ht="14.4" x14ac:dyDescent="0.3">
      <c r="A42" s="7"/>
      <c r="B42" s="7"/>
      <c r="C42" s="7"/>
      <c r="D42" s="7"/>
      <c r="E42" s="7"/>
      <c r="F42" s="7"/>
      <c r="G42" s="10"/>
      <c r="H42" s="10"/>
      <c r="I42" s="7"/>
      <c r="J42" s="7"/>
      <c r="K42" s="7"/>
      <c r="L42" s="7"/>
      <c r="M42" s="10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10"/>
      <c r="Z42" s="10"/>
      <c r="AA42" s="10"/>
      <c r="AB42" s="14"/>
      <c r="AC42" s="11"/>
      <c r="AD42" s="11"/>
      <c r="AE42" s="11"/>
      <c r="AF42" s="11"/>
      <c r="AG42" s="12"/>
      <c r="AH42" s="12"/>
      <c r="AI42" s="11"/>
      <c r="AJ42" s="9" t="str">
        <f t="shared" si="0"/>
        <v/>
      </c>
      <c r="AK42" s="9" t="str">
        <f t="shared" si="1"/>
        <v/>
      </c>
      <c r="AL42" s="7"/>
    </row>
    <row r="43" spans="1:38" ht="14.4" x14ac:dyDescent="0.3">
      <c r="A43" s="7"/>
      <c r="B43" s="7"/>
      <c r="C43" s="7"/>
      <c r="D43" s="7"/>
      <c r="E43" s="7"/>
      <c r="F43" s="7"/>
      <c r="G43" s="10"/>
      <c r="H43" s="10"/>
      <c r="I43" s="7"/>
      <c r="J43" s="7"/>
      <c r="K43" s="7"/>
      <c r="L43" s="7"/>
      <c r="M43" s="10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10"/>
      <c r="Z43" s="10"/>
      <c r="AA43" s="10"/>
      <c r="AB43" s="14"/>
      <c r="AC43" s="11"/>
      <c r="AD43" s="11"/>
      <c r="AE43" s="11"/>
      <c r="AF43" s="11"/>
      <c r="AG43" s="12"/>
      <c r="AH43" s="12"/>
      <c r="AI43" s="11"/>
      <c r="AJ43" s="9" t="str">
        <f t="shared" si="0"/>
        <v/>
      </c>
      <c r="AK43" s="9" t="str">
        <f t="shared" si="1"/>
        <v/>
      </c>
      <c r="AL43" s="7"/>
    </row>
    <row r="44" spans="1:38" ht="14.4" x14ac:dyDescent="0.3">
      <c r="A44" s="7"/>
      <c r="B44" s="7"/>
      <c r="C44" s="7"/>
      <c r="D44" s="7"/>
      <c r="E44" s="7"/>
      <c r="F44" s="7"/>
      <c r="G44" s="10"/>
      <c r="H44" s="10"/>
      <c r="I44" s="7"/>
      <c r="J44" s="7"/>
      <c r="K44" s="7"/>
      <c r="L44" s="7"/>
      <c r="M44" s="10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10"/>
      <c r="Z44" s="10"/>
      <c r="AA44" s="10"/>
      <c r="AB44" s="14"/>
      <c r="AC44" s="11"/>
      <c r="AD44" s="11"/>
      <c r="AE44" s="11"/>
      <c r="AF44" s="11"/>
      <c r="AG44" s="12"/>
      <c r="AH44" s="12"/>
      <c r="AI44" s="11"/>
      <c r="AJ44" s="9" t="str">
        <f t="shared" si="0"/>
        <v/>
      </c>
      <c r="AK44" s="9" t="str">
        <f t="shared" si="1"/>
        <v/>
      </c>
      <c r="AL44" s="7"/>
    </row>
    <row r="45" spans="1:38" ht="14.4" x14ac:dyDescent="0.3">
      <c r="A45" s="7"/>
      <c r="B45" s="7"/>
      <c r="C45" s="7"/>
      <c r="D45" s="7"/>
      <c r="E45" s="7"/>
      <c r="F45" s="7"/>
      <c r="G45" s="10"/>
      <c r="H45" s="10"/>
      <c r="I45" s="7"/>
      <c r="J45" s="7"/>
      <c r="K45" s="7"/>
      <c r="L45" s="7"/>
      <c r="M45" s="10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10"/>
      <c r="Z45" s="10"/>
      <c r="AA45" s="10"/>
      <c r="AB45" s="14"/>
      <c r="AC45" s="11"/>
      <c r="AD45" s="11"/>
      <c r="AE45" s="11"/>
      <c r="AF45" s="11"/>
      <c r="AG45" s="12"/>
      <c r="AH45" s="12"/>
      <c r="AI45" s="11"/>
      <c r="AJ45" s="9" t="str">
        <f t="shared" si="0"/>
        <v/>
      </c>
      <c r="AK45" s="9" t="str">
        <f t="shared" si="1"/>
        <v/>
      </c>
      <c r="AL45" s="7"/>
    </row>
    <row r="46" spans="1:38" ht="14.4" x14ac:dyDescent="0.3">
      <c r="A46" s="7"/>
      <c r="B46" s="7"/>
      <c r="C46" s="7"/>
      <c r="D46" s="7"/>
      <c r="E46" s="7"/>
      <c r="F46" s="7"/>
      <c r="G46" s="10"/>
      <c r="H46" s="10"/>
      <c r="I46" s="7"/>
      <c r="J46" s="7"/>
      <c r="K46" s="7"/>
      <c r="L46" s="7"/>
      <c r="M46" s="10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10"/>
      <c r="Z46" s="10"/>
      <c r="AA46" s="10"/>
      <c r="AB46" s="14"/>
      <c r="AC46" s="11"/>
      <c r="AD46" s="11"/>
      <c r="AE46" s="11"/>
      <c r="AF46" s="11"/>
      <c r="AG46" s="12"/>
      <c r="AH46" s="12"/>
      <c r="AI46" s="11"/>
      <c r="AJ46" s="9" t="str">
        <f t="shared" si="0"/>
        <v/>
      </c>
      <c r="AK46" s="9" t="str">
        <f t="shared" si="1"/>
        <v/>
      </c>
      <c r="AL46" s="7"/>
    </row>
    <row r="47" spans="1:38" ht="14.4" x14ac:dyDescent="0.3">
      <c r="A47" s="7"/>
      <c r="B47" s="7"/>
      <c r="C47" s="7"/>
      <c r="D47" s="7"/>
      <c r="E47" s="7"/>
      <c r="F47" s="7"/>
      <c r="G47" s="10"/>
      <c r="H47" s="10"/>
      <c r="I47" s="7"/>
      <c r="J47" s="7"/>
      <c r="K47" s="7"/>
      <c r="L47" s="7"/>
      <c r="M47" s="10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10"/>
      <c r="Z47" s="10"/>
      <c r="AA47" s="10"/>
      <c r="AB47" s="14"/>
      <c r="AC47" s="11"/>
      <c r="AD47" s="11"/>
      <c r="AE47" s="11"/>
      <c r="AF47" s="11"/>
      <c r="AG47" s="12"/>
      <c r="AH47" s="12"/>
      <c r="AI47" s="11"/>
      <c r="AJ47" s="9" t="str">
        <f t="shared" si="0"/>
        <v/>
      </c>
      <c r="AK47" s="9" t="str">
        <f t="shared" si="1"/>
        <v/>
      </c>
      <c r="AL47" s="7"/>
    </row>
    <row r="48" spans="1:38" ht="14.4" x14ac:dyDescent="0.3">
      <c r="A48" s="7"/>
      <c r="B48" s="7"/>
      <c r="C48" s="7"/>
      <c r="D48" s="7"/>
      <c r="E48" s="7"/>
      <c r="F48" s="7"/>
      <c r="G48" s="10"/>
      <c r="H48" s="10"/>
      <c r="I48" s="7"/>
      <c r="J48" s="7"/>
      <c r="K48" s="7"/>
      <c r="L48" s="7"/>
      <c r="M48" s="10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10"/>
      <c r="Z48" s="10"/>
      <c r="AA48" s="10"/>
      <c r="AB48" s="14"/>
      <c r="AC48" s="11"/>
      <c r="AD48" s="11"/>
      <c r="AE48" s="11"/>
      <c r="AF48" s="11"/>
      <c r="AG48" s="12"/>
      <c r="AH48" s="12"/>
      <c r="AI48" s="11"/>
      <c r="AJ48" s="9" t="str">
        <f t="shared" si="0"/>
        <v/>
      </c>
      <c r="AK48" s="9" t="str">
        <f t="shared" si="1"/>
        <v/>
      </c>
      <c r="AL48" s="7"/>
    </row>
    <row r="49" spans="1:38" ht="14.4" x14ac:dyDescent="0.3">
      <c r="A49" s="7"/>
      <c r="B49" s="7"/>
      <c r="C49" s="7"/>
      <c r="D49" s="7"/>
      <c r="E49" s="7"/>
      <c r="F49" s="7"/>
      <c r="G49" s="10"/>
      <c r="H49" s="10"/>
      <c r="I49" s="7"/>
      <c r="J49" s="7"/>
      <c r="K49" s="7"/>
      <c r="L49" s="7"/>
      <c r="M49" s="10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10"/>
      <c r="Z49" s="10"/>
      <c r="AA49" s="10"/>
      <c r="AB49" s="14"/>
      <c r="AC49" s="11"/>
      <c r="AD49" s="11"/>
      <c r="AE49" s="11"/>
      <c r="AF49" s="11"/>
      <c r="AG49" s="12"/>
      <c r="AH49" s="12"/>
      <c r="AI49" s="11"/>
      <c r="AJ49" s="9" t="str">
        <f t="shared" si="0"/>
        <v/>
      </c>
      <c r="AK49" s="9" t="str">
        <f t="shared" si="1"/>
        <v/>
      </c>
      <c r="AL49" s="7"/>
    </row>
    <row r="50" spans="1:38" ht="14.4" x14ac:dyDescent="0.3">
      <c r="A50" s="7"/>
      <c r="B50" s="7"/>
      <c r="C50" s="7"/>
      <c r="D50" s="7"/>
      <c r="E50" s="7"/>
      <c r="F50" s="7"/>
      <c r="G50" s="10"/>
      <c r="H50" s="10"/>
      <c r="I50" s="7"/>
      <c r="J50" s="7"/>
      <c r="K50" s="7"/>
      <c r="L50" s="7"/>
      <c r="M50" s="10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10"/>
      <c r="Z50" s="10"/>
      <c r="AA50" s="10"/>
      <c r="AB50" s="14"/>
      <c r="AC50" s="11"/>
      <c r="AD50" s="11"/>
      <c r="AE50" s="11"/>
      <c r="AF50" s="11"/>
      <c r="AG50" s="12"/>
      <c r="AH50" s="12"/>
      <c r="AI50" s="11"/>
      <c r="AJ50" s="9" t="str">
        <f t="shared" si="0"/>
        <v/>
      </c>
      <c r="AK50" s="9" t="str">
        <f t="shared" si="1"/>
        <v/>
      </c>
      <c r="AL50" s="7"/>
    </row>
    <row r="51" spans="1:38" ht="14.4" x14ac:dyDescent="0.3">
      <c r="A51" s="7"/>
      <c r="B51" s="7"/>
      <c r="C51" s="7"/>
      <c r="D51" s="7"/>
      <c r="E51" s="7"/>
      <c r="F51" s="7"/>
      <c r="G51" s="10"/>
      <c r="H51" s="10"/>
      <c r="I51" s="7"/>
      <c r="J51" s="7"/>
      <c r="K51" s="7"/>
      <c r="L51" s="7"/>
      <c r="M51" s="10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10"/>
      <c r="Z51" s="10"/>
      <c r="AA51" s="10"/>
      <c r="AB51" s="14"/>
      <c r="AC51" s="11"/>
      <c r="AD51" s="11"/>
      <c r="AE51" s="11"/>
      <c r="AF51" s="11"/>
      <c r="AG51" s="12"/>
      <c r="AH51" s="12"/>
      <c r="AI51" s="11"/>
      <c r="AJ51" s="9" t="str">
        <f t="shared" si="0"/>
        <v/>
      </c>
      <c r="AK51" s="9" t="str">
        <f t="shared" si="1"/>
        <v/>
      </c>
      <c r="AL51" s="7"/>
    </row>
    <row r="52" spans="1:38" ht="14.4" x14ac:dyDescent="0.3">
      <c r="A52" s="7"/>
      <c r="B52" s="7"/>
      <c r="C52" s="7"/>
      <c r="D52" s="7"/>
      <c r="E52" s="7"/>
      <c r="F52" s="7"/>
      <c r="G52" s="10"/>
      <c r="H52" s="10"/>
      <c r="I52" s="7"/>
      <c r="J52" s="7"/>
      <c r="K52" s="7"/>
      <c r="L52" s="7"/>
      <c r="M52" s="10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10"/>
      <c r="Z52" s="10"/>
      <c r="AA52" s="10"/>
      <c r="AB52" s="14"/>
      <c r="AC52" s="11"/>
      <c r="AD52" s="11"/>
      <c r="AE52" s="11"/>
      <c r="AF52" s="11"/>
      <c r="AG52" s="12"/>
      <c r="AH52" s="12"/>
      <c r="AI52" s="11"/>
      <c r="AJ52" s="9" t="str">
        <f t="shared" si="0"/>
        <v/>
      </c>
      <c r="AK52" s="9" t="str">
        <f t="shared" si="1"/>
        <v/>
      </c>
      <c r="AL52" s="7"/>
    </row>
    <row r="53" spans="1:38" ht="14.4" x14ac:dyDescent="0.3">
      <c r="A53" s="7"/>
      <c r="B53" s="7"/>
      <c r="C53" s="7"/>
      <c r="D53" s="7"/>
      <c r="E53" s="7"/>
      <c r="F53" s="7"/>
      <c r="G53" s="10"/>
      <c r="H53" s="10"/>
      <c r="I53" s="7"/>
      <c r="J53" s="7"/>
      <c r="K53" s="7"/>
      <c r="L53" s="7"/>
      <c r="M53" s="10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10"/>
      <c r="Z53" s="10"/>
      <c r="AA53" s="10"/>
      <c r="AB53" s="14"/>
      <c r="AC53" s="11"/>
      <c r="AD53" s="11"/>
      <c r="AE53" s="11"/>
      <c r="AF53" s="11"/>
      <c r="AG53" s="12"/>
      <c r="AH53" s="12"/>
      <c r="AI53" s="11"/>
      <c r="AJ53" s="9" t="str">
        <f t="shared" si="0"/>
        <v/>
      </c>
      <c r="AK53" s="9" t="str">
        <f t="shared" si="1"/>
        <v/>
      </c>
      <c r="AL53" s="7"/>
    </row>
    <row r="54" spans="1:38" ht="14.4" x14ac:dyDescent="0.3">
      <c r="A54" s="7"/>
      <c r="B54" s="7"/>
      <c r="C54" s="7"/>
      <c r="D54" s="7"/>
      <c r="E54" s="7"/>
      <c r="F54" s="7"/>
      <c r="G54" s="10"/>
      <c r="H54" s="10"/>
      <c r="I54" s="7"/>
      <c r="J54" s="7"/>
      <c r="K54" s="7"/>
      <c r="L54" s="7"/>
      <c r="M54" s="10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10"/>
      <c r="Z54" s="10"/>
      <c r="AA54" s="10"/>
      <c r="AB54" s="14"/>
      <c r="AC54" s="11"/>
      <c r="AD54" s="11"/>
      <c r="AE54" s="11"/>
      <c r="AF54" s="11"/>
      <c r="AG54" s="12"/>
      <c r="AH54" s="12"/>
      <c r="AI54" s="11"/>
      <c r="AJ54" s="9" t="str">
        <f t="shared" si="0"/>
        <v/>
      </c>
      <c r="AK54" s="9" t="str">
        <f t="shared" si="1"/>
        <v/>
      </c>
      <c r="AL54" s="7"/>
    </row>
    <row r="55" spans="1:38" ht="14.4" x14ac:dyDescent="0.3">
      <c r="A55" s="7"/>
      <c r="B55" s="7"/>
      <c r="C55" s="7"/>
      <c r="D55" s="7"/>
      <c r="E55" s="7"/>
      <c r="F55" s="7"/>
      <c r="G55" s="10"/>
      <c r="H55" s="10"/>
      <c r="I55" s="7"/>
      <c r="J55" s="7"/>
      <c r="K55" s="7"/>
      <c r="L55" s="7"/>
      <c r="M55" s="10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10"/>
      <c r="Z55" s="10"/>
      <c r="AA55" s="10"/>
      <c r="AB55" s="14"/>
      <c r="AC55" s="11"/>
      <c r="AD55" s="11"/>
      <c r="AE55" s="11"/>
      <c r="AF55" s="11"/>
      <c r="AG55" s="12"/>
      <c r="AH55" s="12"/>
      <c r="AI55" s="11"/>
      <c r="AJ55" s="9" t="str">
        <f t="shared" si="0"/>
        <v/>
      </c>
      <c r="AK55" s="9" t="str">
        <f t="shared" si="1"/>
        <v/>
      </c>
      <c r="AL55" s="7"/>
    </row>
    <row r="56" spans="1:38" ht="14.4" x14ac:dyDescent="0.3">
      <c r="A56" s="7"/>
      <c r="B56" s="7"/>
      <c r="C56" s="7"/>
      <c r="D56" s="7"/>
      <c r="E56" s="7"/>
      <c r="F56" s="7"/>
      <c r="G56" s="10"/>
      <c r="H56" s="10"/>
      <c r="I56" s="7"/>
      <c r="J56" s="7"/>
      <c r="K56" s="7"/>
      <c r="L56" s="7"/>
      <c r="M56" s="10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10"/>
      <c r="Z56" s="10"/>
      <c r="AA56" s="10"/>
      <c r="AB56" s="14"/>
      <c r="AC56" s="11"/>
      <c r="AD56" s="11"/>
      <c r="AE56" s="11"/>
      <c r="AF56" s="11"/>
      <c r="AG56" s="12"/>
      <c r="AH56" s="12"/>
      <c r="AI56" s="11"/>
      <c r="AJ56" s="9" t="str">
        <f t="shared" si="0"/>
        <v/>
      </c>
      <c r="AK56" s="9" t="str">
        <f t="shared" si="1"/>
        <v/>
      </c>
      <c r="AL56" s="7"/>
    </row>
    <row r="57" spans="1:38" ht="14.4" x14ac:dyDescent="0.3">
      <c r="A57" s="7"/>
      <c r="B57" s="7"/>
      <c r="C57" s="7"/>
      <c r="D57" s="7"/>
      <c r="E57" s="7"/>
      <c r="F57" s="7"/>
      <c r="G57" s="10"/>
      <c r="H57" s="10"/>
      <c r="I57" s="7"/>
      <c r="J57" s="7"/>
      <c r="K57" s="7"/>
      <c r="L57" s="7"/>
      <c r="M57" s="10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10"/>
      <c r="Z57" s="10"/>
      <c r="AA57" s="10"/>
      <c r="AB57" s="14"/>
      <c r="AC57" s="11"/>
      <c r="AD57" s="11"/>
      <c r="AE57" s="11"/>
      <c r="AF57" s="11"/>
      <c r="AG57" s="12"/>
      <c r="AH57" s="12"/>
      <c r="AI57" s="11"/>
      <c r="AJ57" s="9" t="str">
        <f t="shared" si="0"/>
        <v/>
      </c>
      <c r="AK57" s="9" t="str">
        <f t="shared" si="1"/>
        <v/>
      </c>
      <c r="AL57" s="7"/>
    </row>
    <row r="58" spans="1:38" ht="14.4" x14ac:dyDescent="0.3">
      <c r="A58" s="7"/>
      <c r="B58" s="7"/>
      <c r="C58" s="7"/>
      <c r="D58" s="7"/>
      <c r="E58" s="7"/>
      <c r="F58" s="7"/>
      <c r="G58" s="10"/>
      <c r="H58" s="10"/>
      <c r="I58" s="7"/>
      <c r="J58" s="7"/>
      <c r="K58" s="7"/>
      <c r="L58" s="7"/>
      <c r="M58" s="10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10"/>
      <c r="Z58" s="10"/>
      <c r="AA58" s="10"/>
      <c r="AB58" s="14"/>
      <c r="AC58" s="11"/>
      <c r="AD58" s="11"/>
      <c r="AE58" s="11"/>
      <c r="AF58" s="11"/>
      <c r="AG58" s="12"/>
      <c r="AH58" s="12"/>
      <c r="AI58" s="11"/>
      <c r="AJ58" s="9" t="str">
        <f t="shared" si="0"/>
        <v/>
      </c>
      <c r="AK58" s="9" t="str">
        <f t="shared" si="1"/>
        <v/>
      </c>
      <c r="AL58" s="7"/>
    </row>
    <row r="59" spans="1:38" ht="14.4" x14ac:dyDescent="0.3">
      <c r="A59" s="7"/>
      <c r="B59" s="7"/>
      <c r="C59" s="7"/>
      <c r="D59" s="7"/>
      <c r="E59" s="7"/>
      <c r="F59" s="7"/>
      <c r="G59" s="10"/>
      <c r="H59" s="10"/>
      <c r="I59" s="7"/>
      <c r="J59" s="7"/>
      <c r="K59" s="7"/>
      <c r="L59" s="7"/>
      <c r="M59" s="10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10"/>
      <c r="Z59" s="10"/>
      <c r="AA59" s="10"/>
      <c r="AB59" s="14"/>
      <c r="AC59" s="11"/>
      <c r="AD59" s="11"/>
      <c r="AE59" s="11"/>
      <c r="AF59" s="11"/>
      <c r="AG59" s="12"/>
      <c r="AH59" s="12"/>
      <c r="AI59" s="11"/>
      <c r="AJ59" s="9" t="str">
        <f t="shared" si="0"/>
        <v/>
      </c>
      <c r="AK59" s="9" t="str">
        <f t="shared" si="1"/>
        <v/>
      </c>
      <c r="AL59" s="7"/>
    </row>
    <row r="60" spans="1:38" ht="14.4" x14ac:dyDescent="0.3">
      <c r="A60" s="7"/>
      <c r="B60" s="7"/>
      <c r="C60" s="7"/>
      <c r="D60" s="7"/>
      <c r="E60" s="7"/>
      <c r="F60" s="7"/>
      <c r="G60" s="10"/>
      <c r="H60" s="10"/>
      <c r="I60" s="7"/>
      <c r="J60" s="7"/>
      <c r="K60" s="7"/>
      <c r="L60" s="7"/>
      <c r="M60" s="10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10"/>
      <c r="Z60" s="10"/>
      <c r="AA60" s="10"/>
      <c r="AB60" s="14"/>
      <c r="AC60" s="11"/>
      <c r="AD60" s="11"/>
      <c r="AE60" s="11"/>
      <c r="AF60" s="11"/>
      <c r="AG60" s="12"/>
      <c r="AH60" s="12"/>
      <c r="AI60" s="11"/>
      <c r="AJ60" s="9" t="str">
        <f t="shared" si="0"/>
        <v/>
      </c>
      <c r="AK60" s="9" t="str">
        <f t="shared" si="1"/>
        <v/>
      </c>
      <c r="AL60" s="7"/>
    </row>
    <row r="61" spans="1:38" ht="14.4" x14ac:dyDescent="0.3">
      <c r="A61" s="7"/>
      <c r="B61" s="7"/>
      <c r="C61" s="7"/>
      <c r="D61" s="7"/>
      <c r="E61" s="7"/>
      <c r="F61" s="7"/>
      <c r="G61" s="10"/>
      <c r="H61" s="10"/>
      <c r="I61" s="7"/>
      <c r="J61" s="7"/>
      <c r="K61" s="7"/>
      <c r="L61" s="7"/>
      <c r="M61" s="10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10"/>
      <c r="Z61" s="10"/>
      <c r="AA61" s="10"/>
      <c r="AB61" s="14"/>
      <c r="AC61" s="11"/>
      <c r="AD61" s="11"/>
      <c r="AE61" s="11"/>
      <c r="AF61" s="11"/>
      <c r="AG61" s="12"/>
      <c r="AH61" s="12"/>
      <c r="AI61" s="11"/>
      <c r="AJ61" s="9" t="str">
        <f t="shared" si="0"/>
        <v/>
      </c>
      <c r="AK61" s="9" t="str">
        <f t="shared" si="1"/>
        <v/>
      </c>
      <c r="AL61" s="7"/>
    </row>
    <row r="62" spans="1:38" ht="14.4" x14ac:dyDescent="0.3">
      <c r="A62" s="7"/>
      <c r="B62" s="7"/>
      <c r="C62" s="7"/>
      <c r="D62" s="7"/>
      <c r="E62" s="7"/>
      <c r="F62" s="7"/>
      <c r="G62" s="10"/>
      <c r="H62" s="10"/>
      <c r="I62" s="7"/>
      <c r="J62" s="7"/>
      <c r="K62" s="7"/>
      <c r="L62" s="7"/>
      <c r="M62" s="10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10"/>
      <c r="Z62" s="10"/>
      <c r="AA62" s="10"/>
      <c r="AB62" s="14"/>
      <c r="AC62" s="11"/>
      <c r="AD62" s="11"/>
      <c r="AE62" s="11"/>
      <c r="AF62" s="11"/>
      <c r="AG62" s="12"/>
      <c r="AH62" s="12"/>
      <c r="AI62" s="11"/>
      <c r="AJ62" s="9" t="str">
        <f t="shared" si="0"/>
        <v/>
      </c>
      <c r="AK62" s="9" t="str">
        <f t="shared" si="1"/>
        <v/>
      </c>
      <c r="AL62" s="7"/>
    </row>
    <row r="63" spans="1:38" ht="14.4" x14ac:dyDescent="0.3">
      <c r="A63" s="7"/>
      <c r="B63" s="7"/>
      <c r="C63" s="7"/>
      <c r="D63" s="7"/>
      <c r="E63" s="7"/>
      <c r="F63" s="7"/>
      <c r="G63" s="10"/>
      <c r="H63" s="10"/>
      <c r="I63" s="7"/>
      <c r="J63" s="7"/>
      <c r="K63" s="7"/>
      <c r="L63" s="7"/>
      <c r="M63" s="10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10"/>
      <c r="Z63" s="10"/>
      <c r="AA63" s="10"/>
      <c r="AB63" s="14"/>
      <c r="AC63" s="11"/>
      <c r="AD63" s="11"/>
      <c r="AE63" s="11"/>
      <c r="AF63" s="11"/>
      <c r="AG63" s="12"/>
      <c r="AH63" s="12"/>
      <c r="AI63" s="11"/>
      <c r="AJ63" s="9" t="str">
        <f t="shared" si="0"/>
        <v/>
      </c>
      <c r="AK63" s="9" t="str">
        <f t="shared" si="1"/>
        <v/>
      </c>
      <c r="AL63" s="7"/>
    </row>
    <row r="64" spans="1:38" ht="14.4" x14ac:dyDescent="0.3">
      <c r="A64" s="7"/>
      <c r="B64" s="7"/>
      <c r="C64" s="7"/>
      <c r="D64" s="7"/>
      <c r="E64" s="7"/>
      <c r="F64" s="7"/>
      <c r="G64" s="10"/>
      <c r="H64" s="10"/>
      <c r="I64" s="7"/>
      <c r="J64" s="7"/>
      <c r="K64" s="7"/>
      <c r="L64" s="7"/>
      <c r="M64" s="10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10"/>
      <c r="Z64" s="10"/>
      <c r="AA64" s="10"/>
      <c r="AB64" s="14"/>
      <c r="AC64" s="11"/>
      <c r="AD64" s="11"/>
      <c r="AE64" s="11"/>
      <c r="AF64" s="11"/>
      <c r="AG64" s="12"/>
      <c r="AH64" s="12"/>
      <c r="AI64" s="11"/>
      <c r="AJ64" s="9" t="str">
        <f t="shared" si="0"/>
        <v/>
      </c>
      <c r="AK64" s="9" t="str">
        <f t="shared" si="1"/>
        <v/>
      </c>
      <c r="AL64" s="7"/>
    </row>
    <row r="65" spans="1:38" ht="14.4" x14ac:dyDescent="0.3">
      <c r="A65" s="7"/>
      <c r="B65" s="7"/>
      <c r="C65" s="7"/>
      <c r="D65" s="7"/>
      <c r="E65" s="7"/>
      <c r="F65" s="7"/>
      <c r="G65" s="10"/>
      <c r="H65" s="10"/>
      <c r="I65" s="7"/>
      <c r="J65" s="7"/>
      <c r="K65" s="7"/>
      <c r="L65" s="7"/>
      <c r="M65" s="10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10"/>
      <c r="Z65" s="10"/>
      <c r="AA65" s="10"/>
      <c r="AB65" s="14"/>
      <c r="AC65" s="11"/>
      <c r="AD65" s="11"/>
      <c r="AE65" s="11"/>
      <c r="AF65" s="11"/>
      <c r="AG65" s="12"/>
      <c r="AH65" s="12"/>
      <c r="AI65" s="11"/>
      <c r="AJ65" s="9" t="str">
        <f t="shared" si="0"/>
        <v/>
      </c>
      <c r="AK65" s="9" t="str">
        <f t="shared" si="1"/>
        <v/>
      </c>
      <c r="AL65" s="7"/>
    </row>
    <row r="66" spans="1:38" ht="14.4" x14ac:dyDescent="0.3">
      <c r="A66" s="7"/>
      <c r="B66" s="7"/>
      <c r="C66" s="7"/>
      <c r="D66" s="7"/>
      <c r="E66" s="7"/>
      <c r="F66" s="7"/>
      <c r="G66" s="10"/>
      <c r="H66" s="10"/>
      <c r="I66" s="7"/>
      <c r="J66" s="7"/>
      <c r="K66" s="7"/>
      <c r="L66" s="7"/>
      <c r="M66" s="10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10"/>
      <c r="Z66" s="10"/>
      <c r="AA66" s="10"/>
      <c r="AB66" s="14"/>
      <c r="AC66" s="11"/>
      <c r="AD66" s="11"/>
      <c r="AE66" s="11"/>
      <c r="AF66" s="11"/>
      <c r="AG66" s="12"/>
      <c r="AH66" s="12"/>
      <c r="AI66" s="11"/>
      <c r="AJ66" s="9" t="str">
        <f t="shared" ref="AJ66:AJ129" si="2">IF(OR(G66="",M66=""),"",M66-G66)</f>
        <v/>
      </c>
      <c r="AK66" s="9" t="str">
        <f t="shared" ref="AK66:AK129" si="3">IF(OR(M66="",AA66=""),"",AA66-M66)</f>
        <v/>
      </c>
      <c r="AL66" s="7"/>
    </row>
    <row r="67" spans="1:38" ht="14.4" x14ac:dyDescent="0.3">
      <c r="A67" s="7"/>
      <c r="B67" s="7"/>
      <c r="C67" s="7"/>
      <c r="D67" s="7"/>
      <c r="E67" s="7"/>
      <c r="F67" s="7"/>
      <c r="G67" s="10"/>
      <c r="H67" s="10"/>
      <c r="I67" s="7"/>
      <c r="J67" s="7"/>
      <c r="K67" s="7"/>
      <c r="L67" s="7"/>
      <c r="M67" s="10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10"/>
      <c r="Z67" s="10"/>
      <c r="AA67" s="10"/>
      <c r="AB67" s="14"/>
      <c r="AC67" s="11"/>
      <c r="AD67" s="11"/>
      <c r="AE67" s="11"/>
      <c r="AF67" s="11"/>
      <c r="AG67" s="12"/>
      <c r="AH67" s="12"/>
      <c r="AI67" s="11"/>
      <c r="AJ67" s="9" t="str">
        <f t="shared" si="2"/>
        <v/>
      </c>
      <c r="AK67" s="9" t="str">
        <f t="shared" si="3"/>
        <v/>
      </c>
      <c r="AL67" s="7"/>
    </row>
    <row r="68" spans="1:38" ht="14.4" x14ac:dyDescent="0.3">
      <c r="A68" s="7"/>
      <c r="B68" s="7"/>
      <c r="C68" s="7"/>
      <c r="D68" s="7"/>
      <c r="E68" s="7"/>
      <c r="F68" s="7"/>
      <c r="G68" s="10"/>
      <c r="H68" s="10"/>
      <c r="I68" s="7"/>
      <c r="J68" s="7"/>
      <c r="K68" s="7"/>
      <c r="L68" s="7"/>
      <c r="M68" s="10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10"/>
      <c r="Z68" s="10"/>
      <c r="AA68" s="10"/>
      <c r="AB68" s="14"/>
      <c r="AC68" s="11"/>
      <c r="AD68" s="11"/>
      <c r="AE68" s="11"/>
      <c r="AF68" s="11"/>
      <c r="AG68" s="12"/>
      <c r="AH68" s="12"/>
      <c r="AI68" s="11"/>
      <c r="AJ68" s="9" t="str">
        <f t="shared" si="2"/>
        <v/>
      </c>
      <c r="AK68" s="9" t="str">
        <f t="shared" si="3"/>
        <v/>
      </c>
      <c r="AL68" s="7"/>
    </row>
    <row r="69" spans="1:38" ht="14.4" x14ac:dyDescent="0.3">
      <c r="A69" s="7"/>
      <c r="B69" s="7"/>
      <c r="C69" s="7"/>
      <c r="D69" s="7"/>
      <c r="E69" s="7"/>
      <c r="F69" s="7"/>
      <c r="G69" s="10"/>
      <c r="H69" s="10"/>
      <c r="I69" s="7"/>
      <c r="J69" s="7"/>
      <c r="K69" s="7"/>
      <c r="L69" s="7"/>
      <c r="M69" s="10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10"/>
      <c r="Z69" s="10"/>
      <c r="AA69" s="10"/>
      <c r="AB69" s="14"/>
      <c r="AC69" s="11"/>
      <c r="AD69" s="11"/>
      <c r="AE69" s="11"/>
      <c r="AF69" s="11"/>
      <c r="AG69" s="12"/>
      <c r="AH69" s="12"/>
      <c r="AI69" s="11"/>
      <c r="AJ69" s="9" t="str">
        <f t="shared" si="2"/>
        <v/>
      </c>
      <c r="AK69" s="9" t="str">
        <f t="shared" si="3"/>
        <v/>
      </c>
      <c r="AL69" s="7"/>
    </row>
    <row r="70" spans="1:38" ht="14.4" x14ac:dyDescent="0.3">
      <c r="A70" s="7"/>
      <c r="B70" s="7"/>
      <c r="C70" s="7"/>
      <c r="D70" s="7"/>
      <c r="E70" s="7"/>
      <c r="F70" s="7"/>
      <c r="G70" s="10"/>
      <c r="H70" s="10"/>
      <c r="I70" s="7"/>
      <c r="J70" s="7"/>
      <c r="K70" s="7"/>
      <c r="L70" s="7"/>
      <c r="M70" s="10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10"/>
      <c r="Z70" s="10"/>
      <c r="AA70" s="10"/>
      <c r="AB70" s="14"/>
      <c r="AC70" s="11"/>
      <c r="AD70" s="11"/>
      <c r="AE70" s="11"/>
      <c r="AF70" s="11"/>
      <c r="AG70" s="12"/>
      <c r="AH70" s="12"/>
      <c r="AI70" s="11"/>
      <c r="AJ70" s="9" t="str">
        <f t="shared" si="2"/>
        <v/>
      </c>
      <c r="AK70" s="9" t="str">
        <f t="shared" si="3"/>
        <v/>
      </c>
      <c r="AL70" s="7"/>
    </row>
    <row r="71" spans="1:38" ht="14.4" x14ac:dyDescent="0.3">
      <c r="A71" s="7"/>
      <c r="B71" s="7"/>
      <c r="C71" s="7"/>
      <c r="D71" s="7"/>
      <c r="E71" s="7"/>
      <c r="F71" s="7"/>
      <c r="G71" s="10"/>
      <c r="H71" s="10"/>
      <c r="I71" s="7"/>
      <c r="J71" s="7"/>
      <c r="K71" s="7"/>
      <c r="L71" s="7"/>
      <c r="M71" s="10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10"/>
      <c r="Z71" s="10"/>
      <c r="AA71" s="10"/>
      <c r="AB71" s="14"/>
      <c r="AC71" s="11"/>
      <c r="AD71" s="11"/>
      <c r="AE71" s="11"/>
      <c r="AF71" s="11"/>
      <c r="AG71" s="12"/>
      <c r="AH71" s="12"/>
      <c r="AI71" s="11"/>
      <c r="AJ71" s="9" t="str">
        <f t="shared" si="2"/>
        <v/>
      </c>
      <c r="AK71" s="9" t="str">
        <f t="shared" si="3"/>
        <v/>
      </c>
      <c r="AL71" s="7"/>
    </row>
    <row r="72" spans="1:38" ht="14.4" x14ac:dyDescent="0.3">
      <c r="A72" s="7"/>
      <c r="B72" s="7"/>
      <c r="C72" s="7"/>
      <c r="D72" s="7"/>
      <c r="E72" s="7"/>
      <c r="F72" s="7"/>
      <c r="G72" s="10"/>
      <c r="H72" s="10"/>
      <c r="I72" s="7"/>
      <c r="J72" s="7"/>
      <c r="K72" s="7"/>
      <c r="L72" s="7"/>
      <c r="M72" s="10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10"/>
      <c r="Z72" s="10"/>
      <c r="AA72" s="10"/>
      <c r="AB72" s="14"/>
      <c r="AC72" s="11"/>
      <c r="AD72" s="11"/>
      <c r="AE72" s="11"/>
      <c r="AF72" s="11"/>
      <c r="AG72" s="12"/>
      <c r="AH72" s="12"/>
      <c r="AI72" s="11"/>
      <c r="AJ72" s="9" t="str">
        <f t="shared" si="2"/>
        <v/>
      </c>
      <c r="AK72" s="9" t="str">
        <f t="shared" si="3"/>
        <v/>
      </c>
      <c r="AL72" s="7"/>
    </row>
    <row r="73" spans="1:38" ht="14.4" x14ac:dyDescent="0.3">
      <c r="A73" s="7"/>
      <c r="B73" s="7"/>
      <c r="C73" s="7"/>
      <c r="D73" s="7"/>
      <c r="E73" s="7"/>
      <c r="F73" s="7"/>
      <c r="G73" s="10"/>
      <c r="H73" s="10"/>
      <c r="I73" s="7"/>
      <c r="J73" s="7"/>
      <c r="K73" s="7"/>
      <c r="L73" s="7"/>
      <c r="M73" s="10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10"/>
      <c r="Z73" s="10"/>
      <c r="AA73" s="10"/>
      <c r="AB73" s="14"/>
      <c r="AC73" s="11"/>
      <c r="AD73" s="11"/>
      <c r="AE73" s="11"/>
      <c r="AF73" s="11"/>
      <c r="AG73" s="12"/>
      <c r="AH73" s="12"/>
      <c r="AI73" s="11"/>
      <c r="AJ73" s="9" t="str">
        <f t="shared" si="2"/>
        <v/>
      </c>
      <c r="AK73" s="9" t="str">
        <f t="shared" si="3"/>
        <v/>
      </c>
      <c r="AL73" s="7"/>
    </row>
    <row r="74" spans="1:38" ht="14.4" x14ac:dyDescent="0.3">
      <c r="A74" s="7"/>
      <c r="B74" s="7"/>
      <c r="C74" s="7"/>
      <c r="D74" s="7"/>
      <c r="E74" s="7"/>
      <c r="F74" s="7"/>
      <c r="G74" s="10"/>
      <c r="H74" s="10"/>
      <c r="I74" s="7"/>
      <c r="J74" s="7"/>
      <c r="K74" s="7"/>
      <c r="L74" s="7"/>
      <c r="M74" s="10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10"/>
      <c r="Z74" s="10"/>
      <c r="AA74" s="10"/>
      <c r="AB74" s="14"/>
      <c r="AC74" s="11"/>
      <c r="AD74" s="11"/>
      <c r="AE74" s="11"/>
      <c r="AF74" s="11"/>
      <c r="AG74" s="12"/>
      <c r="AH74" s="12"/>
      <c r="AI74" s="11"/>
      <c r="AJ74" s="9" t="str">
        <f t="shared" si="2"/>
        <v/>
      </c>
      <c r="AK74" s="9" t="str">
        <f t="shared" si="3"/>
        <v/>
      </c>
      <c r="AL74" s="7"/>
    </row>
    <row r="75" spans="1:38" ht="14.4" x14ac:dyDescent="0.3">
      <c r="A75" s="7"/>
      <c r="B75" s="7"/>
      <c r="C75" s="7"/>
      <c r="D75" s="7"/>
      <c r="E75" s="7"/>
      <c r="F75" s="7"/>
      <c r="G75" s="10"/>
      <c r="H75" s="10"/>
      <c r="I75" s="7"/>
      <c r="J75" s="7"/>
      <c r="K75" s="7"/>
      <c r="L75" s="7"/>
      <c r="M75" s="10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10"/>
      <c r="Z75" s="10"/>
      <c r="AA75" s="10"/>
      <c r="AB75" s="14"/>
      <c r="AC75" s="11"/>
      <c r="AD75" s="11"/>
      <c r="AE75" s="11"/>
      <c r="AF75" s="11"/>
      <c r="AG75" s="12"/>
      <c r="AH75" s="12"/>
      <c r="AI75" s="11"/>
      <c r="AJ75" s="9" t="str">
        <f t="shared" si="2"/>
        <v/>
      </c>
      <c r="AK75" s="9" t="str">
        <f t="shared" si="3"/>
        <v/>
      </c>
      <c r="AL75" s="7"/>
    </row>
    <row r="76" spans="1:38" ht="14.4" x14ac:dyDescent="0.3">
      <c r="A76" s="7"/>
      <c r="B76" s="7"/>
      <c r="C76" s="7"/>
      <c r="D76" s="7"/>
      <c r="E76" s="7"/>
      <c r="F76" s="7"/>
      <c r="G76" s="10"/>
      <c r="H76" s="10"/>
      <c r="I76" s="7"/>
      <c r="J76" s="7"/>
      <c r="K76" s="7"/>
      <c r="L76" s="7"/>
      <c r="M76" s="10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10"/>
      <c r="Z76" s="10"/>
      <c r="AA76" s="10"/>
      <c r="AB76" s="14"/>
      <c r="AC76" s="11"/>
      <c r="AD76" s="11"/>
      <c r="AE76" s="11"/>
      <c r="AF76" s="11"/>
      <c r="AG76" s="12"/>
      <c r="AH76" s="12"/>
      <c r="AI76" s="11"/>
      <c r="AJ76" s="9" t="str">
        <f t="shared" si="2"/>
        <v/>
      </c>
      <c r="AK76" s="9" t="str">
        <f t="shared" si="3"/>
        <v/>
      </c>
      <c r="AL76" s="7"/>
    </row>
    <row r="77" spans="1:38" ht="14.4" x14ac:dyDescent="0.3">
      <c r="A77" s="7"/>
      <c r="B77" s="7"/>
      <c r="C77" s="7"/>
      <c r="D77" s="7"/>
      <c r="E77" s="7"/>
      <c r="F77" s="7"/>
      <c r="G77" s="10"/>
      <c r="H77" s="10"/>
      <c r="I77" s="7"/>
      <c r="J77" s="7"/>
      <c r="K77" s="7"/>
      <c r="L77" s="7"/>
      <c r="M77" s="10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10"/>
      <c r="Z77" s="10"/>
      <c r="AA77" s="10"/>
      <c r="AB77" s="14"/>
      <c r="AC77" s="11"/>
      <c r="AD77" s="11"/>
      <c r="AE77" s="11"/>
      <c r="AF77" s="11"/>
      <c r="AG77" s="12"/>
      <c r="AH77" s="12"/>
      <c r="AI77" s="11"/>
      <c r="AJ77" s="9" t="str">
        <f t="shared" si="2"/>
        <v/>
      </c>
      <c r="AK77" s="9" t="str">
        <f t="shared" si="3"/>
        <v/>
      </c>
      <c r="AL77" s="7"/>
    </row>
    <row r="78" spans="1:38" ht="14.4" x14ac:dyDescent="0.3">
      <c r="A78" s="7"/>
      <c r="B78" s="7"/>
      <c r="C78" s="7"/>
      <c r="D78" s="7"/>
      <c r="E78" s="7"/>
      <c r="F78" s="7"/>
      <c r="G78" s="10"/>
      <c r="H78" s="10"/>
      <c r="I78" s="7"/>
      <c r="J78" s="7"/>
      <c r="K78" s="7"/>
      <c r="L78" s="7"/>
      <c r="M78" s="10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10"/>
      <c r="Z78" s="10"/>
      <c r="AA78" s="10"/>
      <c r="AB78" s="14"/>
      <c r="AC78" s="11"/>
      <c r="AD78" s="11"/>
      <c r="AE78" s="11"/>
      <c r="AF78" s="11"/>
      <c r="AG78" s="12"/>
      <c r="AH78" s="12"/>
      <c r="AI78" s="11"/>
      <c r="AJ78" s="9" t="str">
        <f t="shared" si="2"/>
        <v/>
      </c>
      <c r="AK78" s="9" t="str">
        <f t="shared" si="3"/>
        <v/>
      </c>
      <c r="AL78" s="7"/>
    </row>
    <row r="79" spans="1:38" ht="14.4" x14ac:dyDescent="0.3">
      <c r="A79" s="7"/>
      <c r="B79" s="7"/>
      <c r="C79" s="7"/>
      <c r="D79" s="7"/>
      <c r="E79" s="7"/>
      <c r="F79" s="7"/>
      <c r="G79" s="10"/>
      <c r="H79" s="10"/>
      <c r="I79" s="7"/>
      <c r="J79" s="7"/>
      <c r="K79" s="7"/>
      <c r="L79" s="7"/>
      <c r="M79" s="10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10"/>
      <c r="Z79" s="10"/>
      <c r="AA79" s="10"/>
      <c r="AB79" s="14"/>
      <c r="AC79" s="11"/>
      <c r="AD79" s="11"/>
      <c r="AE79" s="11"/>
      <c r="AF79" s="11"/>
      <c r="AG79" s="12"/>
      <c r="AH79" s="12"/>
      <c r="AI79" s="11"/>
      <c r="AJ79" s="9" t="str">
        <f t="shared" si="2"/>
        <v/>
      </c>
      <c r="AK79" s="9" t="str">
        <f t="shared" si="3"/>
        <v/>
      </c>
      <c r="AL79" s="7"/>
    </row>
    <row r="80" spans="1:38" ht="14.4" x14ac:dyDescent="0.3">
      <c r="A80" s="7"/>
      <c r="B80" s="7"/>
      <c r="C80" s="7"/>
      <c r="D80" s="7"/>
      <c r="E80" s="7"/>
      <c r="F80" s="7"/>
      <c r="G80" s="10"/>
      <c r="H80" s="10"/>
      <c r="I80" s="7"/>
      <c r="J80" s="7"/>
      <c r="K80" s="7"/>
      <c r="L80" s="7"/>
      <c r="M80" s="10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10"/>
      <c r="Z80" s="10"/>
      <c r="AA80" s="10"/>
      <c r="AB80" s="14"/>
      <c r="AC80" s="11"/>
      <c r="AD80" s="11"/>
      <c r="AE80" s="11"/>
      <c r="AF80" s="11"/>
      <c r="AG80" s="12"/>
      <c r="AH80" s="12"/>
      <c r="AI80" s="11"/>
      <c r="AJ80" s="9" t="str">
        <f t="shared" si="2"/>
        <v/>
      </c>
      <c r="AK80" s="9" t="str">
        <f t="shared" si="3"/>
        <v/>
      </c>
      <c r="AL80" s="7"/>
    </row>
    <row r="81" spans="1:38" ht="14.4" x14ac:dyDescent="0.3">
      <c r="A81" s="7"/>
      <c r="B81" s="7"/>
      <c r="C81" s="7"/>
      <c r="D81" s="7"/>
      <c r="E81" s="7"/>
      <c r="F81" s="7"/>
      <c r="G81" s="10"/>
      <c r="H81" s="10"/>
      <c r="I81" s="7"/>
      <c r="J81" s="7"/>
      <c r="K81" s="7"/>
      <c r="L81" s="7"/>
      <c r="M81" s="10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10"/>
      <c r="Z81" s="10"/>
      <c r="AA81" s="10"/>
      <c r="AB81" s="14"/>
      <c r="AC81" s="11"/>
      <c r="AD81" s="11"/>
      <c r="AE81" s="11"/>
      <c r="AF81" s="11"/>
      <c r="AG81" s="12"/>
      <c r="AH81" s="12"/>
      <c r="AI81" s="11"/>
      <c r="AJ81" s="9" t="str">
        <f t="shared" si="2"/>
        <v/>
      </c>
      <c r="AK81" s="9" t="str">
        <f t="shared" si="3"/>
        <v/>
      </c>
      <c r="AL81" s="7"/>
    </row>
    <row r="82" spans="1:38" ht="14.4" x14ac:dyDescent="0.3">
      <c r="A82" s="7"/>
      <c r="B82" s="7"/>
      <c r="C82" s="7"/>
      <c r="D82" s="7"/>
      <c r="E82" s="7"/>
      <c r="F82" s="7"/>
      <c r="G82" s="10"/>
      <c r="H82" s="10"/>
      <c r="I82" s="7"/>
      <c r="J82" s="7"/>
      <c r="K82" s="7"/>
      <c r="L82" s="7"/>
      <c r="M82" s="10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10"/>
      <c r="Z82" s="10"/>
      <c r="AA82" s="10"/>
      <c r="AB82" s="14"/>
      <c r="AC82" s="11"/>
      <c r="AD82" s="11"/>
      <c r="AE82" s="11"/>
      <c r="AF82" s="11"/>
      <c r="AG82" s="12"/>
      <c r="AH82" s="12"/>
      <c r="AI82" s="11"/>
      <c r="AJ82" s="9" t="str">
        <f t="shared" si="2"/>
        <v/>
      </c>
      <c r="AK82" s="9" t="str">
        <f t="shared" si="3"/>
        <v/>
      </c>
      <c r="AL82" s="7"/>
    </row>
    <row r="83" spans="1:38" ht="14.4" x14ac:dyDescent="0.3">
      <c r="A83" s="7"/>
      <c r="B83" s="7"/>
      <c r="C83" s="7"/>
      <c r="D83" s="7"/>
      <c r="E83" s="7"/>
      <c r="F83" s="7"/>
      <c r="G83" s="10"/>
      <c r="H83" s="10"/>
      <c r="I83" s="7"/>
      <c r="J83" s="7"/>
      <c r="K83" s="7"/>
      <c r="L83" s="7"/>
      <c r="M83" s="10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10"/>
      <c r="Z83" s="10"/>
      <c r="AA83" s="10"/>
      <c r="AB83" s="14"/>
      <c r="AC83" s="11"/>
      <c r="AD83" s="11"/>
      <c r="AE83" s="11"/>
      <c r="AF83" s="11"/>
      <c r="AG83" s="12"/>
      <c r="AH83" s="12"/>
      <c r="AI83" s="11"/>
      <c r="AJ83" s="9" t="str">
        <f t="shared" si="2"/>
        <v/>
      </c>
      <c r="AK83" s="9" t="str">
        <f t="shared" si="3"/>
        <v/>
      </c>
      <c r="AL83" s="7"/>
    </row>
    <row r="84" spans="1:38" ht="14.4" x14ac:dyDescent="0.3">
      <c r="A84" s="7"/>
      <c r="B84" s="7"/>
      <c r="C84" s="7"/>
      <c r="D84" s="7"/>
      <c r="E84" s="7"/>
      <c r="F84" s="7"/>
      <c r="G84" s="10"/>
      <c r="H84" s="10"/>
      <c r="I84" s="7"/>
      <c r="J84" s="7"/>
      <c r="K84" s="7"/>
      <c r="L84" s="7"/>
      <c r="M84" s="10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10"/>
      <c r="Z84" s="10"/>
      <c r="AA84" s="10"/>
      <c r="AB84" s="14"/>
      <c r="AC84" s="11"/>
      <c r="AD84" s="11"/>
      <c r="AE84" s="11"/>
      <c r="AF84" s="11"/>
      <c r="AG84" s="12"/>
      <c r="AH84" s="12"/>
      <c r="AI84" s="11"/>
      <c r="AJ84" s="9" t="str">
        <f t="shared" si="2"/>
        <v/>
      </c>
      <c r="AK84" s="9" t="str">
        <f t="shared" si="3"/>
        <v/>
      </c>
      <c r="AL84" s="7"/>
    </row>
    <row r="85" spans="1:38" ht="14.4" x14ac:dyDescent="0.3">
      <c r="A85" s="7"/>
      <c r="B85" s="7"/>
      <c r="C85" s="7"/>
      <c r="D85" s="7"/>
      <c r="E85" s="7"/>
      <c r="F85" s="7"/>
      <c r="G85" s="10"/>
      <c r="H85" s="10"/>
      <c r="I85" s="7"/>
      <c r="J85" s="7"/>
      <c r="K85" s="7"/>
      <c r="L85" s="7"/>
      <c r="M85" s="10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10"/>
      <c r="Z85" s="10"/>
      <c r="AA85" s="10"/>
      <c r="AB85" s="14"/>
      <c r="AC85" s="11"/>
      <c r="AD85" s="11"/>
      <c r="AE85" s="11"/>
      <c r="AF85" s="11"/>
      <c r="AG85" s="12"/>
      <c r="AH85" s="12"/>
      <c r="AI85" s="11"/>
      <c r="AJ85" s="9" t="str">
        <f t="shared" si="2"/>
        <v/>
      </c>
      <c r="AK85" s="9" t="str">
        <f t="shared" si="3"/>
        <v/>
      </c>
      <c r="AL85" s="7"/>
    </row>
    <row r="86" spans="1:38" ht="14.4" x14ac:dyDescent="0.3">
      <c r="A86" s="7"/>
      <c r="B86" s="7"/>
      <c r="C86" s="7"/>
      <c r="D86" s="7"/>
      <c r="E86" s="7"/>
      <c r="F86" s="7"/>
      <c r="G86" s="10"/>
      <c r="H86" s="10"/>
      <c r="I86" s="7"/>
      <c r="J86" s="7"/>
      <c r="K86" s="7"/>
      <c r="L86" s="7"/>
      <c r="M86" s="10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10"/>
      <c r="Z86" s="10"/>
      <c r="AA86" s="10"/>
      <c r="AB86" s="14"/>
      <c r="AC86" s="11"/>
      <c r="AD86" s="11"/>
      <c r="AE86" s="11"/>
      <c r="AF86" s="11"/>
      <c r="AG86" s="12"/>
      <c r="AH86" s="12"/>
      <c r="AI86" s="11"/>
      <c r="AJ86" s="9" t="str">
        <f t="shared" si="2"/>
        <v/>
      </c>
      <c r="AK86" s="9" t="str">
        <f t="shared" si="3"/>
        <v/>
      </c>
      <c r="AL86" s="7"/>
    </row>
    <row r="87" spans="1:38" ht="14.4" x14ac:dyDescent="0.3">
      <c r="A87" s="7"/>
      <c r="B87" s="7"/>
      <c r="C87" s="7"/>
      <c r="D87" s="7"/>
      <c r="E87" s="7"/>
      <c r="F87" s="7"/>
      <c r="G87" s="10"/>
      <c r="H87" s="10"/>
      <c r="I87" s="7"/>
      <c r="J87" s="7"/>
      <c r="K87" s="7"/>
      <c r="L87" s="7"/>
      <c r="M87" s="10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10"/>
      <c r="Z87" s="10"/>
      <c r="AA87" s="10"/>
      <c r="AB87" s="14"/>
      <c r="AC87" s="11"/>
      <c r="AD87" s="11"/>
      <c r="AE87" s="11"/>
      <c r="AF87" s="11"/>
      <c r="AG87" s="12"/>
      <c r="AH87" s="12"/>
      <c r="AI87" s="11"/>
      <c r="AJ87" s="9" t="str">
        <f t="shared" si="2"/>
        <v/>
      </c>
      <c r="AK87" s="9" t="str">
        <f t="shared" si="3"/>
        <v/>
      </c>
      <c r="AL87" s="7"/>
    </row>
    <row r="88" spans="1:38" ht="14.4" x14ac:dyDescent="0.3">
      <c r="A88" s="7"/>
      <c r="B88" s="7"/>
      <c r="C88" s="7"/>
      <c r="D88" s="7"/>
      <c r="E88" s="7"/>
      <c r="F88" s="7"/>
      <c r="G88" s="10"/>
      <c r="H88" s="10"/>
      <c r="I88" s="7"/>
      <c r="J88" s="7"/>
      <c r="K88" s="7"/>
      <c r="L88" s="7"/>
      <c r="M88" s="10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10"/>
      <c r="Z88" s="10"/>
      <c r="AA88" s="10"/>
      <c r="AB88" s="14"/>
      <c r="AC88" s="11"/>
      <c r="AD88" s="11"/>
      <c r="AE88" s="11"/>
      <c r="AF88" s="11"/>
      <c r="AG88" s="12"/>
      <c r="AH88" s="12"/>
      <c r="AI88" s="11"/>
      <c r="AJ88" s="9" t="str">
        <f t="shared" si="2"/>
        <v/>
      </c>
      <c r="AK88" s="9" t="str">
        <f t="shared" si="3"/>
        <v/>
      </c>
      <c r="AL88" s="7"/>
    </row>
    <row r="89" spans="1:38" ht="14.4" x14ac:dyDescent="0.3">
      <c r="A89" s="7"/>
      <c r="B89" s="7"/>
      <c r="C89" s="7"/>
      <c r="D89" s="7"/>
      <c r="E89" s="7"/>
      <c r="F89" s="7"/>
      <c r="G89" s="10"/>
      <c r="H89" s="10"/>
      <c r="I89" s="7"/>
      <c r="J89" s="7"/>
      <c r="K89" s="7"/>
      <c r="L89" s="7"/>
      <c r="M89" s="10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10"/>
      <c r="Z89" s="10"/>
      <c r="AA89" s="10"/>
      <c r="AB89" s="14"/>
      <c r="AC89" s="11"/>
      <c r="AD89" s="11"/>
      <c r="AE89" s="11"/>
      <c r="AF89" s="11"/>
      <c r="AG89" s="12"/>
      <c r="AH89" s="12"/>
      <c r="AI89" s="11"/>
      <c r="AJ89" s="9" t="str">
        <f t="shared" si="2"/>
        <v/>
      </c>
      <c r="AK89" s="9" t="str">
        <f t="shared" si="3"/>
        <v/>
      </c>
      <c r="AL89" s="7"/>
    </row>
    <row r="90" spans="1:38" ht="14.4" x14ac:dyDescent="0.3">
      <c r="A90" s="7"/>
      <c r="B90" s="7"/>
      <c r="C90" s="7"/>
      <c r="D90" s="7"/>
      <c r="E90" s="7"/>
      <c r="F90" s="7"/>
      <c r="G90" s="10"/>
      <c r="H90" s="10"/>
      <c r="I90" s="7"/>
      <c r="J90" s="7"/>
      <c r="K90" s="7"/>
      <c r="L90" s="7"/>
      <c r="M90" s="10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10"/>
      <c r="Z90" s="10"/>
      <c r="AA90" s="10"/>
      <c r="AB90" s="14"/>
      <c r="AC90" s="11"/>
      <c r="AD90" s="11"/>
      <c r="AE90" s="11"/>
      <c r="AF90" s="11"/>
      <c r="AG90" s="12"/>
      <c r="AH90" s="12"/>
      <c r="AI90" s="11"/>
      <c r="AJ90" s="9" t="str">
        <f t="shared" si="2"/>
        <v/>
      </c>
      <c r="AK90" s="9" t="str">
        <f t="shared" si="3"/>
        <v/>
      </c>
      <c r="AL90" s="7"/>
    </row>
    <row r="91" spans="1:38" ht="14.4" x14ac:dyDescent="0.3">
      <c r="A91" s="7"/>
      <c r="B91" s="7"/>
      <c r="C91" s="7"/>
      <c r="D91" s="7"/>
      <c r="E91" s="7"/>
      <c r="F91" s="7"/>
      <c r="G91" s="10"/>
      <c r="H91" s="10"/>
      <c r="I91" s="7"/>
      <c r="J91" s="7"/>
      <c r="K91" s="7"/>
      <c r="L91" s="7"/>
      <c r="M91" s="10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10"/>
      <c r="Z91" s="10"/>
      <c r="AA91" s="10"/>
      <c r="AB91" s="14"/>
      <c r="AC91" s="11"/>
      <c r="AD91" s="11"/>
      <c r="AE91" s="11"/>
      <c r="AF91" s="11"/>
      <c r="AG91" s="12"/>
      <c r="AH91" s="12"/>
      <c r="AI91" s="11"/>
      <c r="AJ91" s="9" t="str">
        <f t="shared" si="2"/>
        <v/>
      </c>
      <c r="AK91" s="9" t="str">
        <f t="shared" si="3"/>
        <v/>
      </c>
      <c r="AL91" s="7"/>
    </row>
    <row r="92" spans="1:38" ht="14.4" x14ac:dyDescent="0.3">
      <c r="A92" s="7"/>
      <c r="B92" s="7"/>
      <c r="C92" s="7"/>
      <c r="D92" s="7"/>
      <c r="E92" s="7"/>
      <c r="F92" s="7"/>
      <c r="G92" s="10"/>
      <c r="H92" s="10"/>
      <c r="I92" s="7"/>
      <c r="J92" s="7"/>
      <c r="K92" s="7"/>
      <c r="L92" s="7"/>
      <c r="M92" s="10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10"/>
      <c r="Z92" s="10"/>
      <c r="AA92" s="10"/>
      <c r="AB92" s="14"/>
      <c r="AC92" s="11"/>
      <c r="AD92" s="11"/>
      <c r="AE92" s="11"/>
      <c r="AF92" s="11"/>
      <c r="AG92" s="12"/>
      <c r="AH92" s="12"/>
      <c r="AI92" s="11"/>
      <c r="AJ92" s="9" t="str">
        <f t="shared" si="2"/>
        <v/>
      </c>
      <c r="AK92" s="9" t="str">
        <f t="shared" si="3"/>
        <v/>
      </c>
      <c r="AL92" s="7"/>
    </row>
    <row r="93" spans="1:38" ht="14.4" x14ac:dyDescent="0.3">
      <c r="A93" s="7"/>
      <c r="B93" s="7"/>
      <c r="C93" s="7"/>
      <c r="D93" s="7"/>
      <c r="E93" s="7"/>
      <c r="F93" s="7"/>
      <c r="G93" s="10"/>
      <c r="H93" s="10"/>
      <c r="I93" s="7"/>
      <c r="J93" s="7"/>
      <c r="K93" s="7"/>
      <c r="L93" s="7"/>
      <c r="M93" s="10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10"/>
      <c r="Z93" s="10"/>
      <c r="AA93" s="10"/>
      <c r="AB93" s="14"/>
      <c r="AC93" s="11"/>
      <c r="AD93" s="11"/>
      <c r="AE93" s="11"/>
      <c r="AF93" s="11"/>
      <c r="AG93" s="12"/>
      <c r="AH93" s="12"/>
      <c r="AI93" s="11"/>
      <c r="AJ93" s="9" t="str">
        <f t="shared" si="2"/>
        <v/>
      </c>
      <c r="AK93" s="9" t="str">
        <f t="shared" si="3"/>
        <v/>
      </c>
      <c r="AL93" s="7"/>
    </row>
    <row r="94" spans="1:38" ht="14.4" x14ac:dyDescent="0.3">
      <c r="A94" s="7"/>
      <c r="B94" s="7"/>
      <c r="C94" s="7"/>
      <c r="D94" s="7"/>
      <c r="E94" s="7"/>
      <c r="F94" s="7"/>
      <c r="G94" s="10"/>
      <c r="H94" s="10"/>
      <c r="I94" s="7"/>
      <c r="J94" s="7"/>
      <c r="K94" s="7"/>
      <c r="L94" s="7"/>
      <c r="M94" s="10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10"/>
      <c r="Z94" s="10"/>
      <c r="AA94" s="10"/>
      <c r="AB94" s="14"/>
      <c r="AC94" s="11"/>
      <c r="AD94" s="11"/>
      <c r="AE94" s="11"/>
      <c r="AF94" s="11"/>
      <c r="AG94" s="12"/>
      <c r="AH94" s="12"/>
      <c r="AI94" s="11"/>
      <c r="AJ94" s="9" t="str">
        <f t="shared" si="2"/>
        <v/>
      </c>
      <c r="AK94" s="9" t="str">
        <f t="shared" si="3"/>
        <v/>
      </c>
      <c r="AL94" s="7"/>
    </row>
    <row r="95" spans="1:38" ht="14.4" x14ac:dyDescent="0.3">
      <c r="A95" s="7"/>
      <c r="B95" s="7"/>
      <c r="C95" s="7"/>
      <c r="D95" s="7"/>
      <c r="E95" s="7"/>
      <c r="F95" s="7"/>
      <c r="G95" s="10"/>
      <c r="H95" s="10"/>
      <c r="I95" s="7"/>
      <c r="J95" s="7"/>
      <c r="K95" s="7"/>
      <c r="L95" s="7"/>
      <c r="M95" s="10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10"/>
      <c r="Z95" s="10"/>
      <c r="AA95" s="10"/>
      <c r="AB95" s="14"/>
      <c r="AC95" s="11"/>
      <c r="AD95" s="11"/>
      <c r="AE95" s="11"/>
      <c r="AF95" s="11"/>
      <c r="AG95" s="12"/>
      <c r="AH95" s="12"/>
      <c r="AI95" s="11"/>
      <c r="AJ95" s="9" t="str">
        <f t="shared" si="2"/>
        <v/>
      </c>
      <c r="AK95" s="9" t="str">
        <f t="shared" si="3"/>
        <v/>
      </c>
      <c r="AL95" s="7"/>
    </row>
    <row r="96" spans="1:38" ht="14.4" x14ac:dyDescent="0.3">
      <c r="A96" s="7"/>
      <c r="B96" s="7"/>
      <c r="C96" s="7"/>
      <c r="D96" s="7"/>
      <c r="E96" s="7"/>
      <c r="F96" s="7"/>
      <c r="G96" s="10"/>
      <c r="H96" s="10"/>
      <c r="I96" s="7"/>
      <c r="J96" s="7"/>
      <c r="K96" s="7"/>
      <c r="L96" s="7"/>
      <c r="M96" s="10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10"/>
      <c r="Z96" s="10"/>
      <c r="AA96" s="10"/>
      <c r="AB96" s="14"/>
      <c r="AC96" s="11"/>
      <c r="AD96" s="11"/>
      <c r="AE96" s="11"/>
      <c r="AF96" s="11"/>
      <c r="AG96" s="12"/>
      <c r="AH96" s="12"/>
      <c r="AI96" s="11"/>
      <c r="AJ96" s="9" t="str">
        <f t="shared" si="2"/>
        <v/>
      </c>
      <c r="AK96" s="9" t="str">
        <f t="shared" si="3"/>
        <v/>
      </c>
      <c r="AL96" s="7"/>
    </row>
    <row r="97" spans="1:38" ht="14.4" x14ac:dyDescent="0.3">
      <c r="A97" s="7"/>
      <c r="B97" s="7"/>
      <c r="C97" s="7"/>
      <c r="D97" s="7"/>
      <c r="E97" s="7"/>
      <c r="F97" s="7"/>
      <c r="G97" s="10"/>
      <c r="H97" s="10"/>
      <c r="I97" s="7"/>
      <c r="J97" s="7"/>
      <c r="K97" s="7"/>
      <c r="L97" s="7"/>
      <c r="M97" s="10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10"/>
      <c r="Z97" s="10"/>
      <c r="AA97" s="10"/>
      <c r="AB97" s="14"/>
      <c r="AC97" s="11"/>
      <c r="AD97" s="11"/>
      <c r="AE97" s="11"/>
      <c r="AF97" s="11"/>
      <c r="AG97" s="12"/>
      <c r="AH97" s="12"/>
      <c r="AI97" s="11"/>
      <c r="AJ97" s="9" t="str">
        <f t="shared" si="2"/>
        <v/>
      </c>
      <c r="AK97" s="9" t="str">
        <f t="shared" si="3"/>
        <v/>
      </c>
      <c r="AL97" s="7"/>
    </row>
    <row r="98" spans="1:38" ht="14.4" x14ac:dyDescent="0.3">
      <c r="A98" s="7"/>
      <c r="B98" s="7"/>
      <c r="C98" s="7"/>
      <c r="D98" s="7"/>
      <c r="E98" s="7"/>
      <c r="F98" s="7"/>
      <c r="G98" s="10"/>
      <c r="H98" s="10"/>
      <c r="I98" s="7"/>
      <c r="J98" s="7"/>
      <c r="K98" s="7"/>
      <c r="L98" s="7"/>
      <c r="M98" s="10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10"/>
      <c r="Z98" s="10"/>
      <c r="AA98" s="10"/>
      <c r="AB98" s="14"/>
      <c r="AC98" s="11"/>
      <c r="AD98" s="11"/>
      <c r="AE98" s="11"/>
      <c r="AF98" s="11"/>
      <c r="AG98" s="12"/>
      <c r="AH98" s="12"/>
      <c r="AI98" s="11"/>
      <c r="AJ98" s="9" t="str">
        <f t="shared" si="2"/>
        <v/>
      </c>
      <c r="AK98" s="9" t="str">
        <f t="shared" si="3"/>
        <v/>
      </c>
      <c r="AL98" s="7"/>
    </row>
    <row r="99" spans="1:38" ht="14.4" x14ac:dyDescent="0.3">
      <c r="A99" s="7"/>
      <c r="B99" s="7"/>
      <c r="C99" s="7"/>
      <c r="D99" s="7"/>
      <c r="E99" s="7"/>
      <c r="F99" s="7"/>
      <c r="G99" s="10"/>
      <c r="H99" s="10"/>
      <c r="I99" s="7"/>
      <c r="J99" s="7"/>
      <c r="K99" s="7"/>
      <c r="L99" s="7"/>
      <c r="M99" s="10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10"/>
      <c r="Z99" s="10"/>
      <c r="AA99" s="10"/>
      <c r="AB99" s="14"/>
      <c r="AC99" s="11"/>
      <c r="AD99" s="11"/>
      <c r="AE99" s="11"/>
      <c r="AF99" s="11"/>
      <c r="AG99" s="12"/>
      <c r="AH99" s="12"/>
      <c r="AI99" s="11"/>
      <c r="AJ99" s="9" t="str">
        <f t="shared" si="2"/>
        <v/>
      </c>
      <c r="AK99" s="9" t="str">
        <f t="shared" si="3"/>
        <v/>
      </c>
      <c r="AL99" s="7"/>
    </row>
    <row r="100" spans="1:38" ht="14.4" x14ac:dyDescent="0.3">
      <c r="A100" s="7"/>
      <c r="B100" s="7"/>
      <c r="C100" s="7"/>
      <c r="D100" s="7"/>
      <c r="E100" s="7"/>
      <c r="F100" s="7"/>
      <c r="G100" s="10"/>
      <c r="H100" s="10"/>
      <c r="I100" s="7"/>
      <c r="J100" s="7"/>
      <c r="K100" s="7"/>
      <c r="L100" s="7"/>
      <c r="M100" s="10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10"/>
      <c r="Z100" s="10"/>
      <c r="AA100" s="10"/>
      <c r="AB100" s="14"/>
      <c r="AC100" s="11"/>
      <c r="AD100" s="11"/>
      <c r="AE100" s="11"/>
      <c r="AF100" s="11"/>
      <c r="AG100" s="12"/>
      <c r="AH100" s="12"/>
      <c r="AI100" s="11"/>
      <c r="AJ100" s="9" t="str">
        <f t="shared" si="2"/>
        <v/>
      </c>
      <c r="AK100" s="9" t="str">
        <f t="shared" si="3"/>
        <v/>
      </c>
      <c r="AL100" s="7"/>
    </row>
    <row r="101" spans="1:38" ht="14.4" x14ac:dyDescent="0.3">
      <c r="A101" s="7"/>
      <c r="B101" s="7"/>
      <c r="C101" s="7"/>
      <c r="D101" s="7"/>
      <c r="E101" s="7"/>
      <c r="F101" s="7"/>
      <c r="G101" s="10"/>
      <c r="H101" s="10"/>
      <c r="I101" s="7"/>
      <c r="J101" s="7"/>
      <c r="K101" s="7"/>
      <c r="L101" s="7"/>
      <c r="M101" s="10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10"/>
      <c r="Z101" s="10"/>
      <c r="AA101" s="10"/>
      <c r="AB101" s="14"/>
      <c r="AC101" s="11"/>
      <c r="AD101" s="11"/>
      <c r="AE101" s="11"/>
      <c r="AF101" s="11"/>
      <c r="AG101" s="12"/>
      <c r="AH101" s="12"/>
      <c r="AI101" s="11"/>
      <c r="AJ101" s="9" t="str">
        <f t="shared" si="2"/>
        <v/>
      </c>
      <c r="AK101" s="9" t="str">
        <f t="shared" si="3"/>
        <v/>
      </c>
      <c r="AL101" s="7"/>
    </row>
    <row r="102" spans="1:38" ht="14.4" x14ac:dyDescent="0.3">
      <c r="A102" s="7"/>
      <c r="B102" s="7"/>
      <c r="C102" s="7"/>
      <c r="D102" s="7"/>
      <c r="E102" s="7"/>
      <c r="F102" s="7"/>
      <c r="G102" s="10"/>
      <c r="H102" s="10"/>
      <c r="I102" s="7"/>
      <c r="J102" s="7"/>
      <c r="K102" s="7"/>
      <c r="L102" s="7"/>
      <c r="M102" s="10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10"/>
      <c r="Z102" s="10"/>
      <c r="AA102" s="10"/>
      <c r="AB102" s="14"/>
      <c r="AC102" s="11"/>
      <c r="AD102" s="11"/>
      <c r="AE102" s="11"/>
      <c r="AF102" s="11"/>
      <c r="AG102" s="12"/>
      <c r="AH102" s="12"/>
      <c r="AI102" s="11"/>
      <c r="AJ102" s="9" t="str">
        <f t="shared" si="2"/>
        <v/>
      </c>
      <c r="AK102" s="9" t="str">
        <f t="shared" si="3"/>
        <v/>
      </c>
      <c r="AL102" s="7"/>
    </row>
    <row r="103" spans="1:38" ht="14.4" x14ac:dyDescent="0.3">
      <c r="A103" s="7"/>
      <c r="B103" s="7"/>
      <c r="C103" s="7"/>
      <c r="D103" s="7"/>
      <c r="E103" s="7"/>
      <c r="F103" s="7"/>
      <c r="G103" s="10"/>
      <c r="H103" s="10"/>
      <c r="I103" s="7"/>
      <c r="J103" s="7"/>
      <c r="K103" s="7"/>
      <c r="L103" s="7"/>
      <c r="M103" s="10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10"/>
      <c r="Z103" s="10"/>
      <c r="AA103" s="10"/>
      <c r="AB103" s="14"/>
      <c r="AC103" s="11"/>
      <c r="AD103" s="11"/>
      <c r="AE103" s="11"/>
      <c r="AF103" s="11"/>
      <c r="AG103" s="12"/>
      <c r="AH103" s="12"/>
      <c r="AI103" s="11"/>
      <c r="AJ103" s="9" t="str">
        <f t="shared" si="2"/>
        <v/>
      </c>
      <c r="AK103" s="9" t="str">
        <f t="shared" si="3"/>
        <v/>
      </c>
      <c r="AL103" s="7"/>
    </row>
    <row r="104" spans="1:38" ht="14.4" x14ac:dyDescent="0.3">
      <c r="A104" s="7"/>
      <c r="B104" s="7"/>
      <c r="C104" s="7"/>
      <c r="D104" s="7"/>
      <c r="E104" s="7"/>
      <c r="F104" s="7"/>
      <c r="G104" s="10"/>
      <c r="H104" s="10"/>
      <c r="I104" s="7"/>
      <c r="J104" s="7"/>
      <c r="K104" s="7"/>
      <c r="L104" s="7"/>
      <c r="M104" s="10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10"/>
      <c r="Z104" s="10"/>
      <c r="AA104" s="10"/>
      <c r="AB104" s="14"/>
      <c r="AC104" s="11"/>
      <c r="AD104" s="11"/>
      <c r="AE104" s="11"/>
      <c r="AF104" s="11"/>
      <c r="AG104" s="12"/>
      <c r="AH104" s="12"/>
      <c r="AI104" s="11"/>
      <c r="AJ104" s="9" t="str">
        <f t="shared" si="2"/>
        <v/>
      </c>
      <c r="AK104" s="9" t="str">
        <f t="shared" si="3"/>
        <v/>
      </c>
      <c r="AL104" s="7"/>
    </row>
    <row r="105" spans="1:38" ht="14.4" x14ac:dyDescent="0.3">
      <c r="A105" s="7"/>
      <c r="B105" s="7"/>
      <c r="C105" s="7"/>
      <c r="D105" s="7"/>
      <c r="E105" s="7"/>
      <c r="F105" s="7"/>
      <c r="G105" s="10"/>
      <c r="H105" s="10"/>
      <c r="I105" s="7"/>
      <c r="J105" s="7"/>
      <c r="K105" s="7"/>
      <c r="L105" s="7"/>
      <c r="M105" s="10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10"/>
      <c r="Z105" s="10"/>
      <c r="AA105" s="10"/>
      <c r="AB105" s="14"/>
      <c r="AC105" s="11"/>
      <c r="AD105" s="11"/>
      <c r="AE105" s="11"/>
      <c r="AF105" s="11"/>
      <c r="AG105" s="12"/>
      <c r="AH105" s="12"/>
      <c r="AI105" s="11"/>
      <c r="AJ105" s="9" t="str">
        <f t="shared" si="2"/>
        <v/>
      </c>
      <c r="AK105" s="9" t="str">
        <f t="shared" si="3"/>
        <v/>
      </c>
      <c r="AL105" s="7"/>
    </row>
    <row r="106" spans="1:38" ht="14.4" x14ac:dyDescent="0.3">
      <c r="A106" s="7"/>
      <c r="B106" s="7"/>
      <c r="C106" s="7"/>
      <c r="D106" s="7"/>
      <c r="E106" s="7"/>
      <c r="F106" s="7"/>
      <c r="G106" s="10"/>
      <c r="H106" s="10"/>
      <c r="I106" s="7"/>
      <c r="J106" s="7"/>
      <c r="K106" s="7"/>
      <c r="L106" s="7"/>
      <c r="M106" s="10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10"/>
      <c r="Z106" s="10"/>
      <c r="AA106" s="10"/>
      <c r="AB106" s="14"/>
      <c r="AC106" s="11"/>
      <c r="AD106" s="11"/>
      <c r="AE106" s="11"/>
      <c r="AF106" s="11"/>
      <c r="AG106" s="12"/>
      <c r="AH106" s="12"/>
      <c r="AI106" s="11"/>
      <c r="AJ106" s="9" t="str">
        <f t="shared" si="2"/>
        <v/>
      </c>
      <c r="AK106" s="9" t="str">
        <f t="shared" si="3"/>
        <v/>
      </c>
      <c r="AL106" s="7"/>
    </row>
    <row r="107" spans="1:38" ht="14.4" x14ac:dyDescent="0.3">
      <c r="A107" s="7"/>
      <c r="B107" s="7"/>
      <c r="C107" s="7"/>
      <c r="D107" s="7"/>
      <c r="E107" s="7"/>
      <c r="F107" s="7"/>
      <c r="G107" s="10"/>
      <c r="H107" s="10"/>
      <c r="I107" s="7"/>
      <c r="J107" s="7"/>
      <c r="K107" s="7"/>
      <c r="L107" s="7"/>
      <c r="M107" s="10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10"/>
      <c r="Z107" s="10"/>
      <c r="AA107" s="10"/>
      <c r="AB107" s="14"/>
      <c r="AC107" s="11"/>
      <c r="AD107" s="11"/>
      <c r="AE107" s="11"/>
      <c r="AF107" s="11"/>
      <c r="AG107" s="12"/>
      <c r="AH107" s="12"/>
      <c r="AI107" s="11"/>
      <c r="AJ107" s="9" t="str">
        <f t="shared" si="2"/>
        <v/>
      </c>
      <c r="AK107" s="9" t="str">
        <f t="shared" si="3"/>
        <v/>
      </c>
      <c r="AL107" s="7"/>
    </row>
    <row r="108" spans="1:38" ht="14.4" x14ac:dyDescent="0.3">
      <c r="A108" s="7"/>
      <c r="B108" s="7"/>
      <c r="C108" s="7"/>
      <c r="D108" s="7"/>
      <c r="E108" s="7"/>
      <c r="F108" s="7"/>
      <c r="G108" s="10"/>
      <c r="H108" s="10"/>
      <c r="I108" s="7"/>
      <c r="J108" s="7"/>
      <c r="K108" s="7"/>
      <c r="L108" s="7"/>
      <c r="M108" s="10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10"/>
      <c r="Z108" s="10"/>
      <c r="AA108" s="10"/>
      <c r="AB108" s="14"/>
      <c r="AC108" s="11"/>
      <c r="AD108" s="11"/>
      <c r="AE108" s="11"/>
      <c r="AF108" s="11"/>
      <c r="AG108" s="12"/>
      <c r="AH108" s="12"/>
      <c r="AI108" s="11"/>
      <c r="AJ108" s="9" t="str">
        <f t="shared" si="2"/>
        <v/>
      </c>
      <c r="AK108" s="9" t="str">
        <f t="shared" si="3"/>
        <v/>
      </c>
      <c r="AL108" s="7"/>
    </row>
    <row r="109" spans="1:38" ht="14.4" x14ac:dyDescent="0.3">
      <c r="A109" s="7"/>
      <c r="B109" s="7"/>
      <c r="C109" s="7"/>
      <c r="D109" s="7"/>
      <c r="E109" s="7"/>
      <c r="F109" s="7"/>
      <c r="G109" s="10"/>
      <c r="H109" s="10"/>
      <c r="I109" s="7"/>
      <c r="J109" s="7"/>
      <c r="K109" s="7"/>
      <c r="L109" s="7"/>
      <c r="M109" s="10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10"/>
      <c r="Z109" s="10"/>
      <c r="AA109" s="10"/>
      <c r="AB109" s="14"/>
      <c r="AC109" s="11"/>
      <c r="AD109" s="11"/>
      <c r="AE109" s="11"/>
      <c r="AF109" s="11"/>
      <c r="AG109" s="12"/>
      <c r="AH109" s="12"/>
      <c r="AI109" s="11"/>
      <c r="AJ109" s="9" t="str">
        <f t="shared" si="2"/>
        <v/>
      </c>
      <c r="AK109" s="9" t="str">
        <f t="shared" si="3"/>
        <v/>
      </c>
      <c r="AL109" s="7"/>
    </row>
    <row r="110" spans="1:38" ht="14.4" x14ac:dyDescent="0.3">
      <c r="A110" s="7"/>
      <c r="B110" s="7"/>
      <c r="C110" s="7"/>
      <c r="D110" s="7"/>
      <c r="E110" s="7"/>
      <c r="F110" s="7"/>
      <c r="G110" s="10"/>
      <c r="H110" s="10"/>
      <c r="I110" s="7"/>
      <c r="J110" s="7"/>
      <c r="K110" s="7"/>
      <c r="L110" s="7"/>
      <c r="M110" s="10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10"/>
      <c r="Z110" s="10"/>
      <c r="AA110" s="10"/>
      <c r="AB110" s="14"/>
      <c r="AC110" s="11"/>
      <c r="AD110" s="11"/>
      <c r="AE110" s="11"/>
      <c r="AF110" s="11"/>
      <c r="AG110" s="12"/>
      <c r="AH110" s="12"/>
      <c r="AI110" s="11"/>
      <c r="AJ110" s="9" t="str">
        <f t="shared" si="2"/>
        <v/>
      </c>
      <c r="AK110" s="9" t="str">
        <f t="shared" si="3"/>
        <v/>
      </c>
      <c r="AL110" s="7"/>
    </row>
    <row r="111" spans="1:38" ht="14.4" x14ac:dyDescent="0.3">
      <c r="A111" s="7"/>
      <c r="B111" s="7"/>
      <c r="C111" s="7"/>
      <c r="D111" s="7"/>
      <c r="E111" s="7"/>
      <c r="F111" s="7"/>
      <c r="G111" s="10"/>
      <c r="H111" s="10"/>
      <c r="I111" s="7"/>
      <c r="J111" s="7"/>
      <c r="K111" s="7"/>
      <c r="L111" s="7"/>
      <c r="M111" s="10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10"/>
      <c r="Z111" s="10"/>
      <c r="AA111" s="10"/>
      <c r="AB111" s="14"/>
      <c r="AC111" s="11"/>
      <c r="AD111" s="11"/>
      <c r="AE111" s="11"/>
      <c r="AF111" s="11"/>
      <c r="AG111" s="12"/>
      <c r="AH111" s="12"/>
      <c r="AI111" s="11"/>
      <c r="AJ111" s="9" t="str">
        <f t="shared" si="2"/>
        <v/>
      </c>
      <c r="AK111" s="9" t="str">
        <f t="shared" si="3"/>
        <v/>
      </c>
      <c r="AL111" s="7"/>
    </row>
    <row r="112" spans="1:38" ht="14.4" x14ac:dyDescent="0.3">
      <c r="A112" s="7"/>
      <c r="B112" s="7"/>
      <c r="C112" s="7"/>
      <c r="D112" s="7"/>
      <c r="E112" s="7"/>
      <c r="F112" s="7"/>
      <c r="G112" s="10"/>
      <c r="H112" s="10"/>
      <c r="I112" s="7"/>
      <c r="J112" s="7"/>
      <c r="K112" s="7"/>
      <c r="L112" s="7"/>
      <c r="M112" s="10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10"/>
      <c r="Z112" s="10"/>
      <c r="AA112" s="10"/>
      <c r="AB112" s="14"/>
      <c r="AC112" s="11"/>
      <c r="AD112" s="11"/>
      <c r="AE112" s="11"/>
      <c r="AF112" s="11"/>
      <c r="AG112" s="12"/>
      <c r="AH112" s="12"/>
      <c r="AI112" s="11"/>
      <c r="AJ112" s="9" t="str">
        <f t="shared" si="2"/>
        <v/>
      </c>
      <c r="AK112" s="9" t="str">
        <f t="shared" si="3"/>
        <v/>
      </c>
      <c r="AL112" s="7"/>
    </row>
    <row r="113" spans="1:38" ht="14.4" x14ac:dyDescent="0.3">
      <c r="A113" s="7"/>
      <c r="B113" s="7"/>
      <c r="C113" s="7"/>
      <c r="D113" s="7"/>
      <c r="E113" s="7"/>
      <c r="F113" s="7"/>
      <c r="G113" s="10"/>
      <c r="H113" s="10"/>
      <c r="I113" s="7"/>
      <c r="J113" s="7"/>
      <c r="K113" s="7"/>
      <c r="L113" s="7"/>
      <c r="M113" s="10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10"/>
      <c r="Z113" s="10"/>
      <c r="AA113" s="10"/>
      <c r="AB113" s="14"/>
      <c r="AC113" s="11"/>
      <c r="AD113" s="11"/>
      <c r="AE113" s="11"/>
      <c r="AF113" s="11"/>
      <c r="AG113" s="12"/>
      <c r="AH113" s="12"/>
      <c r="AI113" s="11"/>
      <c r="AJ113" s="9" t="str">
        <f t="shared" si="2"/>
        <v/>
      </c>
      <c r="AK113" s="9" t="str">
        <f t="shared" si="3"/>
        <v/>
      </c>
      <c r="AL113" s="7"/>
    </row>
    <row r="114" spans="1:38" ht="14.4" x14ac:dyDescent="0.3">
      <c r="A114" s="7"/>
      <c r="B114" s="7"/>
      <c r="C114" s="7"/>
      <c r="D114" s="7"/>
      <c r="E114" s="7"/>
      <c r="F114" s="7"/>
      <c r="G114" s="10"/>
      <c r="H114" s="10"/>
      <c r="I114" s="7"/>
      <c r="J114" s="7"/>
      <c r="K114" s="7"/>
      <c r="L114" s="7"/>
      <c r="M114" s="10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10"/>
      <c r="Z114" s="10"/>
      <c r="AA114" s="10"/>
      <c r="AB114" s="14"/>
      <c r="AC114" s="11"/>
      <c r="AD114" s="11"/>
      <c r="AE114" s="11"/>
      <c r="AF114" s="11"/>
      <c r="AG114" s="12"/>
      <c r="AH114" s="12"/>
      <c r="AI114" s="11"/>
      <c r="AJ114" s="9" t="str">
        <f t="shared" si="2"/>
        <v/>
      </c>
      <c r="AK114" s="9" t="str">
        <f t="shared" si="3"/>
        <v/>
      </c>
      <c r="AL114" s="7"/>
    </row>
    <row r="115" spans="1:38" ht="14.4" x14ac:dyDescent="0.3">
      <c r="A115" s="7"/>
      <c r="B115" s="7"/>
      <c r="C115" s="7"/>
      <c r="D115" s="7"/>
      <c r="E115" s="7"/>
      <c r="F115" s="7"/>
      <c r="G115" s="10"/>
      <c r="H115" s="10"/>
      <c r="I115" s="7"/>
      <c r="J115" s="7"/>
      <c r="K115" s="7"/>
      <c r="L115" s="7"/>
      <c r="M115" s="10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10"/>
      <c r="Z115" s="10"/>
      <c r="AA115" s="10"/>
      <c r="AB115" s="14"/>
      <c r="AC115" s="11"/>
      <c r="AD115" s="11"/>
      <c r="AE115" s="11"/>
      <c r="AF115" s="11"/>
      <c r="AG115" s="12"/>
      <c r="AH115" s="12"/>
      <c r="AI115" s="11"/>
      <c r="AJ115" s="9" t="str">
        <f t="shared" si="2"/>
        <v/>
      </c>
      <c r="AK115" s="9" t="str">
        <f t="shared" si="3"/>
        <v/>
      </c>
      <c r="AL115" s="7"/>
    </row>
    <row r="116" spans="1:38" ht="14.4" x14ac:dyDescent="0.3">
      <c r="A116" s="7"/>
      <c r="B116" s="7"/>
      <c r="C116" s="7"/>
      <c r="D116" s="7"/>
      <c r="E116" s="7"/>
      <c r="F116" s="7"/>
      <c r="G116" s="10"/>
      <c r="H116" s="10"/>
      <c r="I116" s="7"/>
      <c r="J116" s="7"/>
      <c r="K116" s="7"/>
      <c r="L116" s="7"/>
      <c r="M116" s="10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10"/>
      <c r="Z116" s="10"/>
      <c r="AA116" s="10"/>
      <c r="AB116" s="14"/>
      <c r="AC116" s="11"/>
      <c r="AD116" s="11"/>
      <c r="AE116" s="11"/>
      <c r="AF116" s="11"/>
      <c r="AG116" s="12"/>
      <c r="AH116" s="12"/>
      <c r="AI116" s="11"/>
      <c r="AJ116" s="9" t="str">
        <f t="shared" si="2"/>
        <v/>
      </c>
      <c r="AK116" s="9" t="str">
        <f t="shared" si="3"/>
        <v/>
      </c>
      <c r="AL116" s="7"/>
    </row>
    <row r="117" spans="1:38" ht="14.4" x14ac:dyDescent="0.3">
      <c r="A117" s="7"/>
      <c r="B117" s="7"/>
      <c r="C117" s="7"/>
      <c r="D117" s="7"/>
      <c r="E117" s="7"/>
      <c r="F117" s="7"/>
      <c r="G117" s="10"/>
      <c r="H117" s="10"/>
      <c r="I117" s="7"/>
      <c r="J117" s="7"/>
      <c r="K117" s="7"/>
      <c r="L117" s="7"/>
      <c r="M117" s="10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10"/>
      <c r="Z117" s="10"/>
      <c r="AA117" s="10"/>
      <c r="AB117" s="14"/>
      <c r="AC117" s="11"/>
      <c r="AD117" s="11"/>
      <c r="AE117" s="11"/>
      <c r="AF117" s="11"/>
      <c r="AG117" s="12"/>
      <c r="AH117" s="12"/>
      <c r="AI117" s="11"/>
      <c r="AJ117" s="9" t="str">
        <f t="shared" si="2"/>
        <v/>
      </c>
      <c r="AK117" s="9" t="str">
        <f t="shared" si="3"/>
        <v/>
      </c>
      <c r="AL117" s="7"/>
    </row>
    <row r="118" spans="1:38" ht="14.4" x14ac:dyDescent="0.3">
      <c r="A118" s="7"/>
      <c r="B118" s="7"/>
      <c r="C118" s="7"/>
      <c r="D118" s="7"/>
      <c r="E118" s="7"/>
      <c r="F118" s="7"/>
      <c r="G118" s="10"/>
      <c r="H118" s="10"/>
      <c r="I118" s="7"/>
      <c r="J118" s="7"/>
      <c r="K118" s="7"/>
      <c r="L118" s="7"/>
      <c r="M118" s="10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10"/>
      <c r="Z118" s="10"/>
      <c r="AA118" s="10"/>
      <c r="AB118" s="14"/>
      <c r="AC118" s="11"/>
      <c r="AD118" s="11"/>
      <c r="AE118" s="11"/>
      <c r="AF118" s="11"/>
      <c r="AG118" s="12"/>
      <c r="AH118" s="12"/>
      <c r="AI118" s="11"/>
      <c r="AJ118" s="9" t="str">
        <f t="shared" si="2"/>
        <v/>
      </c>
      <c r="AK118" s="9" t="str">
        <f t="shared" si="3"/>
        <v/>
      </c>
      <c r="AL118" s="7"/>
    </row>
    <row r="119" spans="1:38" ht="14.4" x14ac:dyDescent="0.3">
      <c r="A119" s="7"/>
      <c r="B119" s="7"/>
      <c r="C119" s="7"/>
      <c r="D119" s="7"/>
      <c r="E119" s="7"/>
      <c r="F119" s="7"/>
      <c r="G119" s="10"/>
      <c r="H119" s="10"/>
      <c r="I119" s="7"/>
      <c r="J119" s="7"/>
      <c r="K119" s="7"/>
      <c r="L119" s="7"/>
      <c r="M119" s="10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10"/>
      <c r="Z119" s="10"/>
      <c r="AA119" s="10"/>
      <c r="AB119" s="14"/>
      <c r="AC119" s="11"/>
      <c r="AD119" s="11"/>
      <c r="AE119" s="11"/>
      <c r="AF119" s="11"/>
      <c r="AG119" s="12"/>
      <c r="AH119" s="12"/>
      <c r="AI119" s="11"/>
      <c r="AJ119" s="9" t="str">
        <f t="shared" si="2"/>
        <v/>
      </c>
      <c r="AK119" s="9" t="str">
        <f t="shared" si="3"/>
        <v/>
      </c>
      <c r="AL119" s="7"/>
    </row>
    <row r="120" spans="1:38" ht="14.4" x14ac:dyDescent="0.3">
      <c r="A120" s="7"/>
      <c r="B120" s="7"/>
      <c r="C120" s="7"/>
      <c r="D120" s="7"/>
      <c r="E120" s="7"/>
      <c r="F120" s="7"/>
      <c r="G120" s="10"/>
      <c r="H120" s="10"/>
      <c r="I120" s="7"/>
      <c r="J120" s="7"/>
      <c r="K120" s="7"/>
      <c r="L120" s="7"/>
      <c r="M120" s="10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10"/>
      <c r="Z120" s="10"/>
      <c r="AA120" s="10"/>
      <c r="AB120" s="14"/>
      <c r="AC120" s="11"/>
      <c r="AD120" s="11"/>
      <c r="AE120" s="11"/>
      <c r="AF120" s="11"/>
      <c r="AG120" s="12"/>
      <c r="AH120" s="12"/>
      <c r="AI120" s="11"/>
      <c r="AJ120" s="9" t="str">
        <f t="shared" si="2"/>
        <v/>
      </c>
      <c r="AK120" s="9" t="str">
        <f t="shared" si="3"/>
        <v/>
      </c>
      <c r="AL120" s="7"/>
    </row>
    <row r="121" spans="1:38" ht="14.4" x14ac:dyDescent="0.3">
      <c r="A121" s="7"/>
      <c r="B121" s="7"/>
      <c r="C121" s="7"/>
      <c r="D121" s="7"/>
      <c r="E121" s="7"/>
      <c r="F121" s="7"/>
      <c r="G121" s="10"/>
      <c r="H121" s="10"/>
      <c r="I121" s="7"/>
      <c r="J121" s="7"/>
      <c r="K121" s="7"/>
      <c r="L121" s="7"/>
      <c r="M121" s="10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10"/>
      <c r="Z121" s="10"/>
      <c r="AA121" s="10"/>
      <c r="AB121" s="14"/>
      <c r="AC121" s="11"/>
      <c r="AD121" s="11"/>
      <c r="AE121" s="11"/>
      <c r="AF121" s="11"/>
      <c r="AG121" s="12"/>
      <c r="AH121" s="12"/>
      <c r="AI121" s="11"/>
      <c r="AJ121" s="9" t="str">
        <f t="shared" si="2"/>
        <v/>
      </c>
      <c r="AK121" s="9" t="str">
        <f t="shared" si="3"/>
        <v/>
      </c>
      <c r="AL121" s="7"/>
    </row>
    <row r="122" spans="1:38" ht="14.4" x14ac:dyDescent="0.3">
      <c r="A122" s="7"/>
      <c r="B122" s="7"/>
      <c r="C122" s="7"/>
      <c r="D122" s="7"/>
      <c r="E122" s="7"/>
      <c r="F122" s="7"/>
      <c r="G122" s="10"/>
      <c r="H122" s="10"/>
      <c r="I122" s="7"/>
      <c r="J122" s="7"/>
      <c r="K122" s="7"/>
      <c r="L122" s="7"/>
      <c r="M122" s="10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10"/>
      <c r="Z122" s="10"/>
      <c r="AA122" s="10"/>
      <c r="AB122" s="14"/>
      <c r="AC122" s="11"/>
      <c r="AD122" s="11"/>
      <c r="AE122" s="11"/>
      <c r="AF122" s="11"/>
      <c r="AG122" s="12"/>
      <c r="AH122" s="12"/>
      <c r="AI122" s="11"/>
      <c r="AJ122" s="9" t="str">
        <f t="shared" si="2"/>
        <v/>
      </c>
      <c r="AK122" s="9" t="str">
        <f t="shared" si="3"/>
        <v/>
      </c>
      <c r="AL122" s="7"/>
    </row>
    <row r="123" spans="1:38" ht="14.4" x14ac:dyDescent="0.3">
      <c r="A123" s="7"/>
      <c r="B123" s="7"/>
      <c r="C123" s="7"/>
      <c r="D123" s="7"/>
      <c r="E123" s="7"/>
      <c r="F123" s="7"/>
      <c r="G123" s="10"/>
      <c r="H123" s="10"/>
      <c r="I123" s="7"/>
      <c r="J123" s="7"/>
      <c r="K123" s="7"/>
      <c r="L123" s="7"/>
      <c r="M123" s="10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10"/>
      <c r="Z123" s="10"/>
      <c r="AA123" s="10"/>
      <c r="AB123" s="14"/>
      <c r="AC123" s="11"/>
      <c r="AD123" s="11"/>
      <c r="AE123" s="11"/>
      <c r="AF123" s="11"/>
      <c r="AG123" s="12"/>
      <c r="AH123" s="12"/>
      <c r="AI123" s="11"/>
      <c r="AJ123" s="9" t="str">
        <f t="shared" si="2"/>
        <v/>
      </c>
      <c r="AK123" s="9" t="str">
        <f t="shared" si="3"/>
        <v/>
      </c>
      <c r="AL123" s="7"/>
    </row>
    <row r="124" spans="1:38" ht="14.4" x14ac:dyDescent="0.3">
      <c r="A124" s="7"/>
      <c r="B124" s="7"/>
      <c r="C124" s="7"/>
      <c r="D124" s="7"/>
      <c r="E124" s="7"/>
      <c r="F124" s="7"/>
      <c r="G124" s="10"/>
      <c r="H124" s="10"/>
      <c r="I124" s="7"/>
      <c r="J124" s="7"/>
      <c r="K124" s="7"/>
      <c r="L124" s="7"/>
      <c r="M124" s="10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10"/>
      <c r="Z124" s="10"/>
      <c r="AA124" s="10"/>
      <c r="AB124" s="14"/>
      <c r="AC124" s="11"/>
      <c r="AD124" s="11"/>
      <c r="AE124" s="11"/>
      <c r="AF124" s="11"/>
      <c r="AG124" s="12"/>
      <c r="AH124" s="12"/>
      <c r="AI124" s="11"/>
      <c r="AJ124" s="9" t="str">
        <f t="shared" si="2"/>
        <v/>
      </c>
      <c r="AK124" s="9" t="str">
        <f t="shared" si="3"/>
        <v/>
      </c>
      <c r="AL124" s="7"/>
    </row>
    <row r="125" spans="1:38" ht="14.4" x14ac:dyDescent="0.3">
      <c r="A125" s="7"/>
      <c r="B125" s="7"/>
      <c r="C125" s="7"/>
      <c r="D125" s="7"/>
      <c r="E125" s="7"/>
      <c r="F125" s="7"/>
      <c r="G125" s="10"/>
      <c r="H125" s="10"/>
      <c r="I125" s="7"/>
      <c r="J125" s="7"/>
      <c r="K125" s="7"/>
      <c r="L125" s="7"/>
      <c r="M125" s="10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10"/>
      <c r="Z125" s="10"/>
      <c r="AA125" s="10"/>
      <c r="AB125" s="14"/>
      <c r="AC125" s="11"/>
      <c r="AD125" s="11"/>
      <c r="AE125" s="11"/>
      <c r="AF125" s="11"/>
      <c r="AG125" s="12"/>
      <c r="AH125" s="12"/>
      <c r="AI125" s="11"/>
      <c r="AJ125" s="9" t="str">
        <f t="shared" si="2"/>
        <v/>
      </c>
      <c r="AK125" s="9" t="str">
        <f t="shared" si="3"/>
        <v/>
      </c>
      <c r="AL125" s="7"/>
    </row>
    <row r="126" spans="1:38" ht="14.4" x14ac:dyDescent="0.3">
      <c r="A126" s="7"/>
      <c r="B126" s="7"/>
      <c r="C126" s="7"/>
      <c r="D126" s="7"/>
      <c r="E126" s="7"/>
      <c r="F126" s="7"/>
      <c r="G126" s="10"/>
      <c r="H126" s="10"/>
      <c r="I126" s="7"/>
      <c r="J126" s="7"/>
      <c r="K126" s="7"/>
      <c r="L126" s="7"/>
      <c r="M126" s="10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10"/>
      <c r="Z126" s="10"/>
      <c r="AA126" s="10"/>
      <c r="AB126" s="14"/>
      <c r="AC126" s="11"/>
      <c r="AD126" s="11"/>
      <c r="AE126" s="11"/>
      <c r="AF126" s="11"/>
      <c r="AG126" s="12"/>
      <c r="AH126" s="12"/>
      <c r="AI126" s="11"/>
      <c r="AJ126" s="9" t="str">
        <f t="shared" si="2"/>
        <v/>
      </c>
      <c r="AK126" s="9" t="str">
        <f t="shared" si="3"/>
        <v/>
      </c>
      <c r="AL126" s="7"/>
    </row>
    <row r="127" spans="1:38" ht="14.4" x14ac:dyDescent="0.3">
      <c r="A127" s="7"/>
      <c r="B127" s="7"/>
      <c r="C127" s="7"/>
      <c r="D127" s="7"/>
      <c r="E127" s="7"/>
      <c r="F127" s="7"/>
      <c r="G127" s="10"/>
      <c r="H127" s="10"/>
      <c r="I127" s="7"/>
      <c r="J127" s="7"/>
      <c r="K127" s="7"/>
      <c r="L127" s="7"/>
      <c r="M127" s="10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10"/>
      <c r="Z127" s="10"/>
      <c r="AA127" s="10"/>
      <c r="AB127" s="14"/>
      <c r="AC127" s="11"/>
      <c r="AD127" s="11"/>
      <c r="AE127" s="11"/>
      <c r="AF127" s="11"/>
      <c r="AG127" s="12"/>
      <c r="AH127" s="12"/>
      <c r="AI127" s="11"/>
      <c r="AJ127" s="9" t="str">
        <f t="shared" si="2"/>
        <v/>
      </c>
      <c r="AK127" s="9" t="str">
        <f t="shared" si="3"/>
        <v/>
      </c>
      <c r="AL127" s="7"/>
    </row>
    <row r="128" spans="1:38" ht="14.4" x14ac:dyDescent="0.3">
      <c r="A128" s="7"/>
      <c r="B128" s="7"/>
      <c r="C128" s="7"/>
      <c r="D128" s="7"/>
      <c r="E128" s="7"/>
      <c r="F128" s="7"/>
      <c r="G128" s="10"/>
      <c r="H128" s="10"/>
      <c r="I128" s="7"/>
      <c r="J128" s="7"/>
      <c r="K128" s="7"/>
      <c r="L128" s="7"/>
      <c r="M128" s="10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10"/>
      <c r="Z128" s="10"/>
      <c r="AA128" s="10"/>
      <c r="AB128" s="14"/>
      <c r="AC128" s="11"/>
      <c r="AD128" s="11"/>
      <c r="AE128" s="11"/>
      <c r="AF128" s="11"/>
      <c r="AG128" s="12"/>
      <c r="AH128" s="12"/>
      <c r="AI128" s="11"/>
      <c r="AJ128" s="9" t="str">
        <f t="shared" si="2"/>
        <v/>
      </c>
      <c r="AK128" s="9" t="str">
        <f t="shared" si="3"/>
        <v/>
      </c>
      <c r="AL128" s="7"/>
    </row>
    <row r="129" spans="1:38" ht="14.4" x14ac:dyDescent="0.3">
      <c r="A129" s="7"/>
      <c r="B129" s="7"/>
      <c r="C129" s="7"/>
      <c r="D129" s="7"/>
      <c r="E129" s="7"/>
      <c r="F129" s="7"/>
      <c r="G129" s="10"/>
      <c r="H129" s="10"/>
      <c r="I129" s="7"/>
      <c r="J129" s="7"/>
      <c r="K129" s="7"/>
      <c r="L129" s="7"/>
      <c r="M129" s="10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10"/>
      <c r="Z129" s="10"/>
      <c r="AA129" s="10"/>
      <c r="AB129" s="14"/>
      <c r="AC129" s="11"/>
      <c r="AD129" s="11"/>
      <c r="AE129" s="11"/>
      <c r="AF129" s="11"/>
      <c r="AG129" s="12"/>
      <c r="AH129" s="12"/>
      <c r="AI129" s="11"/>
      <c r="AJ129" s="9" t="str">
        <f t="shared" si="2"/>
        <v/>
      </c>
      <c r="AK129" s="9" t="str">
        <f t="shared" si="3"/>
        <v/>
      </c>
      <c r="AL129" s="7"/>
    </row>
    <row r="130" spans="1:38" ht="14.4" x14ac:dyDescent="0.3">
      <c r="A130" s="7"/>
      <c r="B130" s="7"/>
      <c r="C130" s="7"/>
      <c r="D130" s="7"/>
      <c r="E130" s="7"/>
      <c r="F130" s="7"/>
      <c r="G130" s="10"/>
      <c r="H130" s="10"/>
      <c r="I130" s="7"/>
      <c r="J130" s="7"/>
      <c r="K130" s="7"/>
      <c r="L130" s="7"/>
      <c r="M130" s="10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10"/>
      <c r="Z130" s="10"/>
      <c r="AA130" s="10"/>
      <c r="AB130" s="14"/>
      <c r="AC130" s="11"/>
      <c r="AD130" s="11"/>
      <c r="AE130" s="11"/>
      <c r="AF130" s="11"/>
      <c r="AG130" s="12"/>
      <c r="AH130" s="12"/>
      <c r="AI130" s="11"/>
      <c r="AJ130" s="9" t="str">
        <f t="shared" ref="AJ130:AJ193" si="4">IF(OR(G130="",M130=""),"",M130-G130)</f>
        <v/>
      </c>
      <c r="AK130" s="9" t="str">
        <f t="shared" ref="AK130:AK193" si="5">IF(OR(M130="",AA130=""),"",AA130-M130)</f>
        <v/>
      </c>
      <c r="AL130" s="7"/>
    </row>
    <row r="131" spans="1:38" ht="14.4" x14ac:dyDescent="0.3">
      <c r="A131" s="7"/>
      <c r="B131" s="7"/>
      <c r="C131" s="7"/>
      <c r="D131" s="7"/>
      <c r="E131" s="7"/>
      <c r="F131" s="7"/>
      <c r="G131" s="10"/>
      <c r="H131" s="10"/>
      <c r="I131" s="7"/>
      <c r="J131" s="7"/>
      <c r="K131" s="7"/>
      <c r="L131" s="7"/>
      <c r="M131" s="10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10"/>
      <c r="Z131" s="10"/>
      <c r="AA131" s="10"/>
      <c r="AB131" s="14"/>
      <c r="AC131" s="11"/>
      <c r="AD131" s="11"/>
      <c r="AE131" s="11"/>
      <c r="AF131" s="11"/>
      <c r="AG131" s="12"/>
      <c r="AH131" s="12"/>
      <c r="AI131" s="11"/>
      <c r="AJ131" s="9" t="str">
        <f t="shared" si="4"/>
        <v/>
      </c>
      <c r="AK131" s="9" t="str">
        <f t="shared" si="5"/>
        <v/>
      </c>
      <c r="AL131" s="7"/>
    </row>
    <row r="132" spans="1:38" ht="14.4" x14ac:dyDescent="0.3">
      <c r="A132" s="7"/>
      <c r="B132" s="7"/>
      <c r="C132" s="7"/>
      <c r="D132" s="7"/>
      <c r="E132" s="7"/>
      <c r="F132" s="7"/>
      <c r="G132" s="10"/>
      <c r="H132" s="10"/>
      <c r="I132" s="7"/>
      <c r="J132" s="7"/>
      <c r="K132" s="7"/>
      <c r="L132" s="7"/>
      <c r="M132" s="10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10"/>
      <c r="Z132" s="10"/>
      <c r="AA132" s="10"/>
      <c r="AB132" s="14"/>
      <c r="AC132" s="11"/>
      <c r="AD132" s="11"/>
      <c r="AE132" s="11"/>
      <c r="AF132" s="11"/>
      <c r="AG132" s="12"/>
      <c r="AH132" s="12"/>
      <c r="AI132" s="11"/>
      <c r="AJ132" s="9" t="str">
        <f t="shared" si="4"/>
        <v/>
      </c>
      <c r="AK132" s="9" t="str">
        <f t="shared" si="5"/>
        <v/>
      </c>
      <c r="AL132" s="7"/>
    </row>
    <row r="133" spans="1:38" ht="14.4" x14ac:dyDescent="0.3">
      <c r="A133" s="7"/>
      <c r="B133" s="7"/>
      <c r="C133" s="7"/>
      <c r="D133" s="7"/>
      <c r="E133" s="7"/>
      <c r="F133" s="7"/>
      <c r="G133" s="10"/>
      <c r="H133" s="10"/>
      <c r="I133" s="7"/>
      <c r="J133" s="7"/>
      <c r="K133" s="7"/>
      <c r="L133" s="7"/>
      <c r="M133" s="10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10"/>
      <c r="Z133" s="10"/>
      <c r="AA133" s="10"/>
      <c r="AB133" s="14"/>
      <c r="AC133" s="11"/>
      <c r="AD133" s="11"/>
      <c r="AE133" s="11"/>
      <c r="AF133" s="11"/>
      <c r="AG133" s="12"/>
      <c r="AH133" s="12"/>
      <c r="AI133" s="11"/>
      <c r="AJ133" s="9" t="str">
        <f t="shared" si="4"/>
        <v/>
      </c>
      <c r="AK133" s="9" t="str">
        <f t="shared" si="5"/>
        <v/>
      </c>
      <c r="AL133" s="7"/>
    </row>
    <row r="134" spans="1:38" ht="14.4" x14ac:dyDescent="0.3">
      <c r="A134" s="7"/>
      <c r="B134" s="7"/>
      <c r="C134" s="7"/>
      <c r="D134" s="7"/>
      <c r="E134" s="7"/>
      <c r="F134" s="7"/>
      <c r="G134" s="10"/>
      <c r="H134" s="10"/>
      <c r="I134" s="7"/>
      <c r="J134" s="7"/>
      <c r="K134" s="7"/>
      <c r="L134" s="7"/>
      <c r="M134" s="10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10"/>
      <c r="Z134" s="10"/>
      <c r="AA134" s="10"/>
      <c r="AB134" s="14"/>
      <c r="AC134" s="11"/>
      <c r="AD134" s="11"/>
      <c r="AE134" s="11"/>
      <c r="AF134" s="11"/>
      <c r="AG134" s="12"/>
      <c r="AH134" s="12"/>
      <c r="AI134" s="11"/>
      <c r="AJ134" s="9" t="str">
        <f t="shared" si="4"/>
        <v/>
      </c>
      <c r="AK134" s="9" t="str">
        <f t="shared" si="5"/>
        <v/>
      </c>
      <c r="AL134" s="7"/>
    </row>
    <row r="135" spans="1:38" ht="14.4" x14ac:dyDescent="0.3">
      <c r="A135" s="7"/>
      <c r="B135" s="7"/>
      <c r="C135" s="7"/>
      <c r="D135" s="7"/>
      <c r="E135" s="7"/>
      <c r="F135" s="7"/>
      <c r="G135" s="10"/>
      <c r="H135" s="10"/>
      <c r="I135" s="7"/>
      <c r="J135" s="7"/>
      <c r="K135" s="7"/>
      <c r="L135" s="7"/>
      <c r="M135" s="10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10"/>
      <c r="Z135" s="10"/>
      <c r="AA135" s="10"/>
      <c r="AB135" s="14"/>
      <c r="AC135" s="11"/>
      <c r="AD135" s="11"/>
      <c r="AE135" s="11"/>
      <c r="AF135" s="11"/>
      <c r="AG135" s="12"/>
      <c r="AH135" s="12"/>
      <c r="AI135" s="11"/>
      <c r="AJ135" s="9" t="str">
        <f t="shared" si="4"/>
        <v/>
      </c>
      <c r="AK135" s="9" t="str">
        <f t="shared" si="5"/>
        <v/>
      </c>
      <c r="AL135" s="7"/>
    </row>
    <row r="136" spans="1:38" ht="14.4" x14ac:dyDescent="0.3">
      <c r="A136" s="7"/>
      <c r="B136" s="7"/>
      <c r="C136" s="7"/>
      <c r="D136" s="7"/>
      <c r="E136" s="7"/>
      <c r="F136" s="7"/>
      <c r="G136" s="10"/>
      <c r="H136" s="10"/>
      <c r="I136" s="7"/>
      <c r="J136" s="7"/>
      <c r="K136" s="7"/>
      <c r="L136" s="7"/>
      <c r="M136" s="10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10"/>
      <c r="Z136" s="10"/>
      <c r="AA136" s="10"/>
      <c r="AB136" s="14"/>
      <c r="AC136" s="11"/>
      <c r="AD136" s="11"/>
      <c r="AE136" s="11"/>
      <c r="AF136" s="11"/>
      <c r="AG136" s="12"/>
      <c r="AH136" s="12"/>
      <c r="AI136" s="11"/>
      <c r="AJ136" s="9" t="str">
        <f t="shared" si="4"/>
        <v/>
      </c>
      <c r="AK136" s="9" t="str">
        <f t="shared" si="5"/>
        <v/>
      </c>
      <c r="AL136" s="7"/>
    </row>
    <row r="137" spans="1:38" ht="14.4" x14ac:dyDescent="0.3">
      <c r="A137" s="7"/>
      <c r="B137" s="7"/>
      <c r="C137" s="7"/>
      <c r="D137" s="7"/>
      <c r="E137" s="7"/>
      <c r="F137" s="7"/>
      <c r="G137" s="10"/>
      <c r="H137" s="10"/>
      <c r="I137" s="7"/>
      <c r="J137" s="7"/>
      <c r="K137" s="7"/>
      <c r="L137" s="7"/>
      <c r="M137" s="10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10"/>
      <c r="Z137" s="10"/>
      <c r="AA137" s="10"/>
      <c r="AB137" s="14"/>
      <c r="AC137" s="11"/>
      <c r="AD137" s="11"/>
      <c r="AE137" s="11"/>
      <c r="AF137" s="11"/>
      <c r="AG137" s="12"/>
      <c r="AH137" s="12"/>
      <c r="AI137" s="11"/>
      <c r="AJ137" s="9" t="str">
        <f t="shared" si="4"/>
        <v/>
      </c>
      <c r="AK137" s="9" t="str">
        <f t="shared" si="5"/>
        <v/>
      </c>
      <c r="AL137" s="7"/>
    </row>
    <row r="138" spans="1:38" ht="14.4" x14ac:dyDescent="0.3">
      <c r="A138" s="7"/>
      <c r="B138" s="7"/>
      <c r="C138" s="7"/>
      <c r="D138" s="7"/>
      <c r="E138" s="7"/>
      <c r="F138" s="7"/>
      <c r="G138" s="10"/>
      <c r="H138" s="10"/>
      <c r="I138" s="7"/>
      <c r="J138" s="7"/>
      <c r="K138" s="7"/>
      <c r="L138" s="7"/>
      <c r="M138" s="10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10"/>
      <c r="Z138" s="10"/>
      <c r="AA138" s="10"/>
      <c r="AB138" s="14"/>
      <c r="AC138" s="11"/>
      <c r="AD138" s="11"/>
      <c r="AE138" s="11"/>
      <c r="AF138" s="11"/>
      <c r="AG138" s="12"/>
      <c r="AH138" s="12"/>
      <c r="AI138" s="11"/>
      <c r="AJ138" s="9" t="str">
        <f t="shared" si="4"/>
        <v/>
      </c>
      <c r="AK138" s="9" t="str">
        <f t="shared" si="5"/>
        <v/>
      </c>
      <c r="AL138" s="7"/>
    </row>
    <row r="139" spans="1:38" ht="14.4" x14ac:dyDescent="0.3">
      <c r="A139" s="7"/>
      <c r="B139" s="7"/>
      <c r="C139" s="7"/>
      <c r="D139" s="7"/>
      <c r="E139" s="7"/>
      <c r="F139" s="7"/>
      <c r="G139" s="10"/>
      <c r="H139" s="10"/>
      <c r="I139" s="7"/>
      <c r="J139" s="7"/>
      <c r="K139" s="7"/>
      <c r="L139" s="7"/>
      <c r="M139" s="10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10"/>
      <c r="Z139" s="10"/>
      <c r="AA139" s="10"/>
      <c r="AB139" s="14"/>
      <c r="AC139" s="11"/>
      <c r="AD139" s="11"/>
      <c r="AE139" s="11"/>
      <c r="AF139" s="11"/>
      <c r="AG139" s="12"/>
      <c r="AH139" s="12"/>
      <c r="AI139" s="11"/>
      <c r="AJ139" s="9" t="str">
        <f t="shared" si="4"/>
        <v/>
      </c>
      <c r="AK139" s="9" t="str">
        <f t="shared" si="5"/>
        <v/>
      </c>
      <c r="AL139" s="7"/>
    </row>
    <row r="140" spans="1:38" ht="14.4" x14ac:dyDescent="0.3">
      <c r="A140" s="7"/>
      <c r="B140" s="7"/>
      <c r="C140" s="7"/>
      <c r="D140" s="7"/>
      <c r="E140" s="7"/>
      <c r="F140" s="7"/>
      <c r="G140" s="10"/>
      <c r="H140" s="10"/>
      <c r="I140" s="7"/>
      <c r="J140" s="7"/>
      <c r="K140" s="7"/>
      <c r="L140" s="7"/>
      <c r="M140" s="10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10"/>
      <c r="Z140" s="10"/>
      <c r="AA140" s="10"/>
      <c r="AB140" s="14"/>
      <c r="AC140" s="11"/>
      <c r="AD140" s="11"/>
      <c r="AE140" s="11"/>
      <c r="AF140" s="11"/>
      <c r="AG140" s="12"/>
      <c r="AH140" s="12"/>
      <c r="AI140" s="11"/>
      <c r="AJ140" s="9" t="str">
        <f t="shared" si="4"/>
        <v/>
      </c>
      <c r="AK140" s="9" t="str">
        <f t="shared" si="5"/>
        <v/>
      </c>
      <c r="AL140" s="7"/>
    </row>
    <row r="141" spans="1:38" ht="14.4" x14ac:dyDescent="0.3">
      <c r="A141" s="7"/>
      <c r="B141" s="7"/>
      <c r="C141" s="7"/>
      <c r="D141" s="7"/>
      <c r="E141" s="7"/>
      <c r="F141" s="7"/>
      <c r="G141" s="10"/>
      <c r="H141" s="10"/>
      <c r="I141" s="7"/>
      <c r="J141" s="7"/>
      <c r="K141" s="7"/>
      <c r="L141" s="7"/>
      <c r="M141" s="10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10"/>
      <c r="Z141" s="10"/>
      <c r="AA141" s="10"/>
      <c r="AB141" s="14"/>
      <c r="AC141" s="11"/>
      <c r="AD141" s="11"/>
      <c r="AE141" s="11"/>
      <c r="AF141" s="11"/>
      <c r="AG141" s="12"/>
      <c r="AH141" s="12"/>
      <c r="AI141" s="11"/>
      <c r="AJ141" s="9" t="str">
        <f t="shared" si="4"/>
        <v/>
      </c>
      <c r="AK141" s="9" t="str">
        <f t="shared" si="5"/>
        <v/>
      </c>
      <c r="AL141" s="7"/>
    </row>
    <row r="142" spans="1:38" ht="14.4" x14ac:dyDescent="0.3">
      <c r="A142" s="7"/>
      <c r="B142" s="7"/>
      <c r="C142" s="7"/>
      <c r="D142" s="7"/>
      <c r="E142" s="7"/>
      <c r="F142" s="7"/>
      <c r="G142" s="10"/>
      <c r="H142" s="10"/>
      <c r="I142" s="7"/>
      <c r="J142" s="7"/>
      <c r="K142" s="7"/>
      <c r="L142" s="7"/>
      <c r="M142" s="10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10"/>
      <c r="Z142" s="10"/>
      <c r="AA142" s="10"/>
      <c r="AB142" s="14"/>
      <c r="AC142" s="11"/>
      <c r="AD142" s="11"/>
      <c r="AE142" s="11"/>
      <c r="AF142" s="11"/>
      <c r="AG142" s="12"/>
      <c r="AH142" s="12"/>
      <c r="AI142" s="11"/>
      <c r="AJ142" s="9" t="str">
        <f t="shared" si="4"/>
        <v/>
      </c>
      <c r="AK142" s="9" t="str">
        <f t="shared" si="5"/>
        <v/>
      </c>
      <c r="AL142" s="7"/>
    </row>
    <row r="143" spans="1:38" ht="14.4" x14ac:dyDescent="0.3">
      <c r="A143" s="7"/>
      <c r="B143" s="7"/>
      <c r="C143" s="7"/>
      <c r="D143" s="7"/>
      <c r="E143" s="7"/>
      <c r="F143" s="7"/>
      <c r="G143" s="10"/>
      <c r="H143" s="10"/>
      <c r="I143" s="7"/>
      <c r="J143" s="7"/>
      <c r="K143" s="7"/>
      <c r="L143" s="7"/>
      <c r="M143" s="10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10"/>
      <c r="Z143" s="10"/>
      <c r="AA143" s="10"/>
      <c r="AB143" s="14"/>
      <c r="AC143" s="11"/>
      <c r="AD143" s="11"/>
      <c r="AE143" s="11"/>
      <c r="AF143" s="11"/>
      <c r="AG143" s="12"/>
      <c r="AH143" s="12"/>
      <c r="AI143" s="11"/>
      <c r="AJ143" s="9" t="str">
        <f t="shared" si="4"/>
        <v/>
      </c>
      <c r="AK143" s="9" t="str">
        <f t="shared" si="5"/>
        <v/>
      </c>
      <c r="AL143" s="7"/>
    </row>
    <row r="144" spans="1:38" ht="14.4" x14ac:dyDescent="0.3">
      <c r="A144" s="7"/>
      <c r="B144" s="7"/>
      <c r="C144" s="7"/>
      <c r="D144" s="7"/>
      <c r="E144" s="7"/>
      <c r="F144" s="7"/>
      <c r="G144" s="10"/>
      <c r="H144" s="10"/>
      <c r="I144" s="7"/>
      <c r="J144" s="7"/>
      <c r="K144" s="7"/>
      <c r="L144" s="7"/>
      <c r="M144" s="10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10"/>
      <c r="Z144" s="10"/>
      <c r="AA144" s="10"/>
      <c r="AB144" s="14"/>
      <c r="AC144" s="11"/>
      <c r="AD144" s="11"/>
      <c r="AE144" s="11"/>
      <c r="AF144" s="11"/>
      <c r="AG144" s="12"/>
      <c r="AH144" s="12"/>
      <c r="AI144" s="11"/>
      <c r="AJ144" s="9" t="str">
        <f t="shared" si="4"/>
        <v/>
      </c>
      <c r="AK144" s="9" t="str">
        <f t="shared" si="5"/>
        <v/>
      </c>
      <c r="AL144" s="7"/>
    </row>
    <row r="145" spans="1:38" ht="14.4" x14ac:dyDescent="0.3">
      <c r="A145" s="7"/>
      <c r="B145" s="7"/>
      <c r="C145" s="7"/>
      <c r="D145" s="7"/>
      <c r="E145" s="7"/>
      <c r="F145" s="7"/>
      <c r="G145" s="10"/>
      <c r="H145" s="10"/>
      <c r="I145" s="7"/>
      <c r="J145" s="7"/>
      <c r="K145" s="7"/>
      <c r="L145" s="7"/>
      <c r="M145" s="10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10"/>
      <c r="Z145" s="10"/>
      <c r="AA145" s="10"/>
      <c r="AB145" s="14"/>
      <c r="AC145" s="11"/>
      <c r="AD145" s="11"/>
      <c r="AE145" s="11"/>
      <c r="AF145" s="11"/>
      <c r="AG145" s="12"/>
      <c r="AH145" s="12"/>
      <c r="AI145" s="11"/>
      <c r="AJ145" s="9" t="str">
        <f t="shared" si="4"/>
        <v/>
      </c>
      <c r="AK145" s="9" t="str">
        <f t="shared" si="5"/>
        <v/>
      </c>
      <c r="AL145" s="7"/>
    </row>
    <row r="146" spans="1:38" ht="14.4" x14ac:dyDescent="0.3">
      <c r="A146" s="7"/>
      <c r="B146" s="7"/>
      <c r="C146" s="7"/>
      <c r="D146" s="7"/>
      <c r="E146" s="7"/>
      <c r="F146" s="7"/>
      <c r="G146" s="10"/>
      <c r="H146" s="10"/>
      <c r="I146" s="7"/>
      <c r="J146" s="7"/>
      <c r="K146" s="7"/>
      <c r="L146" s="7"/>
      <c r="M146" s="10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10"/>
      <c r="Z146" s="10"/>
      <c r="AA146" s="10"/>
      <c r="AB146" s="14"/>
      <c r="AC146" s="11"/>
      <c r="AD146" s="11"/>
      <c r="AE146" s="11"/>
      <c r="AF146" s="11"/>
      <c r="AG146" s="12"/>
      <c r="AH146" s="12"/>
      <c r="AI146" s="11"/>
      <c r="AJ146" s="9" t="str">
        <f t="shared" si="4"/>
        <v/>
      </c>
      <c r="AK146" s="9" t="str">
        <f t="shared" si="5"/>
        <v/>
      </c>
      <c r="AL146" s="7"/>
    </row>
    <row r="147" spans="1:38" ht="14.4" x14ac:dyDescent="0.3">
      <c r="A147" s="7"/>
      <c r="B147" s="7"/>
      <c r="C147" s="7"/>
      <c r="D147" s="7"/>
      <c r="E147" s="7"/>
      <c r="F147" s="7"/>
      <c r="G147" s="10"/>
      <c r="H147" s="10"/>
      <c r="I147" s="7"/>
      <c r="J147" s="7"/>
      <c r="K147" s="7"/>
      <c r="L147" s="7"/>
      <c r="M147" s="10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10"/>
      <c r="Z147" s="10"/>
      <c r="AA147" s="10"/>
      <c r="AB147" s="14"/>
      <c r="AC147" s="11"/>
      <c r="AD147" s="11"/>
      <c r="AE147" s="11"/>
      <c r="AF147" s="11"/>
      <c r="AG147" s="12"/>
      <c r="AH147" s="12"/>
      <c r="AI147" s="11"/>
      <c r="AJ147" s="9" t="str">
        <f t="shared" si="4"/>
        <v/>
      </c>
      <c r="AK147" s="9" t="str">
        <f t="shared" si="5"/>
        <v/>
      </c>
      <c r="AL147" s="7"/>
    </row>
    <row r="148" spans="1:38" ht="14.4" x14ac:dyDescent="0.3">
      <c r="A148" s="7"/>
      <c r="B148" s="7"/>
      <c r="C148" s="7"/>
      <c r="D148" s="7"/>
      <c r="E148" s="7"/>
      <c r="F148" s="7"/>
      <c r="G148" s="10"/>
      <c r="H148" s="10"/>
      <c r="I148" s="7"/>
      <c r="J148" s="7"/>
      <c r="K148" s="7"/>
      <c r="L148" s="7"/>
      <c r="M148" s="10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10"/>
      <c r="Z148" s="10"/>
      <c r="AA148" s="10"/>
      <c r="AB148" s="14"/>
      <c r="AC148" s="11"/>
      <c r="AD148" s="11"/>
      <c r="AE148" s="11"/>
      <c r="AF148" s="11"/>
      <c r="AG148" s="12"/>
      <c r="AH148" s="12"/>
      <c r="AI148" s="11"/>
      <c r="AJ148" s="9" t="str">
        <f t="shared" si="4"/>
        <v/>
      </c>
      <c r="AK148" s="9" t="str">
        <f t="shared" si="5"/>
        <v/>
      </c>
      <c r="AL148" s="7"/>
    </row>
    <row r="149" spans="1:38" ht="14.4" x14ac:dyDescent="0.3">
      <c r="A149" s="7"/>
      <c r="B149" s="7"/>
      <c r="C149" s="7"/>
      <c r="D149" s="7"/>
      <c r="E149" s="7"/>
      <c r="F149" s="7"/>
      <c r="G149" s="10"/>
      <c r="H149" s="10"/>
      <c r="I149" s="7"/>
      <c r="J149" s="7"/>
      <c r="K149" s="7"/>
      <c r="L149" s="7"/>
      <c r="M149" s="10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10"/>
      <c r="Z149" s="10"/>
      <c r="AA149" s="10"/>
      <c r="AB149" s="14"/>
      <c r="AC149" s="11"/>
      <c r="AD149" s="11"/>
      <c r="AE149" s="11"/>
      <c r="AF149" s="11"/>
      <c r="AG149" s="12"/>
      <c r="AH149" s="12"/>
      <c r="AI149" s="11"/>
      <c r="AJ149" s="9" t="str">
        <f t="shared" si="4"/>
        <v/>
      </c>
      <c r="AK149" s="9" t="str">
        <f t="shared" si="5"/>
        <v/>
      </c>
      <c r="AL149" s="7"/>
    </row>
    <row r="150" spans="1:38" ht="14.4" x14ac:dyDescent="0.3">
      <c r="A150" s="7"/>
      <c r="B150" s="7"/>
      <c r="C150" s="7"/>
      <c r="D150" s="7"/>
      <c r="E150" s="7"/>
      <c r="F150" s="7"/>
      <c r="G150" s="10"/>
      <c r="H150" s="10"/>
      <c r="I150" s="7"/>
      <c r="J150" s="7"/>
      <c r="K150" s="7"/>
      <c r="L150" s="7"/>
      <c r="M150" s="10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10"/>
      <c r="Z150" s="10"/>
      <c r="AA150" s="10"/>
      <c r="AB150" s="14"/>
      <c r="AC150" s="11"/>
      <c r="AD150" s="11"/>
      <c r="AE150" s="11"/>
      <c r="AF150" s="11"/>
      <c r="AG150" s="12"/>
      <c r="AH150" s="12"/>
      <c r="AI150" s="11"/>
      <c r="AJ150" s="9" t="str">
        <f t="shared" si="4"/>
        <v/>
      </c>
      <c r="AK150" s="9" t="str">
        <f t="shared" si="5"/>
        <v/>
      </c>
      <c r="AL150" s="7"/>
    </row>
    <row r="151" spans="1:38" ht="14.4" x14ac:dyDescent="0.3">
      <c r="A151" s="7"/>
      <c r="B151" s="7"/>
      <c r="C151" s="7"/>
      <c r="D151" s="7"/>
      <c r="E151" s="7"/>
      <c r="F151" s="7"/>
      <c r="G151" s="10"/>
      <c r="H151" s="10"/>
      <c r="I151" s="7"/>
      <c r="J151" s="7"/>
      <c r="K151" s="7"/>
      <c r="L151" s="7"/>
      <c r="M151" s="10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10"/>
      <c r="Z151" s="10"/>
      <c r="AA151" s="10"/>
      <c r="AB151" s="14"/>
      <c r="AC151" s="11"/>
      <c r="AD151" s="11"/>
      <c r="AE151" s="11"/>
      <c r="AF151" s="11"/>
      <c r="AG151" s="12"/>
      <c r="AH151" s="12"/>
      <c r="AI151" s="11"/>
      <c r="AJ151" s="9" t="str">
        <f t="shared" si="4"/>
        <v/>
      </c>
      <c r="AK151" s="9" t="str">
        <f t="shared" si="5"/>
        <v/>
      </c>
      <c r="AL151" s="7"/>
    </row>
    <row r="152" spans="1:38" ht="14.4" x14ac:dyDescent="0.3">
      <c r="A152" s="7"/>
      <c r="B152" s="7"/>
      <c r="C152" s="7"/>
      <c r="D152" s="7"/>
      <c r="E152" s="7"/>
      <c r="F152" s="7"/>
      <c r="G152" s="10"/>
      <c r="H152" s="10"/>
      <c r="I152" s="7"/>
      <c r="J152" s="7"/>
      <c r="K152" s="7"/>
      <c r="L152" s="7"/>
      <c r="M152" s="10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10"/>
      <c r="Z152" s="10"/>
      <c r="AA152" s="10"/>
      <c r="AB152" s="14"/>
      <c r="AC152" s="11"/>
      <c r="AD152" s="11"/>
      <c r="AE152" s="11"/>
      <c r="AF152" s="11"/>
      <c r="AG152" s="12"/>
      <c r="AH152" s="12"/>
      <c r="AI152" s="11"/>
      <c r="AJ152" s="9" t="str">
        <f t="shared" si="4"/>
        <v/>
      </c>
      <c r="AK152" s="9" t="str">
        <f t="shared" si="5"/>
        <v/>
      </c>
      <c r="AL152" s="7"/>
    </row>
    <row r="153" spans="1:38" ht="14.4" x14ac:dyDescent="0.3">
      <c r="A153" s="7"/>
      <c r="B153" s="7"/>
      <c r="C153" s="7"/>
      <c r="D153" s="7"/>
      <c r="E153" s="7"/>
      <c r="F153" s="7"/>
      <c r="G153" s="10"/>
      <c r="H153" s="10"/>
      <c r="I153" s="7"/>
      <c r="J153" s="7"/>
      <c r="K153" s="7"/>
      <c r="L153" s="7"/>
      <c r="M153" s="10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10"/>
      <c r="Z153" s="10"/>
      <c r="AA153" s="10"/>
      <c r="AB153" s="14"/>
      <c r="AC153" s="11"/>
      <c r="AD153" s="11"/>
      <c r="AE153" s="11"/>
      <c r="AF153" s="11"/>
      <c r="AG153" s="12"/>
      <c r="AH153" s="12"/>
      <c r="AI153" s="11"/>
      <c r="AJ153" s="9" t="str">
        <f t="shared" si="4"/>
        <v/>
      </c>
      <c r="AK153" s="9" t="str">
        <f t="shared" si="5"/>
        <v/>
      </c>
      <c r="AL153" s="7"/>
    </row>
    <row r="154" spans="1:38" ht="14.4" x14ac:dyDescent="0.3">
      <c r="A154" s="7"/>
      <c r="B154" s="7"/>
      <c r="C154" s="7"/>
      <c r="D154" s="7"/>
      <c r="E154" s="7"/>
      <c r="F154" s="7"/>
      <c r="G154" s="10"/>
      <c r="H154" s="10"/>
      <c r="I154" s="7"/>
      <c r="J154" s="7"/>
      <c r="K154" s="7"/>
      <c r="L154" s="7"/>
      <c r="M154" s="10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10"/>
      <c r="Z154" s="10"/>
      <c r="AA154" s="10"/>
      <c r="AB154" s="14"/>
      <c r="AC154" s="11"/>
      <c r="AD154" s="11"/>
      <c r="AE154" s="11"/>
      <c r="AF154" s="11"/>
      <c r="AG154" s="12"/>
      <c r="AH154" s="12"/>
      <c r="AI154" s="11"/>
      <c r="AJ154" s="9" t="str">
        <f t="shared" si="4"/>
        <v/>
      </c>
      <c r="AK154" s="9" t="str">
        <f t="shared" si="5"/>
        <v/>
      </c>
      <c r="AL154" s="7"/>
    </row>
    <row r="155" spans="1:38" ht="14.4" x14ac:dyDescent="0.3">
      <c r="A155" s="7"/>
      <c r="B155" s="7"/>
      <c r="C155" s="7"/>
      <c r="D155" s="7"/>
      <c r="E155" s="7"/>
      <c r="F155" s="7"/>
      <c r="G155" s="10"/>
      <c r="H155" s="10"/>
      <c r="I155" s="7"/>
      <c r="J155" s="7"/>
      <c r="K155" s="7"/>
      <c r="L155" s="7"/>
      <c r="M155" s="10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10"/>
      <c r="Z155" s="10"/>
      <c r="AA155" s="10"/>
      <c r="AB155" s="14"/>
      <c r="AC155" s="11"/>
      <c r="AD155" s="11"/>
      <c r="AE155" s="11"/>
      <c r="AF155" s="11"/>
      <c r="AG155" s="12"/>
      <c r="AH155" s="12"/>
      <c r="AI155" s="11"/>
      <c r="AJ155" s="9" t="str">
        <f t="shared" si="4"/>
        <v/>
      </c>
      <c r="AK155" s="9" t="str">
        <f t="shared" si="5"/>
        <v/>
      </c>
      <c r="AL155" s="7"/>
    </row>
    <row r="156" spans="1:38" ht="14.4" x14ac:dyDescent="0.3">
      <c r="A156" s="7"/>
      <c r="B156" s="7"/>
      <c r="C156" s="7"/>
      <c r="D156" s="7"/>
      <c r="E156" s="7"/>
      <c r="F156" s="7"/>
      <c r="G156" s="10"/>
      <c r="H156" s="10"/>
      <c r="I156" s="7"/>
      <c r="J156" s="7"/>
      <c r="K156" s="7"/>
      <c r="L156" s="7"/>
      <c r="M156" s="10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10"/>
      <c r="Z156" s="10"/>
      <c r="AA156" s="10"/>
      <c r="AB156" s="14"/>
      <c r="AC156" s="11"/>
      <c r="AD156" s="11"/>
      <c r="AE156" s="11"/>
      <c r="AF156" s="11"/>
      <c r="AG156" s="12"/>
      <c r="AH156" s="12"/>
      <c r="AI156" s="11"/>
      <c r="AJ156" s="9" t="str">
        <f t="shared" si="4"/>
        <v/>
      </c>
      <c r="AK156" s="9" t="str">
        <f t="shared" si="5"/>
        <v/>
      </c>
      <c r="AL156" s="7"/>
    </row>
    <row r="157" spans="1:38" ht="14.4" x14ac:dyDescent="0.3">
      <c r="A157" s="7"/>
      <c r="B157" s="7"/>
      <c r="C157" s="7"/>
      <c r="D157" s="7"/>
      <c r="E157" s="7"/>
      <c r="F157" s="7"/>
      <c r="G157" s="10"/>
      <c r="H157" s="10"/>
      <c r="I157" s="7"/>
      <c r="J157" s="7"/>
      <c r="K157" s="7"/>
      <c r="L157" s="7"/>
      <c r="M157" s="10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10"/>
      <c r="Z157" s="10"/>
      <c r="AA157" s="10"/>
      <c r="AB157" s="14"/>
      <c r="AC157" s="11"/>
      <c r="AD157" s="11"/>
      <c r="AE157" s="11"/>
      <c r="AF157" s="11"/>
      <c r="AG157" s="12"/>
      <c r="AH157" s="12"/>
      <c r="AI157" s="11"/>
      <c r="AJ157" s="9" t="str">
        <f t="shared" si="4"/>
        <v/>
      </c>
      <c r="AK157" s="9" t="str">
        <f t="shared" si="5"/>
        <v/>
      </c>
      <c r="AL157" s="7"/>
    </row>
    <row r="158" spans="1:38" ht="14.4" x14ac:dyDescent="0.3">
      <c r="A158" s="7"/>
      <c r="B158" s="7"/>
      <c r="C158" s="7"/>
      <c r="D158" s="7"/>
      <c r="E158" s="7"/>
      <c r="F158" s="7"/>
      <c r="G158" s="10"/>
      <c r="H158" s="10"/>
      <c r="I158" s="7"/>
      <c r="J158" s="7"/>
      <c r="K158" s="7"/>
      <c r="L158" s="7"/>
      <c r="M158" s="10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10"/>
      <c r="Z158" s="10"/>
      <c r="AA158" s="10"/>
      <c r="AB158" s="14"/>
      <c r="AC158" s="11"/>
      <c r="AD158" s="11"/>
      <c r="AE158" s="11"/>
      <c r="AF158" s="11"/>
      <c r="AG158" s="12"/>
      <c r="AH158" s="12"/>
      <c r="AI158" s="11"/>
      <c r="AJ158" s="9" t="str">
        <f t="shared" si="4"/>
        <v/>
      </c>
      <c r="AK158" s="9" t="str">
        <f t="shared" si="5"/>
        <v/>
      </c>
      <c r="AL158" s="7"/>
    </row>
    <row r="159" spans="1:38" ht="14.4" x14ac:dyDescent="0.3">
      <c r="A159" s="7"/>
      <c r="B159" s="7"/>
      <c r="C159" s="7"/>
      <c r="D159" s="7"/>
      <c r="E159" s="7"/>
      <c r="F159" s="7"/>
      <c r="G159" s="10"/>
      <c r="H159" s="10"/>
      <c r="I159" s="7"/>
      <c r="J159" s="7"/>
      <c r="K159" s="7"/>
      <c r="L159" s="7"/>
      <c r="M159" s="10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10"/>
      <c r="Z159" s="10"/>
      <c r="AA159" s="10"/>
      <c r="AB159" s="14"/>
      <c r="AC159" s="11"/>
      <c r="AD159" s="11"/>
      <c r="AE159" s="11"/>
      <c r="AF159" s="11"/>
      <c r="AG159" s="12"/>
      <c r="AH159" s="12"/>
      <c r="AI159" s="11"/>
      <c r="AJ159" s="9" t="str">
        <f t="shared" si="4"/>
        <v/>
      </c>
      <c r="AK159" s="9" t="str">
        <f t="shared" si="5"/>
        <v/>
      </c>
      <c r="AL159" s="7"/>
    </row>
    <row r="160" spans="1:38" ht="14.4" x14ac:dyDescent="0.3">
      <c r="A160" s="7"/>
      <c r="B160" s="7"/>
      <c r="C160" s="7"/>
      <c r="D160" s="7"/>
      <c r="E160" s="7"/>
      <c r="F160" s="7"/>
      <c r="G160" s="10"/>
      <c r="H160" s="10"/>
      <c r="I160" s="7"/>
      <c r="J160" s="7"/>
      <c r="K160" s="7"/>
      <c r="L160" s="7"/>
      <c r="M160" s="10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10"/>
      <c r="Z160" s="10"/>
      <c r="AA160" s="10"/>
      <c r="AB160" s="14"/>
      <c r="AC160" s="11"/>
      <c r="AD160" s="11"/>
      <c r="AE160" s="11"/>
      <c r="AF160" s="11"/>
      <c r="AG160" s="12"/>
      <c r="AH160" s="12"/>
      <c r="AI160" s="11"/>
      <c r="AJ160" s="9" t="str">
        <f t="shared" si="4"/>
        <v/>
      </c>
      <c r="AK160" s="9" t="str">
        <f t="shared" si="5"/>
        <v/>
      </c>
      <c r="AL160" s="7"/>
    </row>
    <row r="161" spans="1:38" ht="14.4" x14ac:dyDescent="0.3">
      <c r="A161" s="7"/>
      <c r="B161" s="7"/>
      <c r="C161" s="7"/>
      <c r="D161" s="7"/>
      <c r="E161" s="7"/>
      <c r="F161" s="7"/>
      <c r="G161" s="10"/>
      <c r="H161" s="10"/>
      <c r="I161" s="7"/>
      <c r="J161" s="7"/>
      <c r="K161" s="7"/>
      <c r="L161" s="7"/>
      <c r="M161" s="10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10"/>
      <c r="Z161" s="10"/>
      <c r="AA161" s="10"/>
      <c r="AB161" s="14"/>
      <c r="AC161" s="11"/>
      <c r="AD161" s="11"/>
      <c r="AE161" s="11"/>
      <c r="AF161" s="11"/>
      <c r="AG161" s="12"/>
      <c r="AH161" s="12"/>
      <c r="AI161" s="11"/>
      <c r="AJ161" s="9" t="str">
        <f t="shared" si="4"/>
        <v/>
      </c>
      <c r="AK161" s="9" t="str">
        <f t="shared" si="5"/>
        <v/>
      </c>
      <c r="AL161" s="7"/>
    </row>
    <row r="162" spans="1:38" ht="14.4" x14ac:dyDescent="0.3">
      <c r="A162" s="7"/>
      <c r="B162" s="7"/>
      <c r="C162" s="7"/>
      <c r="D162" s="7"/>
      <c r="E162" s="7"/>
      <c r="F162" s="7"/>
      <c r="G162" s="10"/>
      <c r="H162" s="10"/>
      <c r="I162" s="7"/>
      <c r="J162" s="7"/>
      <c r="K162" s="7"/>
      <c r="L162" s="7"/>
      <c r="M162" s="10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10"/>
      <c r="Z162" s="10"/>
      <c r="AA162" s="10"/>
      <c r="AB162" s="14"/>
      <c r="AC162" s="11"/>
      <c r="AD162" s="11"/>
      <c r="AE162" s="11"/>
      <c r="AF162" s="11"/>
      <c r="AG162" s="12"/>
      <c r="AH162" s="12"/>
      <c r="AI162" s="11"/>
      <c r="AJ162" s="9" t="str">
        <f t="shared" si="4"/>
        <v/>
      </c>
      <c r="AK162" s="9" t="str">
        <f t="shared" si="5"/>
        <v/>
      </c>
      <c r="AL162" s="7"/>
    </row>
    <row r="163" spans="1:38" ht="14.4" x14ac:dyDescent="0.3">
      <c r="A163" s="7"/>
      <c r="B163" s="7"/>
      <c r="C163" s="7"/>
      <c r="D163" s="7"/>
      <c r="E163" s="7"/>
      <c r="F163" s="7"/>
      <c r="G163" s="10"/>
      <c r="H163" s="10"/>
      <c r="I163" s="7"/>
      <c r="J163" s="7"/>
      <c r="K163" s="7"/>
      <c r="L163" s="7"/>
      <c r="M163" s="10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10"/>
      <c r="Z163" s="10"/>
      <c r="AA163" s="10"/>
      <c r="AB163" s="14"/>
      <c r="AC163" s="11"/>
      <c r="AD163" s="11"/>
      <c r="AE163" s="11"/>
      <c r="AF163" s="11"/>
      <c r="AG163" s="12"/>
      <c r="AH163" s="12"/>
      <c r="AI163" s="11"/>
      <c r="AJ163" s="9" t="str">
        <f t="shared" si="4"/>
        <v/>
      </c>
      <c r="AK163" s="9" t="str">
        <f t="shared" si="5"/>
        <v/>
      </c>
      <c r="AL163" s="7"/>
    </row>
    <row r="164" spans="1:38" ht="14.4" x14ac:dyDescent="0.3">
      <c r="A164" s="7"/>
      <c r="B164" s="7"/>
      <c r="C164" s="7"/>
      <c r="D164" s="7"/>
      <c r="E164" s="7"/>
      <c r="F164" s="7"/>
      <c r="G164" s="10"/>
      <c r="H164" s="10"/>
      <c r="I164" s="7"/>
      <c r="J164" s="7"/>
      <c r="K164" s="7"/>
      <c r="L164" s="7"/>
      <c r="M164" s="10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10"/>
      <c r="Z164" s="10"/>
      <c r="AA164" s="10"/>
      <c r="AB164" s="14"/>
      <c r="AC164" s="11"/>
      <c r="AD164" s="11"/>
      <c r="AE164" s="11"/>
      <c r="AF164" s="11"/>
      <c r="AG164" s="12"/>
      <c r="AH164" s="12"/>
      <c r="AI164" s="11"/>
      <c r="AJ164" s="9" t="str">
        <f t="shared" si="4"/>
        <v/>
      </c>
      <c r="AK164" s="9" t="str">
        <f t="shared" si="5"/>
        <v/>
      </c>
      <c r="AL164" s="7"/>
    </row>
    <row r="165" spans="1:38" ht="14.4" x14ac:dyDescent="0.3">
      <c r="A165" s="7"/>
      <c r="B165" s="7"/>
      <c r="C165" s="7"/>
      <c r="D165" s="7"/>
      <c r="E165" s="7"/>
      <c r="F165" s="7"/>
      <c r="G165" s="10"/>
      <c r="H165" s="10"/>
      <c r="I165" s="7"/>
      <c r="J165" s="7"/>
      <c r="K165" s="7"/>
      <c r="L165" s="7"/>
      <c r="M165" s="10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10"/>
      <c r="Z165" s="10"/>
      <c r="AA165" s="10"/>
      <c r="AB165" s="14"/>
      <c r="AC165" s="11"/>
      <c r="AD165" s="11"/>
      <c r="AE165" s="11"/>
      <c r="AF165" s="11"/>
      <c r="AG165" s="12"/>
      <c r="AH165" s="12"/>
      <c r="AI165" s="11"/>
      <c r="AJ165" s="9" t="str">
        <f t="shared" si="4"/>
        <v/>
      </c>
      <c r="AK165" s="9" t="str">
        <f t="shared" si="5"/>
        <v/>
      </c>
      <c r="AL165" s="7"/>
    </row>
    <row r="166" spans="1:38" ht="14.4" x14ac:dyDescent="0.3">
      <c r="A166" s="7"/>
      <c r="B166" s="7"/>
      <c r="C166" s="7"/>
      <c r="D166" s="7"/>
      <c r="E166" s="7"/>
      <c r="F166" s="7"/>
      <c r="G166" s="10"/>
      <c r="H166" s="10"/>
      <c r="I166" s="7"/>
      <c r="J166" s="7"/>
      <c r="K166" s="7"/>
      <c r="L166" s="7"/>
      <c r="M166" s="10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10"/>
      <c r="Z166" s="10"/>
      <c r="AA166" s="10"/>
      <c r="AB166" s="14"/>
      <c r="AC166" s="11"/>
      <c r="AD166" s="11"/>
      <c r="AE166" s="11"/>
      <c r="AF166" s="11"/>
      <c r="AG166" s="12"/>
      <c r="AH166" s="12"/>
      <c r="AI166" s="11"/>
      <c r="AJ166" s="9" t="str">
        <f t="shared" si="4"/>
        <v/>
      </c>
      <c r="AK166" s="9" t="str">
        <f t="shared" si="5"/>
        <v/>
      </c>
      <c r="AL166" s="7"/>
    </row>
    <row r="167" spans="1:38" ht="14.4" x14ac:dyDescent="0.3">
      <c r="A167" s="7"/>
      <c r="B167" s="7"/>
      <c r="C167" s="7"/>
      <c r="D167" s="7"/>
      <c r="E167" s="7"/>
      <c r="F167" s="7"/>
      <c r="G167" s="10"/>
      <c r="H167" s="10"/>
      <c r="I167" s="7"/>
      <c r="J167" s="7"/>
      <c r="K167" s="7"/>
      <c r="L167" s="7"/>
      <c r="M167" s="10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10"/>
      <c r="Z167" s="10"/>
      <c r="AA167" s="10"/>
      <c r="AB167" s="14"/>
      <c r="AC167" s="11"/>
      <c r="AD167" s="11"/>
      <c r="AE167" s="11"/>
      <c r="AF167" s="11"/>
      <c r="AG167" s="12"/>
      <c r="AH167" s="12"/>
      <c r="AI167" s="11"/>
      <c r="AJ167" s="9" t="str">
        <f t="shared" si="4"/>
        <v/>
      </c>
      <c r="AK167" s="9" t="str">
        <f t="shared" si="5"/>
        <v/>
      </c>
      <c r="AL167" s="7"/>
    </row>
    <row r="168" spans="1:38" ht="14.4" x14ac:dyDescent="0.3">
      <c r="A168" s="7"/>
      <c r="B168" s="7"/>
      <c r="C168" s="7"/>
      <c r="D168" s="7"/>
      <c r="E168" s="7"/>
      <c r="F168" s="7"/>
      <c r="G168" s="10"/>
      <c r="H168" s="10"/>
      <c r="I168" s="7"/>
      <c r="J168" s="7"/>
      <c r="K168" s="7"/>
      <c r="L168" s="7"/>
      <c r="M168" s="10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10"/>
      <c r="Z168" s="10"/>
      <c r="AA168" s="10"/>
      <c r="AB168" s="14"/>
      <c r="AC168" s="11"/>
      <c r="AD168" s="11"/>
      <c r="AE168" s="11"/>
      <c r="AF168" s="11"/>
      <c r="AG168" s="12"/>
      <c r="AH168" s="12"/>
      <c r="AI168" s="11"/>
      <c r="AJ168" s="9" t="str">
        <f t="shared" si="4"/>
        <v/>
      </c>
      <c r="AK168" s="9" t="str">
        <f t="shared" si="5"/>
        <v/>
      </c>
      <c r="AL168" s="7"/>
    </row>
    <row r="169" spans="1:38" ht="14.4" x14ac:dyDescent="0.3">
      <c r="A169" s="7"/>
      <c r="B169" s="7"/>
      <c r="C169" s="7"/>
      <c r="D169" s="7"/>
      <c r="E169" s="7"/>
      <c r="F169" s="7"/>
      <c r="G169" s="10"/>
      <c r="H169" s="10"/>
      <c r="I169" s="7"/>
      <c r="J169" s="7"/>
      <c r="K169" s="7"/>
      <c r="L169" s="7"/>
      <c r="M169" s="10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10"/>
      <c r="Z169" s="10"/>
      <c r="AA169" s="10"/>
      <c r="AB169" s="14"/>
      <c r="AC169" s="11"/>
      <c r="AD169" s="11"/>
      <c r="AE169" s="11"/>
      <c r="AF169" s="11"/>
      <c r="AG169" s="12"/>
      <c r="AH169" s="12"/>
      <c r="AI169" s="11"/>
      <c r="AJ169" s="9" t="str">
        <f t="shared" si="4"/>
        <v/>
      </c>
      <c r="AK169" s="9" t="str">
        <f t="shared" si="5"/>
        <v/>
      </c>
      <c r="AL169" s="7"/>
    </row>
    <row r="170" spans="1:38" ht="14.4" x14ac:dyDescent="0.3">
      <c r="A170" s="7"/>
      <c r="B170" s="7"/>
      <c r="C170" s="7"/>
      <c r="D170" s="7"/>
      <c r="E170" s="7"/>
      <c r="F170" s="7"/>
      <c r="G170" s="10"/>
      <c r="H170" s="10"/>
      <c r="I170" s="7"/>
      <c r="J170" s="7"/>
      <c r="K170" s="7"/>
      <c r="L170" s="7"/>
      <c r="M170" s="10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10"/>
      <c r="Z170" s="10"/>
      <c r="AA170" s="10"/>
      <c r="AB170" s="14"/>
      <c r="AC170" s="11"/>
      <c r="AD170" s="11"/>
      <c r="AE170" s="11"/>
      <c r="AF170" s="11"/>
      <c r="AG170" s="12"/>
      <c r="AH170" s="12"/>
      <c r="AI170" s="11"/>
      <c r="AJ170" s="9" t="str">
        <f t="shared" si="4"/>
        <v/>
      </c>
      <c r="AK170" s="9" t="str">
        <f t="shared" si="5"/>
        <v/>
      </c>
      <c r="AL170" s="7"/>
    </row>
    <row r="171" spans="1:38" ht="14.4" x14ac:dyDescent="0.3">
      <c r="A171" s="7"/>
      <c r="B171" s="7"/>
      <c r="C171" s="7"/>
      <c r="D171" s="7"/>
      <c r="E171" s="7"/>
      <c r="F171" s="7"/>
      <c r="G171" s="10"/>
      <c r="H171" s="10"/>
      <c r="I171" s="7"/>
      <c r="J171" s="7"/>
      <c r="K171" s="7"/>
      <c r="L171" s="7"/>
      <c r="M171" s="10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10"/>
      <c r="Z171" s="10"/>
      <c r="AA171" s="10"/>
      <c r="AB171" s="14"/>
      <c r="AC171" s="11"/>
      <c r="AD171" s="11"/>
      <c r="AE171" s="11"/>
      <c r="AF171" s="11"/>
      <c r="AG171" s="12"/>
      <c r="AH171" s="12"/>
      <c r="AI171" s="11"/>
      <c r="AJ171" s="9" t="str">
        <f t="shared" si="4"/>
        <v/>
      </c>
      <c r="AK171" s="9" t="str">
        <f t="shared" si="5"/>
        <v/>
      </c>
      <c r="AL171" s="7"/>
    </row>
    <row r="172" spans="1:38" ht="14.4" x14ac:dyDescent="0.3">
      <c r="A172" s="7"/>
      <c r="B172" s="7"/>
      <c r="C172" s="7"/>
      <c r="D172" s="7"/>
      <c r="E172" s="7"/>
      <c r="F172" s="7"/>
      <c r="G172" s="10"/>
      <c r="H172" s="10"/>
      <c r="I172" s="7"/>
      <c r="J172" s="7"/>
      <c r="K172" s="7"/>
      <c r="L172" s="7"/>
      <c r="M172" s="10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10"/>
      <c r="Z172" s="10"/>
      <c r="AA172" s="10"/>
      <c r="AB172" s="14"/>
      <c r="AC172" s="11"/>
      <c r="AD172" s="11"/>
      <c r="AE172" s="11"/>
      <c r="AF172" s="11"/>
      <c r="AG172" s="12"/>
      <c r="AH172" s="12"/>
      <c r="AI172" s="11"/>
      <c r="AJ172" s="9" t="str">
        <f t="shared" si="4"/>
        <v/>
      </c>
      <c r="AK172" s="9" t="str">
        <f t="shared" si="5"/>
        <v/>
      </c>
      <c r="AL172" s="7"/>
    </row>
    <row r="173" spans="1:38" ht="14.4" x14ac:dyDescent="0.3">
      <c r="A173" s="7"/>
      <c r="B173" s="7"/>
      <c r="C173" s="7"/>
      <c r="D173" s="7"/>
      <c r="E173" s="7"/>
      <c r="F173" s="7"/>
      <c r="G173" s="10"/>
      <c r="H173" s="10"/>
      <c r="I173" s="7"/>
      <c r="J173" s="7"/>
      <c r="K173" s="7"/>
      <c r="L173" s="7"/>
      <c r="M173" s="10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10"/>
      <c r="Z173" s="10"/>
      <c r="AA173" s="10"/>
      <c r="AB173" s="14"/>
      <c r="AC173" s="11"/>
      <c r="AD173" s="11"/>
      <c r="AE173" s="11"/>
      <c r="AF173" s="11"/>
      <c r="AG173" s="12"/>
      <c r="AH173" s="12"/>
      <c r="AI173" s="11"/>
      <c r="AJ173" s="9" t="str">
        <f t="shared" si="4"/>
        <v/>
      </c>
      <c r="AK173" s="9" t="str">
        <f t="shared" si="5"/>
        <v/>
      </c>
      <c r="AL173" s="7"/>
    </row>
    <row r="174" spans="1:38" ht="14.4" x14ac:dyDescent="0.3">
      <c r="A174" s="7"/>
      <c r="B174" s="7"/>
      <c r="C174" s="7"/>
      <c r="D174" s="7"/>
      <c r="E174" s="7"/>
      <c r="F174" s="7"/>
      <c r="G174" s="10"/>
      <c r="H174" s="10"/>
      <c r="I174" s="7"/>
      <c r="J174" s="7"/>
      <c r="K174" s="7"/>
      <c r="L174" s="7"/>
      <c r="M174" s="10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10"/>
      <c r="Z174" s="10"/>
      <c r="AA174" s="10"/>
      <c r="AB174" s="14"/>
      <c r="AC174" s="11"/>
      <c r="AD174" s="11"/>
      <c r="AE174" s="11"/>
      <c r="AF174" s="11"/>
      <c r="AG174" s="12"/>
      <c r="AH174" s="12"/>
      <c r="AI174" s="11"/>
      <c r="AJ174" s="9" t="str">
        <f t="shared" si="4"/>
        <v/>
      </c>
      <c r="AK174" s="9" t="str">
        <f t="shared" si="5"/>
        <v/>
      </c>
      <c r="AL174" s="7"/>
    </row>
    <row r="175" spans="1:38" ht="14.4" x14ac:dyDescent="0.3">
      <c r="A175" s="7"/>
      <c r="B175" s="7"/>
      <c r="C175" s="7"/>
      <c r="D175" s="7"/>
      <c r="E175" s="7"/>
      <c r="F175" s="7"/>
      <c r="G175" s="10"/>
      <c r="H175" s="10"/>
      <c r="I175" s="7"/>
      <c r="J175" s="7"/>
      <c r="K175" s="7"/>
      <c r="L175" s="7"/>
      <c r="M175" s="10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10"/>
      <c r="Z175" s="10"/>
      <c r="AA175" s="10"/>
      <c r="AB175" s="14"/>
      <c r="AC175" s="11"/>
      <c r="AD175" s="11"/>
      <c r="AE175" s="11"/>
      <c r="AF175" s="11"/>
      <c r="AG175" s="12"/>
      <c r="AH175" s="12"/>
      <c r="AI175" s="11"/>
      <c r="AJ175" s="9" t="str">
        <f t="shared" si="4"/>
        <v/>
      </c>
      <c r="AK175" s="9" t="str">
        <f t="shared" si="5"/>
        <v/>
      </c>
      <c r="AL175" s="7"/>
    </row>
    <row r="176" spans="1:38" ht="14.4" x14ac:dyDescent="0.3">
      <c r="A176" s="7"/>
      <c r="B176" s="7"/>
      <c r="C176" s="7"/>
      <c r="D176" s="7"/>
      <c r="E176" s="7"/>
      <c r="F176" s="7"/>
      <c r="G176" s="10"/>
      <c r="H176" s="10"/>
      <c r="I176" s="7"/>
      <c r="J176" s="7"/>
      <c r="K176" s="7"/>
      <c r="L176" s="7"/>
      <c r="M176" s="10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10"/>
      <c r="Z176" s="10"/>
      <c r="AA176" s="10"/>
      <c r="AB176" s="14"/>
      <c r="AC176" s="11"/>
      <c r="AD176" s="11"/>
      <c r="AE176" s="11"/>
      <c r="AF176" s="11"/>
      <c r="AG176" s="12"/>
      <c r="AH176" s="12"/>
      <c r="AI176" s="11"/>
      <c r="AJ176" s="9" t="str">
        <f t="shared" si="4"/>
        <v/>
      </c>
      <c r="AK176" s="9" t="str">
        <f t="shared" si="5"/>
        <v/>
      </c>
      <c r="AL176" s="7"/>
    </row>
    <row r="177" spans="1:38" ht="14.4" x14ac:dyDescent="0.3">
      <c r="A177" s="7"/>
      <c r="B177" s="7"/>
      <c r="C177" s="7"/>
      <c r="D177" s="7"/>
      <c r="E177" s="7"/>
      <c r="F177" s="7"/>
      <c r="G177" s="10"/>
      <c r="H177" s="10"/>
      <c r="I177" s="7"/>
      <c r="J177" s="7"/>
      <c r="K177" s="7"/>
      <c r="L177" s="7"/>
      <c r="M177" s="10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10"/>
      <c r="Z177" s="10"/>
      <c r="AA177" s="10"/>
      <c r="AB177" s="14"/>
      <c r="AC177" s="11"/>
      <c r="AD177" s="11"/>
      <c r="AE177" s="11"/>
      <c r="AF177" s="11"/>
      <c r="AG177" s="12"/>
      <c r="AH177" s="12"/>
      <c r="AI177" s="11"/>
      <c r="AJ177" s="9" t="str">
        <f t="shared" si="4"/>
        <v/>
      </c>
      <c r="AK177" s="9" t="str">
        <f t="shared" si="5"/>
        <v/>
      </c>
      <c r="AL177" s="7"/>
    </row>
    <row r="178" spans="1:38" ht="14.4" x14ac:dyDescent="0.3">
      <c r="A178" s="7"/>
      <c r="B178" s="7"/>
      <c r="C178" s="7"/>
      <c r="D178" s="7"/>
      <c r="E178" s="7"/>
      <c r="F178" s="7"/>
      <c r="G178" s="10"/>
      <c r="H178" s="10"/>
      <c r="I178" s="7"/>
      <c r="J178" s="7"/>
      <c r="K178" s="7"/>
      <c r="L178" s="7"/>
      <c r="M178" s="10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10"/>
      <c r="Z178" s="10"/>
      <c r="AA178" s="10"/>
      <c r="AB178" s="14"/>
      <c r="AC178" s="11"/>
      <c r="AD178" s="11"/>
      <c r="AE178" s="11"/>
      <c r="AF178" s="11"/>
      <c r="AG178" s="12"/>
      <c r="AH178" s="12"/>
      <c r="AI178" s="11"/>
      <c r="AJ178" s="9" t="str">
        <f t="shared" si="4"/>
        <v/>
      </c>
      <c r="AK178" s="9" t="str">
        <f t="shared" si="5"/>
        <v/>
      </c>
      <c r="AL178" s="7"/>
    </row>
    <row r="179" spans="1:38" ht="14.4" x14ac:dyDescent="0.3">
      <c r="A179" s="7"/>
      <c r="B179" s="7"/>
      <c r="C179" s="7"/>
      <c r="D179" s="7"/>
      <c r="E179" s="7"/>
      <c r="F179" s="7"/>
      <c r="G179" s="10"/>
      <c r="H179" s="10"/>
      <c r="I179" s="7"/>
      <c r="J179" s="7"/>
      <c r="K179" s="7"/>
      <c r="L179" s="7"/>
      <c r="M179" s="10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10"/>
      <c r="Z179" s="10"/>
      <c r="AA179" s="10"/>
      <c r="AB179" s="14"/>
      <c r="AC179" s="11"/>
      <c r="AD179" s="11"/>
      <c r="AE179" s="11"/>
      <c r="AF179" s="11"/>
      <c r="AG179" s="12"/>
      <c r="AH179" s="12"/>
      <c r="AI179" s="11"/>
      <c r="AJ179" s="9" t="str">
        <f t="shared" si="4"/>
        <v/>
      </c>
      <c r="AK179" s="9" t="str">
        <f t="shared" si="5"/>
        <v/>
      </c>
      <c r="AL179" s="7"/>
    </row>
    <row r="180" spans="1:38" ht="14.4" x14ac:dyDescent="0.3">
      <c r="A180" s="7"/>
      <c r="B180" s="7"/>
      <c r="C180" s="7"/>
      <c r="D180" s="7"/>
      <c r="E180" s="7"/>
      <c r="F180" s="7"/>
      <c r="G180" s="10"/>
      <c r="H180" s="10"/>
      <c r="I180" s="7"/>
      <c r="J180" s="7"/>
      <c r="K180" s="7"/>
      <c r="L180" s="7"/>
      <c r="M180" s="10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10"/>
      <c r="Z180" s="10"/>
      <c r="AA180" s="10"/>
      <c r="AB180" s="14"/>
      <c r="AC180" s="11"/>
      <c r="AD180" s="11"/>
      <c r="AE180" s="11"/>
      <c r="AF180" s="11"/>
      <c r="AG180" s="12"/>
      <c r="AH180" s="12"/>
      <c r="AI180" s="11"/>
      <c r="AJ180" s="9" t="str">
        <f t="shared" si="4"/>
        <v/>
      </c>
      <c r="AK180" s="9" t="str">
        <f t="shared" si="5"/>
        <v/>
      </c>
      <c r="AL180" s="7"/>
    </row>
    <row r="181" spans="1:38" ht="14.4" x14ac:dyDescent="0.3">
      <c r="A181" s="7"/>
      <c r="B181" s="7"/>
      <c r="C181" s="7"/>
      <c r="D181" s="7"/>
      <c r="E181" s="7"/>
      <c r="F181" s="7"/>
      <c r="G181" s="10"/>
      <c r="H181" s="10"/>
      <c r="I181" s="7"/>
      <c r="J181" s="7"/>
      <c r="K181" s="7"/>
      <c r="L181" s="7"/>
      <c r="M181" s="10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10"/>
      <c r="Z181" s="10"/>
      <c r="AA181" s="10"/>
      <c r="AB181" s="14"/>
      <c r="AC181" s="11"/>
      <c r="AD181" s="11"/>
      <c r="AE181" s="11"/>
      <c r="AF181" s="11"/>
      <c r="AG181" s="12"/>
      <c r="AH181" s="12"/>
      <c r="AI181" s="11"/>
      <c r="AJ181" s="9" t="str">
        <f t="shared" si="4"/>
        <v/>
      </c>
      <c r="AK181" s="9" t="str">
        <f t="shared" si="5"/>
        <v/>
      </c>
      <c r="AL181" s="7"/>
    </row>
    <row r="182" spans="1:38" ht="14.4" x14ac:dyDescent="0.3">
      <c r="A182" s="7"/>
      <c r="B182" s="7"/>
      <c r="C182" s="7"/>
      <c r="D182" s="7"/>
      <c r="E182" s="7"/>
      <c r="F182" s="7"/>
      <c r="G182" s="10"/>
      <c r="H182" s="10"/>
      <c r="I182" s="7"/>
      <c r="J182" s="7"/>
      <c r="K182" s="7"/>
      <c r="L182" s="7"/>
      <c r="M182" s="10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10"/>
      <c r="Z182" s="10"/>
      <c r="AA182" s="10"/>
      <c r="AB182" s="14"/>
      <c r="AC182" s="11"/>
      <c r="AD182" s="11"/>
      <c r="AE182" s="11"/>
      <c r="AF182" s="11"/>
      <c r="AG182" s="12"/>
      <c r="AH182" s="12"/>
      <c r="AI182" s="11"/>
      <c r="AJ182" s="9" t="str">
        <f t="shared" si="4"/>
        <v/>
      </c>
      <c r="AK182" s="9" t="str">
        <f t="shared" si="5"/>
        <v/>
      </c>
      <c r="AL182" s="7"/>
    </row>
    <row r="183" spans="1:38" ht="14.4" x14ac:dyDescent="0.3">
      <c r="A183" s="7"/>
      <c r="B183" s="7"/>
      <c r="C183" s="7"/>
      <c r="D183" s="7"/>
      <c r="E183" s="7"/>
      <c r="F183" s="7"/>
      <c r="G183" s="10"/>
      <c r="H183" s="10"/>
      <c r="I183" s="7"/>
      <c r="J183" s="7"/>
      <c r="K183" s="7"/>
      <c r="L183" s="7"/>
      <c r="M183" s="10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10"/>
      <c r="Z183" s="10"/>
      <c r="AA183" s="10"/>
      <c r="AB183" s="14"/>
      <c r="AC183" s="11"/>
      <c r="AD183" s="11"/>
      <c r="AE183" s="11"/>
      <c r="AF183" s="11"/>
      <c r="AG183" s="12"/>
      <c r="AH183" s="12"/>
      <c r="AI183" s="11"/>
      <c r="AJ183" s="9" t="str">
        <f t="shared" si="4"/>
        <v/>
      </c>
      <c r="AK183" s="9" t="str">
        <f t="shared" si="5"/>
        <v/>
      </c>
      <c r="AL183" s="7"/>
    </row>
    <row r="184" spans="1:38" ht="14.4" x14ac:dyDescent="0.3">
      <c r="A184" s="7"/>
      <c r="B184" s="7"/>
      <c r="C184" s="7"/>
      <c r="D184" s="7"/>
      <c r="E184" s="7"/>
      <c r="F184" s="7"/>
      <c r="G184" s="10"/>
      <c r="H184" s="10"/>
      <c r="I184" s="7"/>
      <c r="J184" s="7"/>
      <c r="K184" s="7"/>
      <c r="L184" s="7"/>
      <c r="M184" s="10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10"/>
      <c r="Z184" s="10"/>
      <c r="AA184" s="10"/>
      <c r="AB184" s="14"/>
      <c r="AC184" s="11"/>
      <c r="AD184" s="11"/>
      <c r="AE184" s="11"/>
      <c r="AF184" s="11"/>
      <c r="AG184" s="12"/>
      <c r="AH184" s="12"/>
      <c r="AI184" s="11"/>
      <c r="AJ184" s="9" t="str">
        <f t="shared" si="4"/>
        <v/>
      </c>
      <c r="AK184" s="9" t="str">
        <f t="shared" si="5"/>
        <v/>
      </c>
      <c r="AL184" s="7"/>
    </row>
    <row r="185" spans="1:38" ht="14.4" x14ac:dyDescent="0.3">
      <c r="A185" s="7"/>
      <c r="B185" s="7"/>
      <c r="C185" s="7"/>
      <c r="D185" s="7"/>
      <c r="E185" s="7"/>
      <c r="F185" s="7"/>
      <c r="G185" s="10"/>
      <c r="H185" s="10"/>
      <c r="I185" s="7"/>
      <c r="J185" s="7"/>
      <c r="K185" s="7"/>
      <c r="L185" s="7"/>
      <c r="M185" s="10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10"/>
      <c r="Z185" s="10"/>
      <c r="AA185" s="10"/>
      <c r="AB185" s="14"/>
      <c r="AC185" s="11"/>
      <c r="AD185" s="11"/>
      <c r="AE185" s="11"/>
      <c r="AF185" s="11"/>
      <c r="AG185" s="12"/>
      <c r="AH185" s="12"/>
      <c r="AI185" s="11"/>
      <c r="AJ185" s="9" t="str">
        <f t="shared" si="4"/>
        <v/>
      </c>
      <c r="AK185" s="9" t="str">
        <f t="shared" si="5"/>
        <v/>
      </c>
      <c r="AL185" s="7"/>
    </row>
    <row r="186" spans="1:38" ht="14.4" x14ac:dyDescent="0.3">
      <c r="A186" s="7"/>
      <c r="B186" s="7"/>
      <c r="C186" s="7"/>
      <c r="D186" s="7"/>
      <c r="E186" s="7"/>
      <c r="F186" s="7"/>
      <c r="G186" s="10"/>
      <c r="H186" s="10"/>
      <c r="I186" s="7"/>
      <c r="J186" s="7"/>
      <c r="K186" s="7"/>
      <c r="L186" s="7"/>
      <c r="M186" s="10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10"/>
      <c r="Z186" s="10"/>
      <c r="AA186" s="10"/>
      <c r="AB186" s="14"/>
      <c r="AC186" s="11"/>
      <c r="AD186" s="11"/>
      <c r="AE186" s="11"/>
      <c r="AF186" s="11"/>
      <c r="AG186" s="12"/>
      <c r="AH186" s="12"/>
      <c r="AI186" s="11"/>
      <c r="AJ186" s="9" t="str">
        <f t="shared" si="4"/>
        <v/>
      </c>
      <c r="AK186" s="9" t="str">
        <f t="shared" si="5"/>
        <v/>
      </c>
      <c r="AL186" s="7"/>
    </row>
    <row r="187" spans="1:38" ht="14.4" x14ac:dyDescent="0.3">
      <c r="A187" s="7"/>
      <c r="B187" s="7"/>
      <c r="C187" s="7"/>
      <c r="D187" s="7"/>
      <c r="E187" s="7"/>
      <c r="F187" s="7"/>
      <c r="G187" s="10"/>
      <c r="H187" s="10"/>
      <c r="I187" s="7"/>
      <c r="J187" s="7"/>
      <c r="K187" s="7"/>
      <c r="L187" s="7"/>
      <c r="M187" s="10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10"/>
      <c r="Z187" s="10"/>
      <c r="AA187" s="10"/>
      <c r="AB187" s="14"/>
      <c r="AC187" s="11"/>
      <c r="AD187" s="11"/>
      <c r="AE187" s="11"/>
      <c r="AF187" s="11"/>
      <c r="AG187" s="12"/>
      <c r="AH187" s="12"/>
      <c r="AI187" s="11"/>
      <c r="AJ187" s="9" t="str">
        <f t="shared" si="4"/>
        <v/>
      </c>
      <c r="AK187" s="9" t="str">
        <f t="shared" si="5"/>
        <v/>
      </c>
      <c r="AL187" s="7"/>
    </row>
    <row r="188" spans="1:38" ht="14.4" x14ac:dyDescent="0.3">
      <c r="A188" s="7"/>
      <c r="B188" s="7"/>
      <c r="C188" s="7"/>
      <c r="D188" s="7"/>
      <c r="E188" s="7"/>
      <c r="F188" s="7"/>
      <c r="G188" s="10"/>
      <c r="H188" s="10"/>
      <c r="I188" s="7"/>
      <c r="J188" s="7"/>
      <c r="K188" s="7"/>
      <c r="L188" s="7"/>
      <c r="M188" s="10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10"/>
      <c r="Z188" s="10"/>
      <c r="AA188" s="10"/>
      <c r="AB188" s="14"/>
      <c r="AC188" s="11"/>
      <c r="AD188" s="11"/>
      <c r="AE188" s="11"/>
      <c r="AF188" s="11"/>
      <c r="AG188" s="12"/>
      <c r="AH188" s="12"/>
      <c r="AI188" s="11"/>
      <c r="AJ188" s="9" t="str">
        <f t="shared" si="4"/>
        <v/>
      </c>
      <c r="AK188" s="9" t="str">
        <f t="shared" si="5"/>
        <v/>
      </c>
      <c r="AL188" s="7"/>
    </row>
    <row r="189" spans="1:38" ht="14.4" x14ac:dyDescent="0.3">
      <c r="A189" s="7"/>
      <c r="B189" s="7"/>
      <c r="C189" s="7"/>
      <c r="D189" s="7"/>
      <c r="E189" s="7"/>
      <c r="F189" s="7"/>
      <c r="G189" s="10"/>
      <c r="H189" s="10"/>
      <c r="I189" s="7"/>
      <c r="J189" s="7"/>
      <c r="K189" s="7"/>
      <c r="L189" s="7"/>
      <c r="M189" s="10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10"/>
      <c r="Z189" s="10"/>
      <c r="AA189" s="10"/>
      <c r="AB189" s="14"/>
      <c r="AC189" s="11"/>
      <c r="AD189" s="11"/>
      <c r="AE189" s="11"/>
      <c r="AF189" s="11"/>
      <c r="AG189" s="12"/>
      <c r="AH189" s="12"/>
      <c r="AI189" s="11"/>
      <c r="AJ189" s="9" t="str">
        <f t="shared" si="4"/>
        <v/>
      </c>
      <c r="AK189" s="9" t="str">
        <f t="shared" si="5"/>
        <v/>
      </c>
      <c r="AL189" s="7"/>
    </row>
    <row r="190" spans="1:38" ht="14.4" x14ac:dyDescent="0.3">
      <c r="A190" s="7"/>
      <c r="B190" s="7"/>
      <c r="C190" s="7"/>
      <c r="D190" s="7"/>
      <c r="E190" s="7"/>
      <c r="F190" s="7"/>
      <c r="G190" s="10"/>
      <c r="H190" s="10"/>
      <c r="I190" s="7"/>
      <c r="J190" s="7"/>
      <c r="K190" s="7"/>
      <c r="L190" s="7"/>
      <c r="M190" s="10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10"/>
      <c r="Z190" s="10"/>
      <c r="AA190" s="10"/>
      <c r="AB190" s="14"/>
      <c r="AC190" s="11"/>
      <c r="AD190" s="11"/>
      <c r="AE190" s="11"/>
      <c r="AF190" s="11"/>
      <c r="AG190" s="12"/>
      <c r="AH190" s="12"/>
      <c r="AI190" s="11"/>
      <c r="AJ190" s="9" t="str">
        <f t="shared" si="4"/>
        <v/>
      </c>
      <c r="AK190" s="9" t="str">
        <f t="shared" si="5"/>
        <v/>
      </c>
      <c r="AL190" s="7"/>
    </row>
    <row r="191" spans="1:38" ht="14.4" x14ac:dyDescent="0.3">
      <c r="A191" s="7"/>
      <c r="B191" s="7"/>
      <c r="C191" s="7"/>
      <c r="D191" s="7"/>
      <c r="E191" s="7"/>
      <c r="F191" s="7"/>
      <c r="G191" s="10"/>
      <c r="H191" s="10"/>
      <c r="I191" s="7"/>
      <c r="J191" s="7"/>
      <c r="K191" s="7"/>
      <c r="L191" s="7"/>
      <c r="M191" s="10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10"/>
      <c r="Z191" s="10"/>
      <c r="AA191" s="10"/>
      <c r="AB191" s="14"/>
      <c r="AC191" s="11"/>
      <c r="AD191" s="11"/>
      <c r="AE191" s="11"/>
      <c r="AF191" s="11"/>
      <c r="AG191" s="12"/>
      <c r="AH191" s="12"/>
      <c r="AI191" s="11"/>
      <c r="AJ191" s="9" t="str">
        <f t="shared" si="4"/>
        <v/>
      </c>
      <c r="AK191" s="9" t="str">
        <f t="shared" si="5"/>
        <v/>
      </c>
      <c r="AL191" s="7"/>
    </row>
    <row r="192" spans="1:38" ht="14.4" x14ac:dyDescent="0.3">
      <c r="A192" s="7"/>
      <c r="B192" s="7"/>
      <c r="C192" s="7"/>
      <c r="D192" s="7"/>
      <c r="E192" s="7"/>
      <c r="F192" s="7"/>
      <c r="G192" s="10"/>
      <c r="H192" s="10"/>
      <c r="I192" s="7"/>
      <c r="J192" s="7"/>
      <c r="K192" s="7"/>
      <c r="L192" s="7"/>
      <c r="M192" s="10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10"/>
      <c r="Z192" s="10"/>
      <c r="AA192" s="10"/>
      <c r="AB192" s="14"/>
      <c r="AC192" s="11"/>
      <c r="AD192" s="11"/>
      <c r="AE192" s="11"/>
      <c r="AF192" s="11"/>
      <c r="AG192" s="12"/>
      <c r="AH192" s="12"/>
      <c r="AI192" s="11"/>
      <c r="AJ192" s="9" t="str">
        <f t="shared" si="4"/>
        <v/>
      </c>
      <c r="AK192" s="9" t="str">
        <f t="shared" si="5"/>
        <v/>
      </c>
      <c r="AL192" s="7"/>
    </row>
    <row r="193" spans="1:38" ht="14.4" x14ac:dyDescent="0.3">
      <c r="A193" s="7"/>
      <c r="B193" s="7"/>
      <c r="C193" s="7"/>
      <c r="D193" s="7"/>
      <c r="E193" s="7"/>
      <c r="F193" s="7"/>
      <c r="G193" s="10"/>
      <c r="H193" s="10"/>
      <c r="I193" s="7"/>
      <c r="J193" s="7"/>
      <c r="K193" s="7"/>
      <c r="L193" s="7"/>
      <c r="M193" s="10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10"/>
      <c r="Z193" s="10"/>
      <c r="AA193" s="10"/>
      <c r="AB193" s="14"/>
      <c r="AC193" s="11"/>
      <c r="AD193" s="11"/>
      <c r="AE193" s="11"/>
      <c r="AF193" s="11"/>
      <c r="AG193" s="12"/>
      <c r="AH193" s="12"/>
      <c r="AI193" s="11"/>
      <c r="AJ193" s="9" t="str">
        <f t="shared" si="4"/>
        <v/>
      </c>
      <c r="AK193" s="9" t="str">
        <f t="shared" si="5"/>
        <v/>
      </c>
      <c r="AL193" s="7"/>
    </row>
    <row r="194" spans="1:38" ht="14.4" x14ac:dyDescent="0.3">
      <c r="A194" s="7"/>
      <c r="B194" s="7"/>
      <c r="C194" s="7"/>
      <c r="D194" s="7"/>
      <c r="E194" s="7"/>
      <c r="F194" s="7"/>
      <c r="G194" s="10"/>
      <c r="H194" s="10"/>
      <c r="I194" s="7"/>
      <c r="J194" s="7"/>
      <c r="K194" s="7"/>
      <c r="L194" s="7"/>
      <c r="M194" s="10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10"/>
      <c r="Z194" s="10"/>
      <c r="AA194" s="10"/>
      <c r="AB194" s="14"/>
      <c r="AC194" s="11"/>
      <c r="AD194" s="11"/>
      <c r="AE194" s="11"/>
      <c r="AF194" s="11"/>
      <c r="AG194" s="12"/>
      <c r="AH194" s="12"/>
      <c r="AI194" s="11"/>
      <c r="AJ194" s="9" t="str">
        <f t="shared" ref="AJ194:AJ251" si="6">IF(OR(G194="",M194=""),"",M194-G194)</f>
        <v/>
      </c>
      <c r="AK194" s="9" t="str">
        <f t="shared" ref="AK194:AK251" si="7">IF(OR(M194="",AA194=""),"",AA194-M194)</f>
        <v/>
      </c>
      <c r="AL194" s="7"/>
    </row>
    <row r="195" spans="1:38" ht="14.4" x14ac:dyDescent="0.3">
      <c r="A195" s="7"/>
      <c r="B195" s="7"/>
      <c r="C195" s="7"/>
      <c r="D195" s="7"/>
      <c r="E195" s="7"/>
      <c r="F195" s="7"/>
      <c r="G195" s="10"/>
      <c r="H195" s="10"/>
      <c r="I195" s="7"/>
      <c r="J195" s="7"/>
      <c r="K195" s="7"/>
      <c r="L195" s="7"/>
      <c r="M195" s="10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10"/>
      <c r="Z195" s="10"/>
      <c r="AA195" s="10"/>
      <c r="AB195" s="14"/>
      <c r="AC195" s="11"/>
      <c r="AD195" s="11"/>
      <c r="AE195" s="11"/>
      <c r="AF195" s="11"/>
      <c r="AG195" s="12"/>
      <c r="AH195" s="12"/>
      <c r="AI195" s="11"/>
      <c r="AJ195" s="9" t="str">
        <f t="shared" si="6"/>
        <v/>
      </c>
      <c r="AK195" s="9" t="str">
        <f t="shared" si="7"/>
        <v/>
      </c>
      <c r="AL195" s="7"/>
    </row>
    <row r="196" spans="1:38" ht="14.4" x14ac:dyDescent="0.3">
      <c r="A196" s="7"/>
      <c r="B196" s="7"/>
      <c r="C196" s="7"/>
      <c r="D196" s="7"/>
      <c r="E196" s="7"/>
      <c r="F196" s="7"/>
      <c r="G196" s="10"/>
      <c r="H196" s="10"/>
      <c r="I196" s="7"/>
      <c r="J196" s="7"/>
      <c r="K196" s="7"/>
      <c r="L196" s="7"/>
      <c r="M196" s="10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10"/>
      <c r="Z196" s="10"/>
      <c r="AA196" s="10"/>
      <c r="AB196" s="14"/>
      <c r="AC196" s="11"/>
      <c r="AD196" s="11"/>
      <c r="AE196" s="11"/>
      <c r="AF196" s="11"/>
      <c r="AG196" s="12"/>
      <c r="AH196" s="12"/>
      <c r="AI196" s="11"/>
      <c r="AJ196" s="9" t="str">
        <f t="shared" si="6"/>
        <v/>
      </c>
      <c r="AK196" s="9" t="str">
        <f t="shared" si="7"/>
        <v/>
      </c>
      <c r="AL196" s="7"/>
    </row>
    <row r="197" spans="1:38" ht="14.4" x14ac:dyDescent="0.3">
      <c r="A197" s="7"/>
      <c r="B197" s="7"/>
      <c r="C197" s="7"/>
      <c r="D197" s="7"/>
      <c r="E197" s="7"/>
      <c r="F197" s="7"/>
      <c r="G197" s="10"/>
      <c r="H197" s="10"/>
      <c r="I197" s="7"/>
      <c r="J197" s="7"/>
      <c r="K197" s="7"/>
      <c r="L197" s="7"/>
      <c r="M197" s="10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10"/>
      <c r="Z197" s="10"/>
      <c r="AA197" s="10"/>
      <c r="AB197" s="14"/>
      <c r="AC197" s="11"/>
      <c r="AD197" s="11"/>
      <c r="AE197" s="11"/>
      <c r="AF197" s="11"/>
      <c r="AG197" s="12"/>
      <c r="AH197" s="12"/>
      <c r="AI197" s="11"/>
      <c r="AJ197" s="9" t="str">
        <f t="shared" si="6"/>
        <v/>
      </c>
      <c r="AK197" s="9" t="str">
        <f t="shared" si="7"/>
        <v/>
      </c>
      <c r="AL197" s="7"/>
    </row>
    <row r="198" spans="1:38" ht="14.4" x14ac:dyDescent="0.3">
      <c r="A198" s="7"/>
      <c r="B198" s="7"/>
      <c r="C198" s="7"/>
      <c r="D198" s="7"/>
      <c r="E198" s="7"/>
      <c r="F198" s="7"/>
      <c r="G198" s="10"/>
      <c r="H198" s="10"/>
      <c r="I198" s="7"/>
      <c r="J198" s="7"/>
      <c r="K198" s="7"/>
      <c r="L198" s="7"/>
      <c r="M198" s="10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10"/>
      <c r="Z198" s="10"/>
      <c r="AA198" s="10"/>
      <c r="AB198" s="14"/>
      <c r="AC198" s="11"/>
      <c r="AD198" s="11"/>
      <c r="AE198" s="11"/>
      <c r="AF198" s="11"/>
      <c r="AG198" s="12"/>
      <c r="AH198" s="12"/>
      <c r="AI198" s="11"/>
      <c r="AJ198" s="9" t="str">
        <f t="shared" si="6"/>
        <v/>
      </c>
      <c r="AK198" s="9" t="str">
        <f t="shared" si="7"/>
        <v/>
      </c>
      <c r="AL198" s="7"/>
    </row>
    <row r="199" spans="1:38" ht="14.4" x14ac:dyDescent="0.3">
      <c r="A199" s="7"/>
      <c r="B199" s="7"/>
      <c r="C199" s="7"/>
      <c r="D199" s="7"/>
      <c r="E199" s="7"/>
      <c r="F199" s="7"/>
      <c r="G199" s="10"/>
      <c r="H199" s="10"/>
      <c r="I199" s="7"/>
      <c r="J199" s="7"/>
      <c r="K199" s="7"/>
      <c r="L199" s="7"/>
      <c r="M199" s="10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10"/>
      <c r="Z199" s="10"/>
      <c r="AA199" s="10"/>
      <c r="AB199" s="14"/>
      <c r="AC199" s="11"/>
      <c r="AD199" s="11"/>
      <c r="AE199" s="11"/>
      <c r="AF199" s="11"/>
      <c r="AG199" s="12"/>
      <c r="AH199" s="12"/>
      <c r="AI199" s="11"/>
      <c r="AJ199" s="9" t="str">
        <f t="shared" si="6"/>
        <v/>
      </c>
      <c r="AK199" s="9" t="str">
        <f t="shared" si="7"/>
        <v/>
      </c>
      <c r="AL199" s="7"/>
    </row>
    <row r="200" spans="1:38" ht="14.4" x14ac:dyDescent="0.3">
      <c r="A200" s="7"/>
      <c r="B200" s="7"/>
      <c r="C200" s="7"/>
      <c r="D200" s="7"/>
      <c r="E200" s="7"/>
      <c r="F200" s="7"/>
      <c r="G200" s="10"/>
      <c r="H200" s="10"/>
      <c r="I200" s="7"/>
      <c r="J200" s="7"/>
      <c r="K200" s="7"/>
      <c r="L200" s="7"/>
      <c r="M200" s="10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10"/>
      <c r="Z200" s="10"/>
      <c r="AA200" s="10"/>
      <c r="AB200" s="14"/>
      <c r="AC200" s="11"/>
      <c r="AD200" s="11"/>
      <c r="AE200" s="11"/>
      <c r="AF200" s="11"/>
      <c r="AG200" s="12"/>
      <c r="AH200" s="12"/>
      <c r="AI200" s="11"/>
      <c r="AJ200" s="9" t="str">
        <f t="shared" si="6"/>
        <v/>
      </c>
      <c r="AK200" s="9" t="str">
        <f t="shared" si="7"/>
        <v/>
      </c>
      <c r="AL200" s="7"/>
    </row>
    <row r="201" spans="1:38" ht="14.4" x14ac:dyDescent="0.3">
      <c r="A201" s="7"/>
      <c r="B201" s="7"/>
      <c r="C201" s="7"/>
      <c r="D201" s="7"/>
      <c r="E201" s="7"/>
      <c r="F201" s="7"/>
      <c r="G201" s="10"/>
      <c r="H201" s="10"/>
      <c r="I201" s="7"/>
      <c r="J201" s="7"/>
      <c r="K201" s="7"/>
      <c r="L201" s="7"/>
      <c r="M201" s="10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10"/>
      <c r="Z201" s="10"/>
      <c r="AA201" s="10"/>
      <c r="AB201" s="14"/>
      <c r="AC201" s="11"/>
      <c r="AD201" s="11"/>
      <c r="AE201" s="11"/>
      <c r="AF201" s="11"/>
      <c r="AG201" s="12"/>
      <c r="AH201" s="12"/>
      <c r="AI201" s="11"/>
      <c r="AJ201" s="9" t="str">
        <f t="shared" si="6"/>
        <v/>
      </c>
      <c r="AK201" s="9" t="str">
        <f t="shared" si="7"/>
        <v/>
      </c>
      <c r="AL201" s="7"/>
    </row>
    <row r="202" spans="1:38" ht="14.4" x14ac:dyDescent="0.3">
      <c r="A202" s="7"/>
      <c r="B202" s="7"/>
      <c r="C202" s="7"/>
      <c r="D202" s="7"/>
      <c r="E202" s="7"/>
      <c r="F202" s="7"/>
      <c r="G202" s="10"/>
      <c r="H202" s="10"/>
      <c r="I202" s="7"/>
      <c r="J202" s="7"/>
      <c r="K202" s="7"/>
      <c r="L202" s="7"/>
      <c r="M202" s="10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10"/>
      <c r="Z202" s="10"/>
      <c r="AA202" s="10"/>
      <c r="AB202" s="14"/>
      <c r="AC202" s="11"/>
      <c r="AD202" s="11"/>
      <c r="AE202" s="11"/>
      <c r="AF202" s="11"/>
      <c r="AG202" s="12"/>
      <c r="AH202" s="12"/>
      <c r="AI202" s="11"/>
      <c r="AJ202" s="9" t="str">
        <f t="shared" si="6"/>
        <v/>
      </c>
      <c r="AK202" s="9" t="str">
        <f t="shared" si="7"/>
        <v/>
      </c>
      <c r="AL202" s="7"/>
    </row>
    <row r="203" spans="1:38" ht="14.4" x14ac:dyDescent="0.3">
      <c r="A203" s="7"/>
      <c r="B203" s="7"/>
      <c r="C203" s="7"/>
      <c r="D203" s="7"/>
      <c r="E203" s="7"/>
      <c r="F203" s="7"/>
      <c r="G203" s="10"/>
      <c r="H203" s="10"/>
      <c r="I203" s="7"/>
      <c r="J203" s="7"/>
      <c r="K203" s="7"/>
      <c r="L203" s="7"/>
      <c r="M203" s="10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10"/>
      <c r="Z203" s="10"/>
      <c r="AA203" s="10"/>
      <c r="AB203" s="14"/>
      <c r="AC203" s="11"/>
      <c r="AD203" s="11"/>
      <c r="AE203" s="11"/>
      <c r="AF203" s="11"/>
      <c r="AG203" s="12"/>
      <c r="AH203" s="12"/>
      <c r="AI203" s="11"/>
      <c r="AJ203" s="9" t="str">
        <f t="shared" si="6"/>
        <v/>
      </c>
      <c r="AK203" s="9" t="str">
        <f t="shared" si="7"/>
        <v/>
      </c>
      <c r="AL203" s="7"/>
    </row>
    <row r="204" spans="1:38" ht="14.4" x14ac:dyDescent="0.3">
      <c r="A204" s="7"/>
      <c r="B204" s="7"/>
      <c r="C204" s="7"/>
      <c r="D204" s="7"/>
      <c r="E204" s="7"/>
      <c r="F204" s="7"/>
      <c r="G204" s="10"/>
      <c r="H204" s="10"/>
      <c r="I204" s="7"/>
      <c r="J204" s="7"/>
      <c r="K204" s="7"/>
      <c r="L204" s="7"/>
      <c r="M204" s="10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10"/>
      <c r="Z204" s="10"/>
      <c r="AA204" s="10"/>
      <c r="AB204" s="14"/>
      <c r="AC204" s="11"/>
      <c r="AD204" s="11"/>
      <c r="AE204" s="11"/>
      <c r="AF204" s="11"/>
      <c r="AG204" s="12"/>
      <c r="AH204" s="12"/>
      <c r="AI204" s="11"/>
      <c r="AJ204" s="9" t="str">
        <f t="shared" si="6"/>
        <v/>
      </c>
      <c r="AK204" s="9" t="str">
        <f t="shared" si="7"/>
        <v/>
      </c>
      <c r="AL204" s="7"/>
    </row>
    <row r="205" spans="1:38" ht="14.4" x14ac:dyDescent="0.3">
      <c r="A205" s="7"/>
      <c r="B205" s="7"/>
      <c r="C205" s="7"/>
      <c r="D205" s="7"/>
      <c r="E205" s="7"/>
      <c r="F205" s="7"/>
      <c r="G205" s="10"/>
      <c r="H205" s="10"/>
      <c r="I205" s="7"/>
      <c r="J205" s="7"/>
      <c r="K205" s="7"/>
      <c r="L205" s="7"/>
      <c r="M205" s="10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10"/>
      <c r="Z205" s="10"/>
      <c r="AA205" s="10"/>
      <c r="AB205" s="14"/>
      <c r="AC205" s="11"/>
      <c r="AD205" s="11"/>
      <c r="AE205" s="11"/>
      <c r="AF205" s="11"/>
      <c r="AG205" s="12"/>
      <c r="AH205" s="12"/>
      <c r="AI205" s="11"/>
      <c r="AJ205" s="9" t="str">
        <f t="shared" si="6"/>
        <v/>
      </c>
      <c r="AK205" s="9" t="str">
        <f t="shared" si="7"/>
        <v/>
      </c>
      <c r="AL205" s="7"/>
    </row>
    <row r="206" spans="1:38" ht="14.4" x14ac:dyDescent="0.3">
      <c r="A206" s="7"/>
      <c r="B206" s="7"/>
      <c r="C206" s="7"/>
      <c r="D206" s="7"/>
      <c r="E206" s="7"/>
      <c r="F206" s="7"/>
      <c r="G206" s="10"/>
      <c r="H206" s="10"/>
      <c r="I206" s="7"/>
      <c r="J206" s="7"/>
      <c r="K206" s="7"/>
      <c r="L206" s="7"/>
      <c r="M206" s="10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10"/>
      <c r="Z206" s="10"/>
      <c r="AA206" s="10"/>
      <c r="AB206" s="14"/>
      <c r="AC206" s="11"/>
      <c r="AD206" s="11"/>
      <c r="AE206" s="11"/>
      <c r="AF206" s="11"/>
      <c r="AG206" s="12"/>
      <c r="AH206" s="12"/>
      <c r="AI206" s="11"/>
      <c r="AJ206" s="9" t="str">
        <f t="shared" si="6"/>
        <v/>
      </c>
      <c r="AK206" s="9" t="str">
        <f t="shared" si="7"/>
        <v/>
      </c>
      <c r="AL206" s="7"/>
    </row>
    <row r="207" spans="1:38" ht="14.4" x14ac:dyDescent="0.3">
      <c r="A207" s="7"/>
      <c r="B207" s="7"/>
      <c r="C207" s="7"/>
      <c r="D207" s="7"/>
      <c r="E207" s="7"/>
      <c r="F207" s="7"/>
      <c r="G207" s="10"/>
      <c r="H207" s="10"/>
      <c r="I207" s="7"/>
      <c r="J207" s="7"/>
      <c r="K207" s="7"/>
      <c r="L207" s="7"/>
      <c r="M207" s="10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10"/>
      <c r="Z207" s="10"/>
      <c r="AA207" s="10"/>
      <c r="AB207" s="14"/>
      <c r="AC207" s="11"/>
      <c r="AD207" s="11"/>
      <c r="AE207" s="11"/>
      <c r="AF207" s="11"/>
      <c r="AG207" s="12"/>
      <c r="AH207" s="12"/>
      <c r="AI207" s="11"/>
      <c r="AJ207" s="9" t="str">
        <f t="shared" si="6"/>
        <v/>
      </c>
      <c r="AK207" s="9" t="str">
        <f t="shared" si="7"/>
        <v/>
      </c>
      <c r="AL207" s="7"/>
    </row>
    <row r="208" spans="1:38" ht="14.4" x14ac:dyDescent="0.3">
      <c r="A208" s="7"/>
      <c r="B208" s="7"/>
      <c r="C208" s="7"/>
      <c r="D208" s="7"/>
      <c r="E208" s="7"/>
      <c r="F208" s="7"/>
      <c r="G208" s="10"/>
      <c r="H208" s="10"/>
      <c r="I208" s="7"/>
      <c r="J208" s="7"/>
      <c r="K208" s="7"/>
      <c r="L208" s="7"/>
      <c r="M208" s="10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10"/>
      <c r="Z208" s="10"/>
      <c r="AA208" s="10"/>
      <c r="AB208" s="14"/>
      <c r="AC208" s="11"/>
      <c r="AD208" s="11"/>
      <c r="AE208" s="11"/>
      <c r="AF208" s="11"/>
      <c r="AG208" s="12"/>
      <c r="AH208" s="12"/>
      <c r="AI208" s="11"/>
      <c r="AJ208" s="9" t="str">
        <f t="shared" si="6"/>
        <v/>
      </c>
      <c r="AK208" s="9" t="str">
        <f t="shared" si="7"/>
        <v/>
      </c>
      <c r="AL208" s="7"/>
    </row>
    <row r="209" spans="1:38" ht="14.4" x14ac:dyDescent="0.3">
      <c r="A209" s="7"/>
      <c r="B209" s="7"/>
      <c r="C209" s="7"/>
      <c r="D209" s="7"/>
      <c r="E209" s="7"/>
      <c r="F209" s="7"/>
      <c r="G209" s="10"/>
      <c r="H209" s="10"/>
      <c r="I209" s="7"/>
      <c r="J209" s="7"/>
      <c r="K209" s="7"/>
      <c r="L209" s="7"/>
      <c r="M209" s="10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10"/>
      <c r="Z209" s="10"/>
      <c r="AA209" s="10"/>
      <c r="AB209" s="14"/>
      <c r="AC209" s="11"/>
      <c r="AD209" s="11"/>
      <c r="AE209" s="11"/>
      <c r="AF209" s="11"/>
      <c r="AG209" s="12"/>
      <c r="AH209" s="12"/>
      <c r="AI209" s="11"/>
      <c r="AJ209" s="9" t="str">
        <f t="shared" si="6"/>
        <v/>
      </c>
      <c r="AK209" s="9" t="str">
        <f t="shared" si="7"/>
        <v/>
      </c>
      <c r="AL209" s="7"/>
    </row>
    <row r="210" spans="1:38" ht="14.4" x14ac:dyDescent="0.3">
      <c r="A210" s="7"/>
      <c r="B210" s="7"/>
      <c r="C210" s="7"/>
      <c r="D210" s="7"/>
      <c r="E210" s="7"/>
      <c r="F210" s="7"/>
      <c r="G210" s="10"/>
      <c r="H210" s="10"/>
      <c r="I210" s="7"/>
      <c r="J210" s="7"/>
      <c r="K210" s="7"/>
      <c r="L210" s="7"/>
      <c r="M210" s="10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10"/>
      <c r="Z210" s="10"/>
      <c r="AA210" s="10"/>
      <c r="AB210" s="14"/>
      <c r="AC210" s="11"/>
      <c r="AD210" s="11"/>
      <c r="AE210" s="11"/>
      <c r="AF210" s="11"/>
      <c r="AG210" s="12"/>
      <c r="AH210" s="12"/>
      <c r="AI210" s="11"/>
      <c r="AJ210" s="9" t="str">
        <f t="shared" si="6"/>
        <v/>
      </c>
      <c r="AK210" s="9" t="str">
        <f t="shared" si="7"/>
        <v/>
      </c>
      <c r="AL210" s="7"/>
    </row>
    <row r="211" spans="1:38" ht="14.4" x14ac:dyDescent="0.3">
      <c r="A211" s="7"/>
      <c r="B211" s="7"/>
      <c r="C211" s="7"/>
      <c r="D211" s="7"/>
      <c r="E211" s="7"/>
      <c r="F211" s="7"/>
      <c r="G211" s="10"/>
      <c r="H211" s="10"/>
      <c r="I211" s="7"/>
      <c r="J211" s="7"/>
      <c r="K211" s="7"/>
      <c r="L211" s="7"/>
      <c r="M211" s="10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10"/>
      <c r="Z211" s="10"/>
      <c r="AA211" s="10"/>
      <c r="AB211" s="14"/>
      <c r="AC211" s="11"/>
      <c r="AD211" s="11"/>
      <c r="AE211" s="11"/>
      <c r="AF211" s="11"/>
      <c r="AG211" s="12"/>
      <c r="AH211" s="12"/>
      <c r="AI211" s="11"/>
      <c r="AJ211" s="9" t="str">
        <f t="shared" si="6"/>
        <v/>
      </c>
      <c r="AK211" s="9" t="str">
        <f t="shared" si="7"/>
        <v/>
      </c>
      <c r="AL211" s="7"/>
    </row>
    <row r="212" spans="1:38" ht="14.4" x14ac:dyDescent="0.3">
      <c r="A212" s="7"/>
      <c r="B212" s="7"/>
      <c r="C212" s="7"/>
      <c r="D212" s="7"/>
      <c r="E212" s="7"/>
      <c r="F212" s="7"/>
      <c r="G212" s="10"/>
      <c r="H212" s="10"/>
      <c r="I212" s="7"/>
      <c r="J212" s="7"/>
      <c r="K212" s="7"/>
      <c r="L212" s="7"/>
      <c r="M212" s="10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10"/>
      <c r="Z212" s="10"/>
      <c r="AA212" s="10"/>
      <c r="AB212" s="14"/>
      <c r="AC212" s="11"/>
      <c r="AD212" s="11"/>
      <c r="AE212" s="11"/>
      <c r="AF212" s="11"/>
      <c r="AG212" s="12"/>
      <c r="AH212" s="12"/>
      <c r="AI212" s="11"/>
      <c r="AJ212" s="9" t="str">
        <f t="shared" si="6"/>
        <v/>
      </c>
      <c r="AK212" s="9" t="str">
        <f t="shared" si="7"/>
        <v/>
      </c>
      <c r="AL212" s="7"/>
    </row>
    <row r="213" spans="1:38" ht="14.4" x14ac:dyDescent="0.3">
      <c r="A213" s="7"/>
      <c r="B213" s="7"/>
      <c r="C213" s="7"/>
      <c r="D213" s="7"/>
      <c r="E213" s="7"/>
      <c r="F213" s="7"/>
      <c r="G213" s="10"/>
      <c r="H213" s="10"/>
      <c r="I213" s="7"/>
      <c r="J213" s="7"/>
      <c r="K213" s="7"/>
      <c r="L213" s="7"/>
      <c r="M213" s="10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10"/>
      <c r="Z213" s="10"/>
      <c r="AA213" s="10"/>
      <c r="AB213" s="14"/>
      <c r="AC213" s="11"/>
      <c r="AD213" s="11"/>
      <c r="AE213" s="11"/>
      <c r="AF213" s="11"/>
      <c r="AG213" s="12"/>
      <c r="AH213" s="12"/>
      <c r="AI213" s="11"/>
      <c r="AJ213" s="9" t="str">
        <f t="shared" si="6"/>
        <v/>
      </c>
      <c r="AK213" s="9" t="str">
        <f t="shared" si="7"/>
        <v/>
      </c>
      <c r="AL213" s="7"/>
    </row>
    <row r="214" spans="1:38" ht="14.4" x14ac:dyDescent="0.3">
      <c r="A214" s="7"/>
      <c r="B214" s="7"/>
      <c r="C214" s="7"/>
      <c r="D214" s="7"/>
      <c r="E214" s="7"/>
      <c r="F214" s="7"/>
      <c r="G214" s="10"/>
      <c r="H214" s="10"/>
      <c r="I214" s="7"/>
      <c r="J214" s="7"/>
      <c r="K214" s="7"/>
      <c r="L214" s="7"/>
      <c r="M214" s="10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10"/>
      <c r="Z214" s="10"/>
      <c r="AA214" s="10"/>
      <c r="AB214" s="14"/>
      <c r="AC214" s="11"/>
      <c r="AD214" s="11"/>
      <c r="AE214" s="11"/>
      <c r="AF214" s="11"/>
      <c r="AG214" s="12"/>
      <c r="AH214" s="12"/>
      <c r="AI214" s="11"/>
      <c r="AJ214" s="9" t="str">
        <f t="shared" si="6"/>
        <v/>
      </c>
      <c r="AK214" s="9" t="str">
        <f t="shared" si="7"/>
        <v/>
      </c>
      <c r="AL214" s="7"/>
    </row>
    <row r="215" spans="1:38" ht="14.4" x14ac:dyDescent="0.3">
      <c r="A215" s="7"/>
      <c r="B215" s="7"/>
      <c r="C215" s="7"/>
      <c r="D215" s="7"/>
      <c r="E215" s="7"/>
      <c r="F215" s="7"/>
      <c r="G215" s="10"/>
      <c r="H215" s="10"/>
      <c r="I215" s="7"/>
      <c r="J215" s="7"/>
      <c r="K215" s="7"/>
      <c r="L215" s="7"/>
      <c r="M215" s="10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10"/>
      <c r="Z215" s="10"/>
      <c r="AA215" s="10"/>
      <c r="AB215" s="14"/>
      <c r="AC215" s="11"/>
      <c r="AD215" s="11"/>
      <c r="AE215" s="11"/>
      <c r="AF215" s="11"/>
      <c r="AG215" s="12"/>
      <c r="AH215" s="12"/>
      <c r="AI215" s="11"/>
      <c r="AJ215" s="9" t="str">
        <f t="shared" si="6"/>
        <v/>
      </c>
      <c r="AK215" s="9" t="str">
        <f t="shared" si="7"/>
        <v/>
      </c>
      <c r="AL215" s="7"/>
    </row>
    <row r="216" spans="1:38" ht="14.4" x14ac:dyDescent="0.3">
      <c r="A216" s="7"/>
      <c r="B216" s="7"/>
      <c r="C216" s="7"/>
      <c r="D216" s="7"/>
      <c r="E216" s="7"/>
      <c r="F216" s="7"/>
      <c r="G216" s="10"/>
      <c r="H216" s="10"/>
      <c r="I216" s="7"/>
      <c r="J216" s="7"/>
      <c r="K216" s="7"/>
      <c r="L216" s="7"/>
      <c r="M216" s="10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10"/>
      <c r="Z216" s="10"/>
      <c r="AA216" s="10"/>
      <c r="AB216" s="14"/>
      <c r="AC216" s="11"/>
      <c r="AD216" s="11"/>
      <c r="AE216" s="11"/>
      <c r="AF216" s="11"/>
      <c r="AG216" s="12"/>
      <c r="AH216" s="12"/>
      <c r="AI216" s="11"/>
      <c r="AJ216" s="9" t="str">
        <f t="shared" si="6"/>
        <v/>
      </c>
      <c r="AK216" s="9" t="str">
        <f t="shared" si="7"/>
        <v/>
      </c>
      <c r="AL216" s="7"/>
    </row>
    <row r="217" spans="1:38" ht="14.4" x14ac:dyDescent="0.3">
      <c r="A217" s="7"/>
      <c r="B217" s="7"/>
      <c r="C217" s="7"/>
      <c r="D217" s="7"/>
      <c r="E217" s="7"/>
      <c r="F217" s="7"/>
      <c r="G217" s="10"/>
      <c r="H217" s="10"/>
      <c r="I217" s="7"/>
      <c r="J217" s="7"/>
      <c r="K217" s="7"/>
      <c r="L217" s="7"/>
      <c r="M217" s="10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10"/>
      <c r="Z217" s="10"/>
      <c r="AA217" s="10"/>
      <c r="AB217" s="14"/>
      <c r="AC217" s="11"/>
      <c r="AD217" s="11"/>
      <c r="AE217" s="11"/>
      <c r="AF217" s="11"/>
      <c r="AG217" s="12"/>
      <c r="AH217" s="12"/>
      <c r="AI217" s="11"/>
      <c r="AJ217" s="9" t="str">
        <f t="shared" si="6"/>
        <v/>
      </c>
      <c r="AK217" s="9" t="str">
        <f t="shared" si="7"/>
        <v/>
      </c>
      <c r="AL217" s="7"/>
    </row>
    <row r="218" spans="1:38" ht="14.4" x14ac:dyDescent="0.3">
      <c r="A218" s="7"/>
      <c r="B218" s="7"/>
      <c r="C218" s="7"/>
      <c r="D218" s="7"/>
      <c r="E218" s="7"/>
      <c r="F218" s="7"/>
      <c r="G218" s="10"/>
      <c r="H218" s="10"/>
      <c r="I218" s="7"/>
      <c r="J218" s="7"/>
      <c r="K218" s="7"/>
      <c r="L218" s="7"/>
      <c r="M218" s="10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10"/>
      <c r="Z218" s="10"/>
      <c r="AA218" s="10"/>
      <c r="AB218" s="14"/>
      <c r="AC218" s="11"/>
      <c r="AD218" s="11"/>
      <c r="AE218" s="11"/>
      <c r="AF218" s="11"/>
      <c r="AG218" s="12"/>
      <c r="AH218" s="12"/>
      <c r="AI218" s="11"/>
      <c r="AJ218" s="9" t="str">
        <f t="shared" si="6"/>
        <v/>
      </c>
      <c r="AK218" s="9" t="str">
        <f t="shared" si="7"/>
        <v/>
      </c>
      <c r="AL218" s="7"/>
    </row>
    <row r="219" spans="1:38" ht="14.4" x14ac:dyDescent="0.3">
      <c r="A219" s="7"/>
      <c r="B219" s="7"/>
      <c r="C219" s="7"/>
      <c r="D219" s="7"/>
      <c r="E219" s="7"/>
      <c r="F219" s="7"/>
      <c r="G219" s="10"/>
      <c r="H219" s="10"/>
      <c r="I219" s="7"/>
      <c r="J219" s="7"/>
      <c r="K219" s="7"/>
      <c r="L219" s="7"/>
      <c r="M219" s="10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10"/>
      <c r="Z219" s="10"/>
      <c r="AA219" s="10"/>
      <c r="AB219" s="14"/>
      <c r="AC219" s="11"/>
      <c r="AD219" s="11"/>
      <c r="AE219" s="11"/>
      <c r="AF219" s="11"/>
      <c r="AG219" s="12"/>
      <c r="AH219" s="12"/>
      <c r="AI219" s="11"/>
      <c r="AJ219" s="9" t="str">
        <f t="shared" si="6"/>
        <v/>
      </c>
      <c r="AK219" s="9" t="str">
        <f t="shared" si="7"/>
        <v/>
      </c>
      <c r="AL219" s="7"/>
    </row>
    <row r="220" spans="1:38" ht="14.4" x14ac:dyDescent="0.3">
      <c r="A220" s="7"/>
      <c r="B220" s="7"/>
      <c r="C220" s="7"/>
      <c r="D220" s="7"/>
      <c r="E220" s="7"/>
      <c r="F220" s="7"/>
      <c r="G220" s="10"/>
      <c r="H220" s="10"/>
      <c r="I220" s="7"/>
      <c r="J220" s="7"/>
      <c r="K220" s="7"/>
      <c r="L220" s="7"/>
      <c r="M220" s="10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10"/>
      <c r="Z220" s="10"/>
      <c r="AA220" s="10"/>
      <c r="AB220" s="14"/>
      <c r="AC220" s="11"/>
      <c r="AD220" s="11"/>
      <c r="AE220" s="11"/>
      <c r="AF220" s="11"/>
      <c r="AG220" s="12"/>
      <c r="AH220" s="12"/>
      <c r="AI220" s="11"/>
      <c r="AJ220" s="9" t="str">
        <f t="shared" si="6"/>
        <v/>
      </c>
      <c r="AK220" s="9" t="str">
        <f t="shared" si="7"/>
        <v/>
      </c>
      <c r="AL220" s="7"/>
    </row>
    <row r="221" spans="1:38" ht="14.4" x14ac:dyDescent="0.3">
      <c r="A221" s="7"/>
      <c r="B221" s="7"/>
      <c r="C221" s="7"/>
      <c r="D221" s="7"/>
      <c r="E221" s="7"/>
      <c r="F221" s="7"/>
      <c r="G221" s="10"/>
      <c r="H221" s="10"/>
      <c r="I221" s="7"/>
      <c r="J221" s="7"/>
      <c r="K221" s="7"/>
      <c r="L221" s="7"/>
      <c r="M221" s="10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10"/>
      <c r="Z221" s="10"/>
      <c r="AA221" s="10"/>
      <c r="AB221" s="14"/>
      <c r="AC221" s="11"/>
      <c r="AD221" s="11"/>
      <c r="AE221" s="11"/>
      <c r="AF221" s="11"/>
      <c r="AG221" s="12"/>
      <c r="AH221" s="12"/>
      <c r="AI221" s="11"/>
      <c r="AJ221" s="9" t="str">
        <f t="shared" si="6"/>
        <v/>
      </c>
      <c r="AK221" s="9" t="str">
        <f t="shared" si="7"/>
        <v/>
      </c>
      <c r="AL221" s="7"/>
    </row>
    <row r="222" spans="1:38" ht="14.4" x14ac:dyDescent="0.3">
      <c r="A222" s="7"/>
      <c r="B222" s="7"/>
      <c r="C222" s="7"/>
      <c r="D222" s="7"/>
      <c r="E222" s="7"/>
      <c r="F222" s="7"/>
      <c r="G222" s="10"/>
      <c r="H222" s="10"/>
      <c r="I222" s="7"/>
      <c r="J222" s="7"/>
      <c r="K222" s="7"/>
      <c r="L222" s="7"/>
      <c r="M222" s="10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10"/>
      <c r="Z222" s="10"/>
      <c r="AA222" s="10"/>
      <c r="AB222" s="14"/>
      <c r="AC222" s="11"/>
      <c r="AD222" s="11"/>
      <c r="AE222" s="11"/>
      <c r="AF222" s="11"/>
      <c r="AG222" s="12"/>
      <c r="AH222" s="12"/>
      <c r="AI222" s="11"/>
      <c r="AJ222" s="9" t="str">
        <f t="shared" si="6"/>
        <v/>
      </c>
      <c r="AK222" s="9" t="str">
        <f t="shared" si="7"/>
        <v/>
      </c>
      <c r="AL222" s="7"/>
    </row>
    <row r="223" spans="1:38" ht="14.4" x14ac:dyDescent="0.3">
      <c r="A223" s="7"/>
      <c r="B223" s="7"/>
      <c r="C223" s="7"/>
      <c r="D223" s="7"/>
      <c r="E223" s="7"/>
      <c r="F223" s="7"/>
      <c r="G223" s="10"/>
      <c r="H223" s="10"/>
      <c r="I223" s="7"/>
      <c r="J223" s="7"/>
      <c r="K223" s="7"/>
      <c r="L223" s="7"/>
      <c r="M223" s="10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10"/>
      <c r="Z223" s="10"/>
      <c r="AA223" s="10"/>
      <c r="AB223" s="14"/>
      <c r="AC223" s="11"/>
      <c r="AD223" s="11"/>
      <c r="AE223" s="11"/>
      <c r="AF223" s="11"/>
      <c r="AG223" s="12"/>
      <c r="AH223" s="12"/>
      <c r="AI223" s="11"/>
      <c r="AJ223" s="9" t="str">
        <f t="shared" si="6"/>
        <v/>
      </c>
      <c r="AK223" s="9" t="str">
        <f t="shared" si="7"/>
        <v/>
      </c>
      <c r="AL223" s="7"/>
    </row>
    <row r="224" spans="1:38" ht="14.4" x14ac:dyDescent="0.3">
      <c r="A224" s="7"/>
      <c r="B224" s="7"/>
      <c r="C224" s="7"/>
      <c r="D224" s="7"/>
      <c r="E224" s="7"/>
      <c r="F224" s="7"/>
      <c r="G224" s="10"/>
      <c r="H224" s="10"/>
      <c r="I224" s="7"/>
      <c r="J224" s="7"/>
      <c r="K224" s="7"/>
      <c r="L224" s="7"/>
      <c r="M224" s="10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10"/>
      <c r="Z224" s="10"/>
      <c r="AA224" s="10"/>
      <c r="AB224" s="14"/>
      <c r="AC224" s="11"/>
      <c r="AD224" s="11"/>
      <c r="AE224" s="11"/>
      <c r="AF224" s="11"/>
      <c r="AG224" s="12"/>
      <c r="AH224" s="12"/>
      <c r="AI224" s="11"/>
      <c r="AJ224" s="9" t="str">
        <f t="shared" si="6"/>
        <v/>
      </c>
      <c r="AK224" s="9" t="str">
        <f t="shared" si="7"/>
        <v/>
      </c>
      <c r="AL224" s="7"/>
    </row>
    <row r="225" spans="1:38" ht="14.4" x14ac:dyDescent="0.3">
      <c r="A225" s="7"/>
      <c r="B225" s="7"/>
      <c r="C225" s="7"/>
      <c r="D225" s="7"/>
      <c r="E225" s="7"/>
      <c r="F225" s="7"/>
      <c r="G225" s="10"/>
      <c r="H225" s="10"/>
      <c r="I225" s="7"/>
      <c r="J225" s="7"/>
      <c r="K225" s="7"/>
      <c r="L225" s="7"/>
      <c r="M225" s="10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10"/>
      <c r="Z225" s="10"/>
      <c r="AA225" s="10"/>
      <c r="AB225" s="14"/>
      <c r="AC225" s="11"/>
      <c r="AD225" s="11"/>
      <c r="AE225" s="11"/>
      <c r="AF225" s="11"/>
      <c r="AG225" s="12"/>
      <c r="AH225" s="12"/>
      <c r="AI225" s="11"/>
      <c r="AJ225" s="9" t="str">
        <f t="shared" si="6"/>
        <v/>
      </c>
      <c r="AK225" s="9" t="str">
        <f t="shared" si="7"/>
        <v/>
      </c>
      <c r="AL225" s="7"/>
    </row>
    <row r="226" spans="1:38" ht="14.4" x14ac:dyDescent="0.3">
      <c r="A226" s="7"/>
      <c r="B226" s="7"/>
      <c r="C226" s="7"/>
      <c r="D226" s="7"/>
      <c r="E226" s="7"/>
      <c r="F226" s="7"/>
      <c r="G226" s="10"/>
      <c r="H226" s="10"/>
      <c r="I226" s="7"/>
      <c r="J226" s="7"/>
      <c r="K226" s="7"/>
      <c r="L226" s="7"/>
      <c r="M226" s="10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10"/>
      <c r="Z226" s="10"/>
      <c r="AA226" s="10"/>
      <c r="AB226" s="14"/>
      <c r="AC226" s="11"/>
      <c r="AD226" s="11"/>
      <c r="AE226" s="11"/>
      <c r="AF226" s="11"/>
      <c r="AG226" s="12"/>
      <c r="AH226" s="12"/>
      <c r="AI226" s="11"/>
      <c r="AJ226" s="9" t="str">
        <f t="shared" si="6"/>
        <v/>
      </c>
      <c r="AK226" s="9" t="str">
        <f t="shared" si="7"/>
        <v/>
      </c>
      <c r="AL226" s="7"/>
    </row>
    <row r="227" spans="1:38" ht="14.4" x14ac:dyDescent="0.3">
      <c r="A227" s="7"/>
      <c r="B227" s="7"/>
      <c r="C227" s="7"/>
      <c r="D227" s="7"/>
      <c r="E227" s="7"/>
      <c r="F227" s="7"/>
      <c r="G227" s="10"/>
      <c r="H227" s="10"/>
      <c r="I227" s="7"/>
      <c r="J227" s="7"/>
      <c r="K227" s="7"/>
      <c r="L227" s="7"/>
      <c r="M227" s="10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10"/>
      <c r="Z227" s="10"/>
      <c r="AA227" s="10"/>
      <c r="AB227" s="14"/>
      <c r="AC227" s="11"/>
      <c r="AD227" s="11"/>
      <c r="AE227" s="11"/>
      <c r="AF227" s="11"/>
      <c r="AG227" s="12"/>
      <c r="AH227" s="12"/>
      <c r="AI227" s="11"/>
      <c r="AJ227" s="9" t="str">
        <f t="shared" si="6"/>
        <v/>
      </c>
      <c r="AK227" s="9" t="str">
        <f t="shared" si="7"/>
        <v/>
      </c>
      <c r="AL227" s="7"/>
    </row>
    <row r="228" spans="1:38" ht="14.4" x14ac:dyDescent="0.3">
      <c r="A228" s="7"/>
      <c r="B228" s="7"/>
      <c r="C228" s="7"/>
      <c r="D228" s="7"/>
      <c r="E228" s="7"/>
      <c r="F228" s="7"/>
      <c r="G228" s="10"/>
      <c r="H228" s="10"/>
      <c r="I228" s="7"/>
      <c r="J228" s="7"/>
      <c r="K228" s="7"/>
      <c r="L228" s="7"/>
      <c r="M228" s="10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10"/>
      <c r="Z228" s="10"/>
      <c r="AA228" s="10"/>
      <c r="AB228" s="14"/>
      <c r="AC228" s="11"/>
      <c r="AD228" s="11"/>
      <c r="AE228" s="11"/>
      <c r="AF228" s="11"/>
      <c r="AG228" s="12"/>
      <c r="AH228" s="12"/>
      <c r="AI228" s="11"/>
      <c r="AJ228" s="9" t="str">
        <f t="shared" si="6"/>
        <v/>
      </c>
      <c r="AK228" s="9" t="str">
        <f t="shared" si="7"/>
        <v/>
      </c>
      <c r="AL228" s="7"/>
    </row>
    <row r="229" spans="1:38" ht="14.4" x14ac:dyDescent="0.3">
      <c r="A229" s="7"/>
      <c r="B229" s="7"/>
      <c r="C229" s="7"/>
      <c r="D229" s="7"/>
      <c r="E229" s="7"/>
      <c r="F229" s="7"/>
      <c r="G229" s="10"/>
      <c r="H229" s="10"/>
      <c r="I229" s="7"/>
      <c r="J229" s="7"/>
      <c r="K229" s="7"/>
      <c r="L229" s="7"/>
      <c r="M229" s="10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10"/>
      <c r="Z229" s="10"/>
      <c r="AA229" s="10"/>
      <c r="AB229" s="14"/>
      <c r="AC229" s="11"/>
      <c r="AD229" s="11"/>
      <c r="AE229" s="11"/>
      <c r="AF229" s="11"/>
      <c r="AG229" s="12"/>
      <c r="AH229" s="12"/>
      <c r="AI229" s="11"/>
      <c r="AJ229" s="9" t="str">
        <f t="shared" si="6"/>
        <v/>
      </c>
      <c r="AK229" s="9" t="str">
        <f t="shared" si="7"/>
        <v/>
      </c>
      <c r="AL229" s="7"/>
    </row>
    <row r="230" spans="1:38" ht="14.4" x14ac:dyDescent="0.3">
      <c r="A230" s="7"/>
      <c r="B230" s="7"/>
      <c r="C230" s="7"/>
      <c r="D230" s="7"/>
      <c r="E230" s="7"/>
      <c r="F230" s="7"/>
      <c r="G230" s="10"/>
      <c r="H230" s="10"/>
      <c r="I230" s="7"/>
      <c r="J230" s="7"/>
      <c r="K230" s="7"/>
      <c r="L230" s="7"/>
      <c r="M230" s="10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10"/>
      <c r="Z230" s="10"/>
      <c r="AA230" s="10"/>
      <c r="AB230" s="14"/>
      <c r="AC230" s="11"/>
      <c r="AD230" s="11"/>
      <c r="AE230" s="11"/>
      <c r="AF230" s="11"/>
      <c r="AG230" s="12"/>
      <c r="AH230" s="12"/>
      <c r="AI230" s="11"/>
      <c r="AJ230" s="9" t="str">
        <f t="shared" si="6"/>
        <v/>
      </c>
      <c r="AK230" s="9" t="str">
        <f t="shared" si="7"/>
        <v/>
      </c>
      <c r="AL230" s="7"/>
    </row>
    <row r="231" spans="1:38" ht="14.4" x14ac:dyDescent="0.3">
      <c r="A231" s="7"/>
      <c r="B231" s="7"/>
      <c r="C231" s="7"/>
      <c r="D231" s="7"/>
      <c r="E231" s="7"/>
      <c r="F231" s="7"/>
      <c r="G231" s="10"/>
      <c r="H231" s="10"/>
      <c r="I231" s="7"/>
      <c r="J231" s="7"/>
      <c r="K231" s="7"/>
      <c r="L231" s="7"/>
      <c r="M231" s="10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10"/>
      <c r="Z231" s="10"/>
      <c r="AA231" s="10"/>
      <c r="AB231" s="14"/>
      <c r="AC231" s="11"/>
      <c r="AD231" s="11"/>
      <c r="AE231" s="11"/>
      <c r="AF231" s="11"/>
      <c r="AG231" s="12"/>
      <c r="AH231" s="12"/>
      <c r="AI231" s="11"/>
      <c r="AJ231" s="9" t="str">
        <f t="shared" si="6"/>
        <v/>
      </c>
      <c r="AK231" s="9" t="str">
        <f t="shared" si="7"/>
        <v/>
      </c>
      <c r="AL231" s="7"/>
    </row>
    <row r="232" spans="1:38" ht="14.4" x14ac:dyDescent="0.3">
      <c r="A232" s="7"/>
      <c r="B232" s="7"/>
      <c r="C232" s="7"/>
      <c r="D232" s="7"/>
      <c r="E232" s="7"/>
      <c r="F232" s="7"/>
      <c r="G232" s="10"/>
      <c r="H232" s="10"/>
      <c r="I232" s="7"/>
      <c r="J232" s="7"/>
      <c r="K232" s="7"/>
      <c r="L232" s="7"/>
      <c r="M232" s="10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10"/>
      <c r="Z232" s="10"/>
      <c r="AA232" s="10"/>
      <c r="AB232" s="14"/>
      <c r="AC232" s="11"/>
      <c r="AD232" s="11"/>
      <c r="AE232" s="11"/>
      <c r="AF232" s="11"/>
      <c r="AG232" s="12"/>
      <c r="AH232" s="12"/>
      <c r="AI232" s="11"/>
      <c r="AJ232" s="9" t="str">
        <f t="shared" si="6"/>
        <v/>
      </c>
      <c r="AK232" s="9" t="str">
        <f t="shared" si="7"/>
        <v/>
      </c>
      <c r="AL232" s="7"/>
    </row>
    <row r="233" spans="1:38" ht="14.4" x14ac:dyDescent="0.3">
      <c r="A233" s="7"/>
      <c r="B233" s="7"/>
      <c r="C233" s="7"/>
      <c r="D233" s="7"/>
      <c r="E233" s="7"/>
      <c r="F233" s="7"/>
      <c r="G233" s="10"/>
      <c r="H233" s="10"/>
      <c r="I233" s="7"/>
      <c r="J233" s="7"/>
      <c r="K233" s="7"/>
      <c r="L233" s="7"/>
      <c r="M233" s="10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10"/>
      <c r="Z233" s="10"/>
      <c r="AA233" s="10"/>
      <c r="AB233" s="14"/>
      <c r="AC233" s="11"/>
      <c r="AD233" s="11"/>
      <c r="AE233" s="11"/>
      <c r="AF233" s="11"/>
      <c r="AG233" s="12"/>
      <c r="AH233" s="12"/>
      <c r="AI233" s="11"/>
      <c r="AJ233" s="9" t="str">
        <f t="shared" si="6"/>
        <v/>
      </c>
      <c r="AK233" s="9" t="str">
        <f t="shared" si="7"/>
        <v/>
      </c>
      <c r="AL233" s="7"/>
    </row>
    <row r="234" spans="1:38" ht="14.4" x14ac:dyDescent="0.3">
      <c r="A234" s="7"/>
      <c r="B234" s="7"/>
      <c r="C234" s="7"/>
      <c r="D234" s="7"/>
      <c r="E234" s="7"/>
      <c r="F234" s="7"/>
      <c r="G234" s="10"/>
      <c r="H234" s="10"/>
      <c r="I234" s="7"/>
      <c r="J234" s="7"/>
      <c r="K234" s="7"/>
      <c r="L234" s="7"/>
      <c r="M234" s="10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10"/>
      <c r="Z234" s="10"/>
      <c r="AA234" s="10"/>
      <c r="AB234" s="14"/>
      <c r="AC234" s="11"/>
      <c r="AD234" s="11"/>
      <c r="AE234" s="11"/>
      <c r="AF234" s="11"/>
      <c r="AG234" s="12"/>
      <c r="AH234" s="12"/>
      <c r="AI234" s="11"/>
      <c r="AJ234" s="9" t="str">
        <f t="shared" si="6"/>
        <v/>
      </c>
      <c r="AK234" s="9" t="str">
        <f t="shared" si="7"/>
        <v/>
      </c>
      <c r="AL234" s="7"/>
    </row>
    <row r="235" spans="1:38" ht="14.4" x14ac:dyDescent="0.3">
      <c r="A235" s="7"/>
      <c r="B235" s="7"/>
      <c r="C235" s="7"/>
      <c r="D235" s="7"/>
      <c r="E235" s="7"/>
      <c r="F235" s="7"/>
      <c r="G235" s="10"/>
      <c r="H235" s="10"/>
      <c r="I235" s="7"/>
      <c r="J235" s="7"/>
      <c r="K235" s="7"/>
      <c r="L235" s="7"/>
      <c r="M235" s="10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10"/>
      <c r="Z235" s="10"/>
      <c r="AA235" s="10"/>
      <c r="AB235" s="14"/>
      <c r="AC235" s="11"/>
      <c r="AD235" s="11"/>
      <c r="AE235" s="11"/>
      <c r="AF235" s="11"/>
      <c r="AG235" s="12"/>
      <c r="AH235" s="12"/>
      <c r="AI235" s="11"/>
      <c r="AJ235" s="9" t="str">
        <f t="shared" si="6"/>
        <v/>
      </c>
      <c r="AK235" s="9" t="str">
        <f t="shared" si="7"/>
        <v/>
      </c>
      <c r="AL235" s="7"/>
    </row>
    <row r="236" spans="1:38" ht="14.4" x14ac:dyDescent="0.3">
      <c r="A236" s="7"/>
      <c r="B236" s="7"/>
      <c r="C236" s="7"/>
      <c r="D236" s="7"/>
      <c r="E236" s="7"/>
      <c r="F236" s="7"/>
      <c r="G236" s="10"/>
      <c r="H236" s="10"/>
      <c r="I236" s="7"/>
      <c r="J236" s="7"/>
      <c r="K236" s="7"/>
      <c r="L236" s="7"/>
      <c r="M236" s="10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10"/>
      <c r="Z236" s="10"/>
      <c r="AA236" s="10"/>
      <c r="AB236" s="14"/>
      <c r="AC236" s="11"/>
      <c r="AD236" s="11"/>
      <c r="AE236" s="11"/>
      <c r="AF236" s="11"/>
      <c r="AG236" s="12"/>
      <c r="AH236" s="12"/>
      <c r="AI236" s="11"/>
      <c r="AJ236" s="9" t="str">
        <f t="shared" si="6"/>
        <v/>
      </c>
      <c r="AK236" s="9" t="str">
        <f t="shared" si="7"/>
        <v/>
      </c>
      <c r="AL236" s="7"/>
    </row>
    <row r="237" spans="1:38" ht="14.4" x14ac:dyDescent="0.3">
      <c r="A237" s="7"/>
      <c r="B237" s="7"/>
      <c r="C237" s="7"/>
      <c r="D237" s="7"/>
      <c r="E237" s="7"/>
      <c r="F237" s="7"/>
      <c r="G237" s="10"/>
      <c r="H237" s="10"/>
      <c r="I237" s="7"/>
      <c r="J237" s="7"/>
      <c r="K237" s="7"/>
      <c r="L237" s="7"/>
      <c r="M237" s="10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10"/>
      <c r="Z237" s="10"/>
      <c r="AA237" s="10"/>
      <c r="AB237" s="14"/>
      <c r="AC237" s="11"/>
      <c r="AD237" s="11"/>
      <c r="AE237" s="11"/>
      <c r="AF237" s="11"/>
      <c r="AG237" s="12"/>
      <c r="AH237" s="12"/>
      <c r="AI237" s="11"/>
      <c r="AJ237" s="9" t="str">
        <f t="shared" si="6"/>
        <v/>
      </c>
      <c r="AK237" s="9" t="str">
        <f t="shared" si="7"/>
        <v/>
      </c>
      <c r="AL237" s="7"/>
    </row>
    <row r="238" spans="1:38" ht="14.4" x14ac:dyDescent="0.3">
      <c r="A238" s="7"/>
      <c r="B238" s="7"/>
      <c r="C238" s="7"/>
      <c r="D238" s="7"/>
      <c r="E238" s="7"/>
      <c r="F238" s="7"/>
      <c r="G238" s="10"/>
      <c r="H238" s="10"/>
      <c r="I238" s="7"/>
      <c r="J238" s="7"/>
      <c r="K238" s="7"/>
      <c r="L238" s="7"/>
      <c r="M238" s="10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10"/>
      <c r="Z238" s="10"/>
      <c r="AA238" s="10"/>
      <c r="AB238" s="14"/>
      <c r="AC238" s="11"/>
      <c r="AD238" s="11"/>
      <c r="AE238" s="11"/>
      <c r="AF238" s="11"/>
      <c r="AG238" s="12"/>
      <c r="AH238" s="12"/>
      <c r="AI238" s="11"/>
      <c r="AJ238" s="9" t="str">
        <f t="shared" si="6"/>
        <v/>
      </c>
      <c r="AK238" s="9" t="str">
        <f t="shared" si="7"/>
        <v/>
      </c>
      <c r="AL238" s="7"/>
    </row>
    <row r="239" spans="1:38" ht="14.4" x14ac:dyDescent="0.3">
      <c r="A239" s="7"/>
      <c r="B239" s="7"/>
      <c r="C239" s="7"/>
      <c r="D239" s="7"/>
      <c r="E239" s="7"/>
      <c r="F239" s="7"/>
      <c r="G239" s="10"/>
      <c r="H239" s="10"/>
      <c r="I239" s="7"/>
      <c r="J239" s="7"/>
      <c r="K239" s="7"/>
      <c r="L239" s="7"/>
      <c r="M239" s="10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10"/>
      <c r="Z239" s="10"/>
      <c r="AA239" s="10"/>
      <c r="AB239" s="14"/>
      <c r="AC239" s="11"/>
      <c r="AD239" s="11"/>
      <c r="AE239" s="11"/>
      <c r="AF239" s="11"/>
      <c r="AG239" s="12"/>
      <c r="AH239" s="12"/>
      <c r="AI239" s="11"/>
      <c r="AJ239" s="9" t="str">
        <f t="shared" si="6"/>
        <v/>
      </c>
      <c r="AK239" s="9" t="str">
        <f t="shared" si="7"/>
        <v/>
      </c>
      <c r="AL239" s="7"/>
    </row>
    <row r="240" spans="1:38" ht="14.4" x14ac:dyDescent="0.3">
      <c r="A240" s="7"/>
      <c r="B240" s="7"/>
      <c r="C240" s="7"/>
      <c r="D240" s="7"/>
      <c r="E240" s="7"/>
      <c r="F240" s="7"/>
      <c r="G240" s="10"/>
      <c r="H240" s="10"/>
      <c r="I240" s="7"/>
      <c r="J240" s="7"/>
      <c r="K240" s="7"/>
      <c r="L240" s="7"/>
      <c r="M240" s="10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10"/>
      <c r="Z240" s="10"/>
      <c r="AA240" s="10"/>
      <c r="AB240" s="14"/>
      <c r="AC240" s="11"/>
      <c r="AD240" s="11"/>
      <c r="AE240" s="11"/>
      <c r="AF240" s="11"/>
      <c r="AG240" s="12"/>
      <c r="AH240" s="12"/>
      <c r="AI240" s="11"/>
      <c r="AJ240" s="9" t="str">
        <f t="shared" si="6"/>
        <v/>
      </c>
      <c r="AK240" s="9" t="str">
        <f t="shared" si="7"/>
        <v/>
      </c>
      <c r="AL240" s="7"/>
    </row>
    <row r="241" spans="1:38" ht="14.4" x14ac:dyDescent="0.3">
      <c r="A241" s="7"/>
      <c r="B241" s="7"/>
      <c r="C241" s="7"/>
      <c r="D241" s="7"/>
      <c r="E241" s="7"/>
      <c r="F241" s="7"/>
      <c r="G241" s="10"/>
      <c r="H241" s="10"/>
      <c r="I241" s="7"/>
      <c r="J241" s="7"/>
      <c r="K241" s="7"/>
      <c r="L241" s="7"/>
      <c r="M241" s="10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10"/>
      <c r="Z241" s="10"/>
      <c r="AA241" s="10"/>
      <c r="AB241" s="14"/>
      <c r="AC241" s="11"/>
      <c r="AD241" s="11"/>
      <c r="AE241" s="11"/>
      <c r="AF241" s="11"/>
      <c r="AG241" s="12"/>
      <c r="AH241" s="12"/>
      <c r="AI241" s="11"/>
      <c r="AJ241" s="9" t="str">
        <f t="shared" si="6"/>
        <v/>
      </c>
      <c r="AK241" s="9" t="str">
        <f t="shared" si="7"/>
        <v/>
      </c>
      <c r="AL241" s="7"/>
    </row>
    <row r="242" spans="1:38" ht="14.4" x14ac:dyDescent="0.3">
      <c r="A242" s="7"/>
      <c r="B242" s="7"/>
      <c r="C242" s="7"/>
      <c r="D242" s="7"/>
      <c r="E242" s="7"/>
      <c r="F242" s="7"/>
      <c r="G242" s="10"/>
      <c r="H242" s="10"/>
      <c r="I242" s="7"/>
      <c r="J242" s="7"/>
      <c r="K242" s="7"/>
      <c r="L242" s="7"/>
      <c r="M242" s="10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10"/>
      <c r="Z242" s="10"/>
      <c r="AA242" s="10"/>
      <c r="AB242" s="14"/>
      <c r="AC242" s="11"/>
      <c r="AD242" s="11"/>
      <c r="AE242" s="11"/>
      <c r="AF242" s="11"/>
      <c r="AG242" s="12"/>
      <c r="AH242" s="12"/>
      <c r="AI242" s="11"/>
      <c r="AJ242" s="9" t="str">
        <f t="shared" si="6"/>
        <v/>
      </c>
      <c r="AK242" s="9" t="str">
        <f t="shared" si="7"/>
        <v/>
      </c>
      <c r="AL242" s="7"/>
    </row>
    <row r="243" spans="1:38" ht="14.4" x14ac:dyDescent="0.3">
      <c r="A243" s="7"/>
      <c r="B243" s="7"/>
      <c r="C243" s="7"/>
      <c r="D243" s="7"/>
      <c r="E243" s="7"/>
      <c r="F243" s="7"/>
      <c r="G243" s="10"/>
      <c r="H243" s="10"/>
      <c r="I243" s="7"/>
      <c r="J243" s="7"/>
      <c r="K243" s="7"/>
      <c r="L243" s="7"/>
      <c r="M243" s="10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10"/>
      <c r="Z243" s="10"/>
      <c r="AA243" s="10"/>
      <c r="AB243" s="14"/>
      <c r="AC243" s="11"/>
      <c r="AD243" s="11"/>
      <c r="AE243" s="11"/>
      <c r="AF243" s="11"/>
      <c r="AG243" s="12"/>
      <c r="AH243" s="12"/>
      <c r="AI243" s="11"/>
      <c r="AJ243" s="9" t="str">
        <f t="shared" si="6"/>
        <v/>
      </c>
      <c r="AK243" s="9" t="str">
        <f t="shared" si="7"/>
        <v/>
      </c>
      <c r="AL243" s="7"/>
    </row>
    <row r="244" spans="1:38" ht="14.4" x14ac:dyDescent="0.3">
      <c r="A244" s="7"/>
      <c r="B244" s="7"/>
      <c r="C244" s="7"/>
      <c r="D244" s="7"/>
      <c r="E244" s="7"/>
      <c r="F244" s="7"/>
      <c r="G244" s="10"/>
      <c r="H244" s="10"/>
      <c r="I244" s="7"/>
      <c r="J244" s="7"/>
      <c r="K244" s="7"/>
      <c r="L244" s="7"/>
      <c r="M244" s="10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10"/>
      <c r="Z244" s="10"/>
      <c r="AA244" s="10"/>
      <c r="AB244" s="14"/>
      <c r="AC244" s="11"/>
      <c r="AD244" s="11"/>
      <c r="AE244" s="11"/>
      <c r="AF244" s="11"/>
      <c r="AG244" s="12"/>
      <c r="AH244" s="12"/>
      <c r="AI244" s="11"/>
      <c r="AJ244" s="9" t="str">
        <f t="shared" si="6"/>
        <v/>
      </c>
      <c r="AK244" s="9" t="str">
        <f t="shared" si="7"/>
        <v/>
      </c>
      <c r="AL244" s="7"/>
    </row>
    <row r="245" spans="1:38" ht="14.4" x14ac:dyDescent="0.3">
      <c r="A245" s="7"/>
      <c r="B245" s="7"/>
      <c r="C245" s="7"/>
      <c r="D245" s="7"/>
      <c r="E245" s="7"/>
      <c r="F245" s="7"/>
      <c r="G245" s="10"/>
      <c r="H245" s="10"/>
      <c r="I245" s="7"/>
      <c r="J245" s="7"/>
      <c r="K245" s="7"/>
      <c r="L245" s="7"/>
      <c r="M245" s="10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10"/>
      <c r="Z245" s="10"/>
      <c r="AA245" s="10"/>
      <c r="AB245" s="14"/>
      <c r="AC245" s="11"/>
      <c r="AD245" s="11"/>
      <c r="AE245" s="11"/>
      <c r="AF245" s="11"/>
      <c r="AG245" s="12"/>
      <c r="AH245" s="12"/>
      <c r="AI245" s="11"/>
      <c r="AJ245" s="9" t="str">
        <f t="shared" si="6"/>
        <v/>
      </c>
      <c r="AK245" s="9" t="str">
        <f t="shared" si="7"/>
        <v/>
      </c>
      <c r="AL245" s="7"/>
    </row>
    <row r="246" spans="1:38" ht="14.4" x14ac:dyDescent="0.3">
      <c r="A246" s="7"/>
      <c r="B246" s="7"/>
      <c r="C246" s="7"/>
      <c r="D246" s="7"/>
      <c r="E246" s="7"/>
      <c r="F246" s="7"/>
      <c r="G246" s="10"/>
      <c r="H246" s="10"/>
      <c r="I246" s="7"/>
      <c r="J246" s="7"/>
      <c r="K246" s="7"/>
      <c r="L246" s="7"/>
      <c r="M246" s="10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10"/>
      <c r="Z246" s="10"/>
      <c r="AA246" s="10"/>
      <c r="AB246" s="14"/>
      <c r="AC246" s="11"/>
      <c r="AD246" s="11"/>
      <c r="AE246" s="11"/>
      <c r="AF246" s="11"/>
      <c r="AG246" s="12"/>
      <c r="AH246" s="12"/>
      <c r="AI246" s="11"/>
      <c r="AJ246" s="9" t="str">
        <f t="shared" si="6"/>
        <v/>
      </c>
      <c r="AK246" s="9" t="str">
        <f t="shared" si="7"/>
        <v/>
      </c>
      <c r="AL246" s="7"/>
    </row>
    <row r="247" spans="1:38" ht="14.4" x14ac:dyDescent="0.3">
      <c r="A247" s="7"/>
      <c r="B247" s="7"/>
      <c r="C247" s="7"/>
      <c r="D247" s="7"/>
      <c r="E247" s="7"/>
      <c r="F247" s="7"/>
      <c r="G247" s="10"/>
      <c r="H247" s="10"/>
      <c r="I247" s="7"/>
      <c r="J247" s="7"/>
      <c r="K247" s="7"/>
      <c r="L247" s="7"/>
      <c r="M247" s="10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10"/>
      <c r="Z247" s="10"/>
      <c r="AA247" s="10"/>
      <c r="AB247" s="14"/>
      <c r="AC247" s="11"/>
      <c r="AD247" s="11"/>
      <c r="AE247" s="11"/>
      <c r="AF247" s="11"/>
      <c r="AG247" s="12"/>
      <c r="AH247" s="12"/>
      <c r="AI247" s="11"/>
      <c r="AJ247" s="9" t="str">
        <f t="shared" si="6"/>
        <v/>
      </c>
      <c r="AK247" s="9" t="str">
        <f t="shared" si="7"/>
        <v/>
      </c>
      <c r="AL247" s="7"/>
    </row>
    <row r="248" spans="1:38" ht="14.4" x14ac:dyDescent="0.3">
      <c r="A248" s="7"/>
      <c r="B248" s="7"/>
      <c r="C248" s="7"/>
      <c r="D248" s="7"/>
      <c r="E248" s="7"/>
      <c r="F248" s="7"/>
      <c r="G248" s="10"/>
      <c r="H248" s="10"/>
      <c r="I248" s="7"/>
      <c r="J248" s="7"/>
      <c r="K248" s="7"/>
      <c r="L248" s="7"/>
      <c r="M248" s="10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10"/>
      <c r="Z248" s="10"/>
      <c r="AA248" s="10"/>
      <c r="AB248" s="14"/>
      <c r="AC248" s="11"/>
      <c r="AD248" s="11"/>
      <c r="AE248" s="11"/>
      <c r="AF248" s="11"/>
      <c r="AG248" s="12"/>
      <c r="AH248" s="12"/>
      <c r="AI248" s="11"/>
      <c r="AJ248" s="9" t="str">
        <f t="shared" si="6"/>
        <v/>
      </c>
      <c r="AK248" s="9" t="str">
        <f t="shared" si="7"/>
        <v/>
      </c>
      <c r="AL248" s="7"/>
    </row>
    <row r="249" spans="1:38" ht="14.4" x14ac:dyDescent="0.3">
      <c r="A249" s="7"/>
      <c r="B249" s="7"/>
      <c r="C249" s="7"/>
      <c r="D249" s="7"/>
      <c r="E249" s="7"/>
      <c r="F249" s="7"/>
      <c r="G249" s="10"/>
      <c r="H249" s="10"/>
      <c r="I249" s="7"/>
      <c r="J249" s="7"/>
      <c r="K249" s="7"/>
      <c r="L249" s="7"/>
      <c r="M249" s="10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10"/>
      <c r="Z249" s="10"/>
      <c r="AA249" s="10"/>
      <c r="AB249" s="14"/>
      <c r="AC249" s="11"/>
      <c r="AD249" s="11"/>
      <c r="AE249" s="11"/>
      <c r="AF249" s="11"/>
      <c r="AG249" s="12"/>
      <c r="AH249" s="12"/>
      <c r="AI249" s="11"/>
      <c r="AJ249" s="9" t="str">
        <f t="shared" si="6"/>
        <v/>
      </c>
      <c r="AK249" s="9" t="str">
        <f t="shared" si="7"/>
        <v/>
      </c>
      <c r="AL249" s="7"/>
    </row>
    <row r="250" spans="1:38" ht="14.4" x14ac:dyDescent="0.3">
      <c r="A250" s="7"/>
      <c r="B250" s="7"/>
      <c r="C250" s="7"/>
      <c r="D250" s="7"/>
      <c r="E250" s="7"/>
      <c r="F250" s="7"/>
      <c r="G250" s="10"/>
      <c r="H250" s="10"/>
      <c r="I250" s="7"/>
      <c r="J250" s="7"/>
      <c r="K250" s="7"/>
      <c r="L250" s="7"/>
      <c r="M250" s="10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10"/>
      <c r="Z250" s="10"/>
      <c r="AA250" s="10"/>
      <c r="AB250" s="14"/>
      <c r="AC250" s="11"/>
      <c r="AD250" s="11"/>
      <c r="AE250" s="11"/>
      <c r="AF250" s="11"/>
      <c r="AG250" s="12"/>
      <c r="AH250" s="12"/>
      <c r="AI250" s="11"/>
      <c r="AJ250" s="9" t="str">
        <f t="shared" si="6"/>
        <v/>
      </c>
      <c r="AK250" s="9" t="str">
        <f t="shared" si="7"/>
        <v/>
      </c>
      <c r="AL250" s="7"/>
    </row>
    <row r="251" spans="1:38" ht="14.4" x14ac:dyDescent="0.3">
      <c r="A251" s="7"/>
      <c r="B251" s="7"/>
      <c r="C251" s="7"/>
      <c r="D251" s="7"/>
      <c r="E251" s="7"/>
      <c r="F251" s="7"/>
      <c r="G251" s="10"/>
      <c r="H251" s="10"/>
      <c r="I251" s="7"/>
      <c r="J251" s="7"/>
      <c r="K251" s="7"/>
      <c r="L251" s="7"/>
      <c r="M251" s="10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10"/>
      <c r="Z251" s="10"/>
      <c r="AA251" s="10"/>
      <c r="AB251" s="14"/>
      <c r="AC251" s="11"/>
      <c r="AD251" s="11"/>
      <c r="AE251" s="11"/>
      <c r="AF251" s="11"/>
      <c r="AG251" s="12"/>
      <c r="AH251" s="12"/>
      <c r="AI251" s="11"/>
      <c r="AJ251" s="9" t="str">
        <f t="shared" si="6"/>
        <v/>
      </c>
      <c r="AK251" s="9" t="str">
        <f t="shared" si="7"/>
        <v/>
      </c>
      <c r="AL251" s="7"/>
    </row>
  </sheetData>
  <autoFilter ref="A1:AL251" xr:uid="{00000000-0009-0000-0000-000008000000}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error="Valeur non autorisée" prompt="Choisir dans la liste" xr:uid="{00000000-0002-0000-0800-000000000000}">
          <x14:formula1>
            <xm:f>Referentiels!$A$4:$A$5</xm:f>
          </x14:formula1>
          <x14:formula2>
            <xm:f>0</xm:f>
          </x14:formula2>
          <xm:sqref>N2:N251 L2:L251 I2:I251</xm:sqref>
        </x14:dataValidation>
        <x14:dataValidation type="list" allowBlank="1" error="Valeur non autorisée" prompt="Choisir dans la liste" xr:uid="{00000000-0002-0000-0800-000001000000}">
          <x14:formula1>
            <xm:f>Referentiels!$I$4:$I$7</xm:f>
          </x14:formula1>
          <x14:formula2>
            <xm:f>0</xm:f>
          </x14:formula2>
          <xm:sqref>F2:F251</xm:sqref>
        </x14:dataValidation>
        <x14:dataValidation type="list" allowBlank="1" error="Valeur non autorisée" prompt="Choisir dans la liste" xr:uid="{00000000-0002-0000-0800-000003000000}">
          <x14:formula1>
            <xm:f>Referentiels!$K$4:$K$7</xm:f>
          </x14:formula1>
          <x14:formula2>
            <xm:f>0</xm:f>
          </x14:formula2>
          <xm:sqref>K2:K251</xm:sqref>
        </x14:dataValidation>
        <x14:dataValidation type="list" allowBlank="1" error="Valeur non autorisée" prompt="Choisir dans la liste" xr:uid="{00000000-0002-0000-0800-000005000000}">
          <x14:formula1>
            <xm:f>Referentiels!$O$4:$O$12</xm:f>
          </x14:formula1>
          <x14:formula2>
            <xm:f>0</xm:f>
          </x14:formula2>
          <xm:sqref>P2:P251</xm:sqref>
        </x14:dataValidation>
        <x14:dataValidation type="list" allowBlank="1" error="Valeur non autorisée" prompt="Choisir dans la liste" xr:uid="{00000000-0002-0000-0800-000006000000}">
          <x14:formula1>
            <xm:f>Referentiels!$Q$4:$Q$6</xm:f>
          </x14:formula1>
          <x14:formula2>
            <xm:f>0</xm:f>
          </x14:formula2>
          <xm:sqref>R2:R251</xm:sqref>
        </x14:dataValidation>
        <x14:dataValidation type="list" allowBlank="1" error="Valeur non autorisée" prompt="Choisir dans la liste" xr:uid="{00000000-0002-0000-0800-000007000000}">
          <x14:formula1>
            <xm:f>Referentiels!$S$4:$S$7</xm:f>
          </x14:formula1>
          <x14:formula2>
            <xm:f>0</xm:f>
          </x14:formula2>
          <xm:sqref>S2:S251</xm:sqref>
        </x14:dataValidation>
        <x14:dataValidation type="list" allowBlank="1" error="Valeur non autorisée" prompt="Choisir dans la liste" xr:uid="{00000000-0002-0000-0800-000008000000}">
          <x14:formula1>
            <xm:f>Referentiels!$M$4:$M$7</xm:f>
          </x14:formula1>
          <x14:formula2>
            <xm:f>0</xm:f>
          </x14:formula2>
          <xm:sqref>X2:X251</xm:sqref>
        </x14:dataValidation>
        <x14:dataValidation type="list" allowBlank="1" error="Valeur non autorisée" prompt="Choisir dans la liste" xr:uid="{00000000-0002-0000-0800-000009000000}">
          <x14:formula1>
            <xm:f>Referentiels!$U$4:$U$6</xm:f>
          </x14:formula1>
          <x14:formula2>
            <xm:f>0</xm:f>
          </x14:formula2>
          <xm:sqref>AC2:AF251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2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3"/>
  <cols>
    <col min="1" max="1" width="14" customWidth="1"/>
    <col min="2" max="2" width="16" customWidth="1"/>
    <col min="3" max="3" width="28" customWidth="1"/>
    <col min="4" max="4" width="18" customWidth="1"/>
    <col min="5" max="5" width="14" customWidth="1"/>
    <col min="6" max="6" width="24" customWidth="1"/>
    <col min="7" max="8" width="18" customWidth="1"/>
    <col min="9" max="10" width="14" customWidth="1"/>
    <col min="11" max="11" width="10" customWidth="1"/>
    <col min="12" max="12" width="14" customWidth="1"/>
    <col min="13" max="14" width="18" customWidth="1"/>
    <col min="15" max="15" width="16" customWidth="1"/>
    <col min="16" max="17" width="24" customWidth="1"/>
  </cols>
  <sheetData>
    <row r="1" spans="1:17" ht="27.75" customHeight="1" x14ac:dyDescent="0.3">
      <c r="A1" s="3" t="s">
        <v>4419</v>
      </c>
      <c r="B1" s="3" t="s">
        <v>4417</v>
      </c>
      <c r="C1" s="3" t="s">
        <v>4430</v>
      </c>
      <c r="D1" s="3" t="s">
        <v>4431</v>
      </c>
      <c r="E1" s="3" t="s">
        <v>4418</v>
      </c>
      <c r="F1" s="3" t="s">
        <v>155</v>
      </c>
      <c r="G1" s="3" t="s">
        <v>4416</v>
      </c>
      <c r="H1" s="3" t="s">
        <v>4432</v>
      </c>
      <c r="I1" s="3" t="s">
        <v>4421</v>
      </c>
      <c r="J1" s="3" t="s">
        <v>4433</v>
      </c>
      <c r="K1" s="3" t="s">
        <v>183</v>
      </c>
      <c r="L1" s="3" t="s">
        <v>4434</v>
      </c>
      <c r="M1" s="3" t="s">
        <v>4435</v>
      </c>
      <c r="N1" s="3" t="s">
        <v>4436</v>
      </c>
      <c r="O1" s="3" t="s">
        <v>4437</v>
      </c>
      <c r="P1" s="3" t="s">
        <v>2773</v>
      </c>
      <c r="Q1" s="3" t="s">
        <v>4383</v>
      </c>
    </row>
    <row r="2" spans="1:17" ht="21.75" customHeight="1" x14ac:dyDescent="0.3">
      <c r="A2" s="7"/>
      <c r="B2" s="7"/>
      <c r="C2" s="7"/>
      <c r="D2" s="7"/>
      <c r="E2" s="7"/>
      <c r="F2" s="7"/>
      <c r="G2" s="7"/>
      <c r="H2" s="14"/>
      <c r="I2" s="10"/>
      <c r="J2" s="10"/>
      <c r="K2" s="7"/>
      <c r="L2" s="7"/>
      <c r="M2" s="7"/>
      <c r="N2" s="7"/>
      <c r="O2" s="7"/>
      <c r="P2" s="7"/>
      <c r="Q2" s="7"/>
    </row>
    <row r="3" spans="1:17" ht="21.75" customHeight="1" x14ac:dyDescent="0.3">
      <c r="A3" s="7"/>
      <c r="B3" s="7"/>
      <c r="C3" s="7"/>
      <c r="D3" s="7"/>
      <c r="E3" s="7"/>
      <c r="F3" s="7"/>
      <c r="G3" s="7"/>
      <c r="H3" s="14"/>
      <c r="I3" s="10"/>
      <c r="J3" s="10"/>
      <c r="K3" s="7"/>
      <c r="L3" s="7"/>
      <c r="M3" s="7"/>
      <c r="N3" s="7"/>
      <c r="O3" s="7"/>
      <c r="P3" s="7"/>
      <c r="Q3" s="7"/>
    </row>
    <row r="4" spans="1:17" ht="21.75" customHeight="1" x14ac:dyDescent="0.3">
      <c r="A4" s="7"/>
      <c r="B4" s="7"/>
      <c r="C4" s="7"/>
      <c r="D4" s="7"/>
      <c r="E4" s="7"/>
      <c r="F4" s="7"/>
      <c r="G4" s="7"/>
      <c r="H4" s="14"/>
      <c r="I4" s="10"/>
      <c r="J4" s="10"/>
      <c r="K4" s="7"/>
      <c r="L4" s="7"/>
      <c r="M4" s="7"/>
      <c r="N4" s="7"/>
      <c r="O4" s="7"/>
      <c r="P4" s="7"/>
      <c r="Q4" s="7"/>
    </row>
    <row r="5" spans="1:17" ht="21.75" customHeight="1" x14ac:dyDescent="0.3">
      <c r="A5" s="7"/>
      <c r="B5" s="7"/>
      <c r="C5" s="7"/>
      <c r="D5" s="7"/>
      <c r="E5" s="7"/>
      <c r="F5" s="7"/>
      <c r="G5" s="7"/>
      <c r="H5" s="14"/>
      <c r="I5" s="10"/>
      <c r="J5" s="10"/>
      <c r="K5" s="7"/>
      <c r="L5" s="7"/>
      <c r="M5" s="7"/>
      <c r="N5" s="7"/>
      <c r="O5" s="7"/>
      <c r="P5" s="7"/>
      <c r="Q5" s="7"/>
    </row>
    <row r="6" spans="1:17" ht="21.75" customHeight="1" x14ac:dyDescent="0.3">
      <c r="A6" s="7"/>
      <c r="B6" s="7"/>
      <c r="C6" s="7"/>
      <c r="D6" s="7"/>
      <c r="E6" s="7"/>
      <c r="F6" s="7"/>
      <c r="G6" s="7"/>
      <c r="H6" s="14"/>
      <c r="I6" s="10"/>
      <c r="J6" s="10"/>
      <c r="K6" s="7"/>
      <c r="L6" s="7"/>
      <c r="M6" s="7"/>
      <c r="N6" s="7"/>
      <c r="O6" s="7"/>
      <c r="P6" s="7"/>
      <c r="Q6" s="7"/>
    </row>
    <row r="7" spans="1:17" ht="21.75" customHeight="1" x14ac:dyDescent="0.3">
      <c r="A7" s="7"/>
      <c r="B7" s="7"/>
      <c r="C7" s="7"/>
      <c r="D7" s="7"/>
      <c r="E7" s="7"/>
      <c r="F7" s="7"/>
      <c r="G7" s="7"/>
      <c r="H7" s="14"/>
      <c r="I7" s="10"/>
      <c r="J7" s="10"/>
      <c r="K7" s="7"/>
      <c r="L7" s="7"/>
      <c r="M7" s="7"/>
      <c r="N7" s="7"/>
      <c r="O7" s="7"/>
      <c r="P7" s="7"/>
      <c r="Q7" s="7"/>
    </row>
    <row r="8" spans="1:17" ht="21.75" customHeight="1" x14ac:dyDescent="0.3">
      <c r="A8" s="7"/>
      <c r="B8" s="7"/>
      <c r="C8" s="7"/>
      <c r="D8" s="7"/>
      <c r="E8" s="7"/>
      <c r="F8" s="7"/>
      <c r="G8" s="7"/>
      <c r="H8" s="14"/>
      <c r="I8" s="10"/>
      <c r="J8" s="10"/>
      <c r="K8" s="7"/>
      <c r="L8" s="7"/>
      <c r="M8" s="7"/>
      <c r="N8" s="7"/>
      <c r="O8" s="7"/>
      <c r="P8" s="7"/>
      <c r="Q8" s="7"/>
    </row>
    <row r="9" spans="1:17" ht="21.75" customHeight="1" x14ac:dyDescent="0.3">
      <c r="A9" s="7"/>
      <c r="B9" s="7"/>
      <c r="C9" s="7"/>
      <c r="D9" s="7"/>
      <c r="E9" s="7"/>
      <c r="F9" s="7"/>
      <c r="G9" s="7"/>
      <c r="H9" s="14"/>
      <c r="I9" s="10"/>
      <c r="J9" s="10"/>
      <c r="K9" s="7"/>
      <c r="L9" s="7"/>
      <c r="M9" s="7"/>
      <c r="N9" s="7"/>
      <c r="O9" s="7"/>
      <c r="P9" s="7"/>
      <c r="Q9" s="7"/>
    </row>
    <row r="10" spans="1:17" ht="21.75" customHeight="1" x14ac:dyDescent="0.3">
      <c r="A10" s="7"/>
      <c r="B10" s="7"/>
      <c r="C10" s="7"/>
      <c r="D10" s="7"/>
      <c r="E10" s="7"/>
      <c r="F10" s="7"/>
      <c r="G10" s="7"/>
      <c r="H10" s="14"/>
      <c r="I10" s="10"/>
      <c r="J10" s="10"/>
      <c r="K10" s="7"/>
      <c r="L10" s="7"/>
      <c r="M10" s="7"/>
      <c r="N10" s="7"/>
      <c r="O10" s="7"/>
      <c r="P10" s="7"/>
      <c r="Q10" s="7"/>
    </row>
    <row r="11" spans="1:17" ht="21.75" customHeight="1" x14ac:dyDescent="0.3">
      <c r="A11" s="7"/>
      <c r="B11" s="7"/>
      <c r="C11" s="7"/>
      <c r="D11" s="7"/>
      <c r="E11" s="7"/>
      <c r="F11" s="7"/>
      <c r="G11" s="7"/>
      <c r="H11" s="14"/>
      <c r="I11" s="10"/>
      <c r="J11" s="10"/>
      <c r="K11" s="7"/>
      <c r="L11" s="7"/>
      <c r="M11" s="7"/>
      <c r="N11" s="7"/>
      <c r="O11" s="7"/>
      <c r="P11" s="7"/>
      <c r="Q11" s="7"/>
    </row>
    <row r="12" spans="1:17" ht="21.75" customHeight="1" x14ac:dyDescent="0.3">
      <c r="A12" s="7"/>
      <c r="B12" s="7"/>
      <c r="C12" s="7"/>
      <c r="D12" s="7"/>
      <c r="E12" s="7"/>
      <c r="F12" s="7"/>
      <c r="G12" s="7"/>
      <c r="H12" s="14"/>
      <c r="I12" s="10"/>
      <c r="J12" s="10"/>
      <c r="K12" s="7"/>
      <c r="L12" s="7"/>
      <c r="M12" s="7"/>
      <c r="N12" s="7"/>
      <c r="O12" s="7"/>
      <c r="P12" s="7"/>
      <c r="Q12" s="7"/>
    </row>
    <row r="13" spans="1:17" ht="21.75" customHeight="1" x14ac:dyDescent="0.3">
      <c r="A13" s="7"/>
      <c r="B13" s="7"/>
      <c r="C13" s="7"/>
      <c r="D13" s="7"/>
      <c r="E13" s="7"/>
      <c r="F13" s="7"/>
      <c r="G13" s="7"/>
      <c r="H13" s="14"/>
      <c r="I13" s="10"/>
      <c r="J13" s="10"/>
      <c r="K13" s="7"/>
      <c r="L13" s="7"/>
      <c r="M13" s="7"/>
      <c r="N13" s="7"/>
      <c r="O13" s="7"/>
      <c r="P13" s="7"/>
      <c r="Q13" s="7"/>
    </row>
    <row r="14" spans="1:17" ht="21.75" customHeight="1" x14ac:dyDescent="0.3">
      <c r="A14" s="7"/>
      <c r="B14" s="7"/>
      <c r="C14" s="7"/>
      <c r="D14" s="7"/>
      <c r="E14" s="7"/>
      <c r="F14" s="7"/>
      <c r="G14" s="7"/>
      <c r="H14" s="14"/>
      <c r="I14" s="10"/>
      <c r="J14" s="10"/>
      <c r="K14" s="7"/>
      <c r="L14" s="7"/>
      <c r="M14" s="7"/>
      <c r="N14" s="7"/>
      <c r="O14" s="7"/>
      <c r="P14" s="7"/>
      <c r="Q14" s="7"/>
    </row>
    <row r="15" spans="1:17" ht="21.75" customHeight="1" x14ac:dyDescent="0.3">
      <c r="A15" s="7"/>
      <c r="B15" s="7"/>
      <c r="C15" s="7"/>
      <c r="D15" s="7"/>
      <c r="E15" s="7"/>
      <c r="F15" s="7"/>
      <c r="G15" s="7"/>
      <c r="H15" s="14"/>
      <c r="I15" s="10"/>
      <c r="J15" s="10"/>
      <c r="K15" s="7"/>
      <c r="L15" s="7"/>
      <c r="M15" s="7"/>
      <c r="N15" s="7"/>
      <c r="O15" s="7"/>
      <c r="P15" s="7"/>
      <c r="Q15" s="7"/>
    </row>
    <row r="16" spans="1:17" ht="21.75" customHeight="1" x14ac:dyDescent="0.3">
      <c r="A16" s="7"/>
      <c r="B16" s="7"/>
      <c r="C16" s="7"/>
      <c r="D16" s="7"/>
      <c r="E16" s="7"/>
      <c r="F16" s="7"/>
      <c r="G16" s="7"/>
      <c r="H16" s="14"/>
      <c r="I16" s="10"/>
      <c r="J16" s="10"/>
      <c r="K16" s="7"/>
      <c r="L16" s="7"/>
      <c r="M16" s="7"/>
      <c r="N16" s="7"/>
      <c r="O16" s="7"/>
      <c r="P16" s="7"/>
      <c r="Q16" s="7"/>
    </row>
    <row r="17" spans="1:17" ht="21.75" customHeight="1" x14ac:dyDescent="0.3">
      <c r="A17" s="7"/>
      <c r="B17" s="7"/>
      <c r="C17" s="7"/>
      <c r="D17" s="7"/>
      <c r="E17" s="7"/>
      <c r="F17" s="7"/>
      <c r="G17" s="7"/>
      <c r="H17" s="14"/>
      <c r="I17" s="10"/>
      <c r="J17" s="10"/>
      <c r="K17" s="7"/>
      <c r="L17" s="7"/>
      <c r="M17" s="7"/>
      <c r="N17" s="7"/>
      <c r="O17" s="7"/>
      <c r="P17" s="7"/>
      <c r="Q17" s="7"/>
    </row>
    <row r="18" spans="1:17" ht="21.75" customHeight="1" x14ac:dyDescent="0.3">
      <c r="A18" s="7"/>
      <c r="B18" s="7"/>
      <c r="C18" s="7"/>
      <c r="D18" s="7"/>
      <c r="E18" s="7"/>
      <c r="F18" s="7"/>
      <c r="G18" s="7"/>
      <c r="H18" s="14"/>
      <c r="I18" s="10"/>
      <c r="J18" s="10"/>
      <c r="K18" s="7"/>
      <c r="L18" s="7"/>
      <c r="M18" s="7"/>
      <c r="N18" s="7"/>
      <c r="O18" s="7"/>
      <c r="P18" s="7"/>
      <c r="Q18" s="7"/>
    </row>
    <row r="19" spans="1:17" ht="21.75" customHeight="1" x14ac:dyDescent="0.3">
      <c r="A19" s="7"/>
      <c r="B19" s="7"/>
      <c r="C19" s="7"/>
      <c r="D19" s="7"/>
      <c r="E19" s="7"/>
      <c r="F19" s="7"/>
      <c r="G19" s="7"/>
      <c r="H19" s="14"/>
      <c r="I19" s="10"/>
      <c r="J19" s="10"/>
      <c r="K19" s="7"/>
      <c r="L19" s="7"/>
      <c r="M19" s="7"/>
      <c r="N19" s="7"/>
      <c r="O19" s="7"/>
      <c r="P19" s="7"/>
      <c r="Q19" s="7"/>
    </row>
    <row r="20" spans="1:17" ht="21.75" customHeight="1" x14ac:dyDescent="0.3">
      <c r="A20" s="7"/>
      <c r="B20" s="7"/>
      <c r="C20" s="7"/>
      <c r="D20" s="7"/>
      <c r="E20" s="7"/>
      <c r="F20" s="7"/>
      <c r="G20" s="7"/>
      <c r="H20" s="14"/>
      <c r="I20" s="10"/>
      <c r="J20" s="10"/>
      <c r="K20" s="7"/>
      <c r="L20" s="7"/>
      <c r="M20" s="7"/>
      <c r="N20" s="7"/>
      <c r="O20" s="7"/>
      <c r="P20" s="7"/>
      <c r="Q20" s="7"/>
    </row>
    <row r="21" spans="1:17" ht="14.4" x14ac:dyDescent="0.3">
      <c r="A21" s="7"/>
      <c r="B21" s="7"/>
      <c r="C21" s="7"/>
      <c r="D21" s="7"/>
      <c r="E21" s="7"/>
      <c r="F21" s="7"/>
      <c r="G21" s="7"/>
      <c r="H21" s="14"/>
      <c r="I21" s="10"/>
      <c r="J21" s="10"/>
      <c r="K21" s="7"/>
      <c r="L21" s="7"/>
      <c r="M21" s="7"/>
      <c r="N21" s="7"/>
      <c r="O21" s="7"/>
      <c r="P21" s="7"/>
      <c r="Q21" s="7"/>
    </row>
    <row r="22" spans="1:17" ht="14.4" x14ac:dyDescent="0.3">
      <c r="A22" s="7"/>
      <c r="B22" s="7"/>
      <c r="C22" s="7"/>
      <c r="D22" s="7"/>
      <c r="E22" s="7"/>
      <c r="F22" s="7"/>
      <c r="G22" s="7"/>
      <c r="H22" s="14"/>
      <c r="I22" s="10"/>
      <c r="J22" s="10"/>
      <c r="K22" s="7"/>
      <c r="L22" s="7"/>
      <c r="M22" s="7"/>
      <c r="N22" s="7"/>
      <c r="O22" s="7"/>
      <c r="P22" s="7"/>
      <c r="Q22" s="7"/>
    </row>
    <row r="23" spans="1:17" ht="14.4" x14ac:dyDescent="0.3">
      <c r="A23" s="7"/>
      <c r="B23" s="7"/>
      <c r="C23" s="7"/>
      <c r="D23" s="7"/>
      <c r="E23" s="7"/>
      <c r="F23" s="7"/>
      <c r="G23" s="7"/>
      <c r="H23" s="14"/>
      <c r="I23" s="10"/>
      <c r="J23" s="10"/>
      <c r="K23" s="7"/>
      <c r="L23" s="7"/>
      <c r="M23" s="7"/>
      <c r="N23" s="7"/>
      <c r="O23" s="7"/>
      <c r="P23" s="7"/>
      <c r="Q23" s="7"/>
    </row>
    <row r="24" spans="1:17" ht="14.4" x14ac:dyDescent="0.3">
      <c r="A24" s="7"/>
      <c r="B24" s="7"/>
      <c r="C24" s="7"/>
      <c r="D24" s="7"/>
      <c r="E24" s="7"/>
      <c r="F24" s="7"/>
      <c r="G24" s="7"/>
      <c r="H24" s="14"/>
      <c r="I24" s="10"/>
      <c r="J24" s="10"/>
      <c r="K24" s="7"/>
      <c r="L24" s="7"/>
      <c r="M24" s="7"/>
      <c r="N24" s="7"/>
      <c r="O24" s="7"/>
      <c r="P24" s="7"/>
      <c r="Q24" s="7"/>
    </row>
    <row r="25" spans="1:17" ht="14.4" x14ac:dyDescent="0.3">
      <c r="A25" s="7"/>
      <c r="B25" s="7"/>
      <c r="C25" s="7"/>
      <c r="D25" s="7"/>
      <c r="E25" s="7"/>
      <c r="F25" s="7"/>
      <c r="G25" s="7"/>
      <c r="H25" s="14"/>
      <c r="I25" s="10"/>
      <c r="J25" s="10"/>
      <c r="K25" s="7"/>
      <c r="L25" s="7"/>
      <c r="M25" s="7"/>
      <c r="N25" s="7"/>
      <c r="O25" s="7"/>
      <c r="P25" s="7"/>
      <c r="Q25" s="7"/>
    </row>
    <row r="26" spans="1:17" ht="14.4" x14ac:dyDescent="0.3">
      <c r="A26" s="7"/>
      <c r="B26" s="7"/>
      <c r="C26" s="7"/>
      <c r="D26" s="7"/>
      <c r="E26" s="7"/>
      <c r="F26" s="7"/>
      <c r="G26" s="7"/>
      <c r="H26" s="14"/>
      <c r="I26" s="10"/>
      <c r="J26" s="10"/>
      <c r="K26" s="7"/>
      <c r="L26" s="7"/>
      <c r="M26" s="7"/>
      <c r="N26" s="7"/>
      <c r="O26" s="7"/>
      <c r="P26" s="7"/>
      <c r="Q26" s="7"/>
    </row>
    <row r="27" spans="1:17" ht="14.4" x14ac:dyDescent="0.3">
      <c r="A27" s="7"/>
      <c r="B27" s="7"/>
      <c r="C27" s="7"/>
      <c r="D27" s="7"/>
      <c r="E27" s="7"/>
      <c r="F27" s="7"/>
      <c r="G27" s="7"/>
      <c r="H27" s="14"/>
      <c r="I27" s="10"/>
      <c r="J27" s="10"/>
      <c r="K27" s="7"/>
      <c r="L27" s="7"/>
      <c r="M27" s="7"/>
      <c r="N27" s="7"/>
      <c r="O27" s="7"/>
      <c r="P27" s="7"/>
      <c r="Q27" s="7"/>
    </row>
    <row r="28" spans="1:17" ht="14.4" x14ac:dyDescent="0.3">
      <c r="A28" s="7"/>
      <c r="B28" s="7"/>
      <c r="C28" s="7"/>
      <c r="D28" s="7"/>
      <c r="E28" s="7"/>
      <c r="F28" s="7"/>
      <c r="G28" s="7"/>
      <c r="H28" s="14"/>
      <c r="I28" s="10"/>
      <c r="J28" s="10"/>
      <c r="K28" s="7"/>
      <c r="L28" s="7"/>
      <c r="M28" s="7"/>
      <c r="N28" s="7"/>
      <c r="O28" s="7"/>
      <c r="P28" s="7"/>
      <c r="Q28" s="7"/>
    </row>
    <row r="29" spans="1:17" ht="14.4" x14ac:dyDescent="0.3">
      <c r="A29" s="7"/>
      <c r="B29" s="7"/>
      <c r="C29" s="7"/>
      <c r="D29" s="7"/>
      <c r="E29" s="7"/>
      <c r="F29" s="7"/>
      <c r="G29" s="7"/>
      <c r="H29" s="14"/>
      <c r="I29" s="10"/>
      <c r="J29" s="10"/>
      <c r="K29" s="7"/>
      <c r="L29" s="7"/>
      <c r="M29" s="7"/>
      <c r="N29" s="7"/>
      <c r="O29" s="7"/>
      <c r="P29" s="7"/>
      <c r="Q29" s="7"/>
    </row>
    <row r="30" spans="1:17" ht="14.4" x14ac:dyDescent="0.3">
      <c r="A30" s="7"/>
      <c r="B30" s="7"/>
      <c r="C30" s="7"/>
      <c r="D30" s="7"/>
      <c r="E30" s="7"/>
      <c r="F30" s="7"/>
      <c r="G30" s="7"/>
      <c r="H30" s="14"/>
      <c r="I30" s="10"/>
      <c r="J30" s="10"/>
      <c r="K30" s="7"/>
      <c r="L30" s="7"/>
      <c r="M30" s="7"/>
      <c r="N30" s="7"/>
      <c r="O30" s="7"/>
      <c r="P30" s="7"/>
      <c r="Q30" s="7"/>
    </row>
    <row r="31" spans="1:17" ht="14.4" x14ac:dyDescent="0.3">
      <c r="A31" s="7"/>
      <c r="B31" s="7"/>
      <c r="C31" s="7"/>
      <c r="D31" s="7"/>
      <c r="E31" s="7"/>
      <c r="F31" s="7"/>
      <c r="G31" s="7"/>
      <c r="H31" s="14"/>
      <c r="I31" s="10"/>
      <c r="J31" s="10"/>
      <c r="K31" s="7"/>
      <c r="L31" s="7"/>
      <c r="M31" s="7"/>
      <c r="N31" s="7"/>
      <c r="O31" s="7"/>
      <c r="P31" s="7"/>
      <c r="Q31" s="7"/>
    </row>
    <row r="32" spans="1:17" ht="14.4" x14ac:dyDescent="0.3">
      <c r="A32" s="7"/>
      <c r="B32" s="7"/>
      <c r="C32" s="7"/>
      <c r="D32" s="7"/>
      <c r="E32" s="7"/>
      <c r="F32" s="7"/>
      <c r="G32" s="7"/>
      <c r="H32" s="14"/>
      <c r="I32" s="10"/>
      <c r="J32" s="10"/>
      <c r="K32" s="7"/>
      <c r="L32" s="7"/>
      <c r="M32" s="7"/>
      <c r="N32" s="7"/>
      <c r="O32" s="7"/>
      <c r="P32" s="7"/>
      <c r="Q32" s="7"/>
    </row>
    <row r="33" spans="1:17" ht="14.4" x14ac:dyDescent="0.3">
      <c r="A33" s="7"/>
      <c r="B33" s="7"/>
      <c r="C33" s="7"/>
      <c r="D33" s="7"/>
      <c r="E33" s="7"/>
      <c r="F33" s="7"/>
      <c r="G33" s="7"/>
      <c r="H33" s="14"/>
      <c r="I33" s="10"/>
      <c r="J33" s="10"/>
      <c r="K33" s="7"/>
      <c r="L33" s="7"/>
      <c r="M33" s="7"/>
      <c r="N33" s="7"/>
      <c r="O33" s="7"/>
      <c r="P33" s="7"/>
      <c r="Q33" s="7"/>
    </row>
    <row r="34" spans="1:17" ht="14.4" x14ac:dyDescent="0.3">
      <c r="A34" s="7"/>
      <c r="B34" s="7"/>
      <c r="C34" s="7"/>
      <c r="D34" s="7"/>
      <c r="E34" s="7"/>
      <c r="F34" s="7"/>
      <c r="G34" s="7"/>
      <c r="H34" s="14"/>
      <c r="I34" s="10"/>
      <c r="J34" s="10"/>
      <c r="K34" s="7"/>
      <c r="L34" s="7"/>
      <c r="M34" s="7"/>
      <c r="N34" s="7"/>
      <c r="O34" s="7"/>
      <c r="P34" s="7"/>
      <c r="Q34" s="7"/>
    </row>
    <row r="35" spans="1:17" ht="14.4" x14ac:dyDescent="0.3">
      <c r="A35" s="7"/>
      <c r="B35" s="7"/>
      <c r="C35" s="7"/>
      <c r="D35" s="7"/>
      <c r="E35" s="7"/>
      <c r="F35" s="7"/>
      <c r="G35" s="7"/>
      <c r="H35" s="14"/>
      <c r="I35" s="10"/>
      <c r="J35" s="10"/>
      <c r="K35" s="7"/>
      <c r="L35" s="7"/>
      <c r="M35" s="7"/>
      <c r="N35" s="7"/>
      <c r="O35" s="7"/>
      <c r="P35" s="7"/>
      <c r="Q35" s="7"/>
    </row>
    <row r="36" spans="1:17" ht="14.4" x14ac:dyDescent="0.3">
      <c r="A36" s="7"/>
      <c r="B36" s="7"/>
      <c r="C36" s="7"/>
      <c r="D36" s="7"/>
      <c r="E36" s="7"/>
      <c r="F36" s="7"/>
      <c r="G36" s="7"/>
      <c r="H36" s="14"/>
      <c r="I36" s="10"/>
      <c r="J36" s="10"/>
      <c r="K36" s="7"/>
      <c r="L36" s="7"/>
      <c r="M36" s="7"/>
      <c r="N36" s="7"/>
      <c r="O36" s="7"/>
      <c r="P36" s="7"/>
      <c r="Q36" s="7"/>
    </row>
    <row r="37" spans="1:17" ht="14.4" x14ac:dyDescent="0.3">
      <c r="A37" s="7"/>
      <c r="B37" s="7"/>
      <c r="C37" s="7"/>
      <c r="D37" s="7"/>
      <c r="E37" s="7"/>
      <c r="F37" s="7"/>
      <c r="G37" s="7"/>
      <c r="H37" s="14"/>
      <c r="I37" s="10"/>
      <c r="J37" s="10"/>
      <c r="K37" s="7"/>
      <c r="L37" s="7"/>
      <c r="M37" s="7"/>
      <c r="N37" s="7"/>
      <c r="O37" s="7"/>
      <c r="P37" s="7"/>
      <c r="Q37" s="7"/>
    </row>
    <row r="38" spans="1:17" ht="14.4" x14ac:dyDescent="0.3">
      <c r="A38" s="7"/>
      <c r="B38" s="7"/>
      <c r="C38" s="7"/>
      <c r="D38" s="7"/>
      <c r="E38" s="7"/>
      <c r="F38" s="7"/>
      <c r="G38" s="7"/>
      <c r="H38" s="14"/>
      <c r="I38" s="10"/>
      <c r="J38" s="10"/>
      <c r="K38" s="7"/>
      <c r="L38" s="7"/>
      <c r="M38" s="7"/>
      <c r="N38" s="7"/>
      <c r="O38" s="7"/>
      <c r="P38" s="7"/>
      <c r="Q38" s="7"/>
    </row>
    <row r="39" spans="1:17" ht="14.4" x14ac:dyDescent="0.3">
      <c r="A39" s="7"/>
      <c r="B39" s="7"/>
      <c r="C39" s="7"/>
      <c r="D39" s="7"/>
      <c r="E39" s="7"/>
      <c r="F39" s="7"/>
      <c r="G39" s="7"/>
      <c r="H39" s="14"/>
      <c r="I39" s="10"/>
      <c r="J39" s="10"/>
      <c r="K39" s="7"/>
      <c r="L39" s="7"/>
      <c r="M39" s="7"/>
      <c r="N39" s="7"/>
      <c r="O39" s="7"/>
      <c r="P39" s="7"/>
      <c r="Q39" s="7"/>
    </row>
    <row r="40" spans="1:17" ht="14.4" x14ac:dyDescent="0.3">
      <c r="A40" s="7"/>
      <c r="B40" s="7"/>
      <c r="C40" s="7"/>
      <c r="D40" s="7"/>
      <c r="E40" s="7"/>
      <c r="F40" s="7"/>
      <c r="G40" s="7"/>
      <c r="H40" s="14"/>
      <c r="I40" s="10"/>
      <c r="J40" s="10"/>
      <c r="K40" s="7"/>
      <c r="L40" s="7"/>
      <c r="M40" s="7"/>
      <c r="N40" s="7"/>
      <c r="O40" s="7"/>
      <c r="P40" s="7"/>
      <c r="Q40" s="7"/>
    </row>
    <row r="41" spans="1:17" ht="14.4" x14ac:dyDescent="0.3">
      <c r="A41" s="7"/>
      <c r="B41" s="7"/>
      <c r="C41" s="7"/>
      <c r="D41" s="7"/>
      <c r="E41" s="7"/>
      <c r="F41" s="7"/>
      <c r="G41" s="7"/>
      <c r="H41" s="14"/>
      <c r="I41" s="10"/>
      <c r="J41" s="10"/>
      <c r="K41" s="7"/>
      <c r="L41" s="7"/>
      <c r="M41" s="7"/>
      <c r="N41" s="7"/>
      <c r="O41" s="7"/>
      <c r="P41" s="7"/>
      <c r="Q41" s="7"/>
    </row>
    <row r="42" spans="1:17" ht="14.4" x14ac:dyDescent="0.3">
      <c r="A42" s="7"/>
      <c r="B42" s="7"/>
      <c r="C42" s="7"/>
      <c r="D42" s="7"/>
      <c r="E42" s="7"/>
      <c r="F42" s="7"/>
      <c r="G42" s="7"/>
      <c r="H42" s="14"/>
      <c r="I42" s="10"/>
      <c r="J42" s="10"/>
      <c r="K42" s="7"/>
      <c r="L42" s="7"/>
      <c r="M42" s="7"/>
      <c r="N42" s="7"/>
      <c r="O42" s="7"/>
      <c r="P42" s="7"/>
      <c r="Q42" s="7"/>
    </row>
    <row r="43" spans="1:17" ht="14.4" x14ac:dyDescent="0.3">
      <c r="A43" s="7"/>
      <c r="B43" s="7"/>
      <c r="C43" s="7"/>
      <c r="D43" s="7"/>
      <c r="E43" s="7"/>
      <c r="F43" s="7"/>
      <c r="G43" s="7"/>
      <c r="H43" s="14"/>
      <c r="I43" s="10"/>
      <c r="J43" s="10"/>
      <c r="K43" s="7"/>
      <c r="L43" s="7"/>
      <c r="M43" s="7"/>
      <c r="N43" s="7"/>
      <c r="O43" s="7"/>
      <c r="P43" s="7"/>
      <c r="Q43" s="7"/>
    </row>
    <row r="44" spans="1:17" ht="14.4" x14ac:dyDescent="0.3">
      <c r="A44" s="7"/>
      <c r="B44" s="7"/>
      <c r="C44" s="7"/>
      <c r="D44" s="7"/>
      <c r="E44" s="7"/>
      <c r="F44" s="7"/>
      <c r="G44" s="7"/>
      <c r="H44" s="14"/>
      <c r="I44" s="10"/>
      <c r="J44" s="10"/>
      <c r="K44" s="7"/>
      <c r="L44" s="7"/>
      <c r="M44" s="7"/>
      <c r="N44" s="7"/>
      <c r="O44" s="7"/>
      <c r="P44" s="7"/>
      <c r="Q44" s="7"/>
    </row>
    <row r="45" spans="1:17" ht="14.4" x14ac:dyDescent="0.3">
      <c r="A45" s="7"/>
      <c r="B45" s="7"/>
      <c r="C45" s="7"/>
      <c r="D45" s="7"/>
      <c r="E45" s="7"/>
      <c r="F45" s="7"/>
      <c r="G45" s="7"/>
      <c r="H45" s="14"/>
      <c r="I45" s="10"/>
      <c r="J45" s="10"/>
      <c r="K45" s="7"/>
      <c r="L45" s="7"/>
      <c r="M45" s="7"/>
      <c r="N45" s="7"/>
      <c r="O45" s="7"/>
      <c r="P45" s="7"/>
      <c r="Q45" s="7"/>
    </row>
    <row r="46" spans="1:17" ht="14.4" x14ac:dyDescent="0.3">
      <c r="A46" s="7"/>
      <c r="B46" s="7"/>
      <c r="C46" s="7"/>
      <c r="D46" s="7"/>
      <c r="E46" s="7"/>
      <c r="F46" s="7"/>
      <c r="G46" s="7"/>
      <c r="H46" s="14"/>
      <c r="I46" s="10"/>
      <c r="J46" s="10"/>
      <c r="K46" s="7"/>
      <c r="L46" s="7"/>
      <c r="M46" s="7"/>
      <c r="N46" s="7"/>
      <c r="O46" s="7"/>
      <c r="P46" s="7"/>
      <c r="Q46" s="7"/>
    </row>
    <row r="47" spans="1:17" ht="14.4" x14ac:dyDescent="0.3">
      <c r="A47" s="7"/>
      <c r="B47" s="7"/>
      <c r="C47" s="7"/>
      <c r="D47" s="7"/>
      <c r="E47" s="7"/>
      <c r="F47" s="7"/>
      <c r="G47" s="7"/>
      <c r="H47" s="14"/>
      <c r="I47" s="10"/>
      <c r="J47" s="10"/>
      <c r="K47" s="7"/>
      <c r="L47" s="7"/>
      <c r="M47" s="7"/>
      <c r="N47" s="7"/>
      <c r="O47" s="7"/>
      <c r="P47" s="7"/>
      <c r="Q47" s="7"/>
    </row>
    <row r="48" spans="1:17" ht="14.4" x14ac:dyDescent="0.3">
      <c r="A48" s="7"/>
      <c r="B48" s="7"/>
      <c r="C48" s="7"/>
      <c r="D48" s="7"/>
      <c r="E48" s="7"/>
      <c r="F48" s="7"/>
      <c r="G48" s="7"/>
      <c r="H48" s="14"/>
      <c r="I48" s="10"/>
      <c r="J48" s="10"/>
      <c r="K48" s="7"/>
      <c r="L48" s="7"/>
      <c r="M48" s="7"/>
      <c r="N48" s="7"/>
      <c r="O48" s="7"/>
      <c r="P48" s="7"/>
      <c r="Q48" s="7"/>
    </row>
    <row r="49" spans="1:17" ht="14.4" x14ac:dyDescent="0.3">
      <c r="A49" s="7"/>
      <c r="B49" s="7"/>
      <c r="C49" s="7"/>
      <c r="D49" s="7"/>
      <c r="E49" s="7"/>
      <c r="F49" s="7"/>
      <c r="G49" s="7"/>
      <c r="H49" s="14"/>
      <c r="I49" s="10"/>
      <c r="J49" s="10"/>
      <c r="K49" s="7"/>
      <c r="L49" s="7"/>
      <c r="M49" s="7"/>
      <c r="N49" s="7"/>
      <c r="O49" s="7"/>
      <c r="P49" s="7"/>
      <c r="Q49" s="7"/>
    </row>
    <row r="50" spans="1:17" ht="14.4" x14ac:dyDescent="0.3">
      <c r="A50" s="7"/>
      <c r="B50" s="7"/>
      <c r="C50" s="7"/>
      <c r="D50" s="7"/>
      <c r="E50" s="7"/>
      <c r="F50" s="7"/>
      <c r="G50" s="7"/>
      <c r="H50" s="14"/>
      <c r="I50" s="10"/>
      <c r="J50" s="10"/>
      <c r="K50" s="7"/>
      <c r="L50" s="7"/>
      <c r="M50" s="7"/>
      <c r="N50" s="7"/>
      <c r="O50" s="7"/>
      <c r="P50" s="7"/>
      <c r="Q50" s="7"/>
    </row>
    <row r="51" spans="1:17" ht="14.4" x14ac:dyDescent="0.3">
      <c r="A51" s="7"/>
      <c r="B51" s="7"/>
      <c r="C51" s="7"/>
      <c r="D51" s="7"/>
      <c r="E51" s="7"/>
      <c r="F51" s="7"/>
      <c r="G51" s="7"/>
      <c r="H51" s="14"/>
      <c r="I51" s="10"/>
      <c r="J51" s="10"/>
      <c r="K51" s="7"/>
      <c r="L51" s="7"/>
      <c r="M51" s="7"/>
      <c r="N51" s="7"/>
      <c r="O51" s="7"/>
      <c r="P51" s="7"/>
      <c r="Q51" s="7"/>
    </row>
    <row r="52" spans="1:17" ht="14.4" x14ac:dyDescent="0.3">
      <c r="A52" s="7"/>
      <c r="B52" s="7"/>
      <c r="C52" s="7"/>
      <c r="D52" s="7"/>
      <c r="E52" s="7"/>
      <c r="F52" s="7"/>
      <c r="G52" s="7"/>
      <c r="H52" s="14"/>
      <c r="I52" s="10"/>
      <c r="J52" s="10"/>
      <c r="K52" s="7"/>
      <c r="L52" s="7"/>
      <c r="M52" s="7"/>
      <c r="N52" s="7"/>
      <c r="O52" s="7"/>
      <c r="P52" s="7"/>
      <c r="Q52" s="7"/>
    </row>
    <row r="53" spans="1:17" ht="14.4" x14ac:dyDescent="0.3">
      <c r="A53" s="7"/>
      <c r="B53" s="7"/>
      <c r="C53" s="7"/>
      <c r="D53" s="7"/>
      <c r="E53" s="7"/>
      <c r="F53" s="7"/>
      <c r="G53" s="7"/>
      <c r="H53" s="14"/>
      <c r="I53" s="10"/>
      <c r="J53" s="10"/>
      <c r="K53" s="7"/>
      <c r="L53" s="7"/>
      <c r="M53" s="7"/>
      <c r="N53" s="7"/>
      <c r="O53" s="7"/>
      <c r="P53" s="7"/>
      <c r="Q53" s="7"/>
    </row>
    <row r="54" spans="1:17" ht="14.4" x14ac:dyDescent="0.3">
      <c r="A54" s="7"/>
      <c r="B54" s="7"/>
      <c r="C54" s="7"/>
      <c r="D54" s="7"/>
      <c r="E54" s="7"/>
      <c r="F54" s="7"/>
      <c r="G54" s="7"/>
      <c r="H54" s="14"/>
      <c r="I54" s="10"/>
      <c r="J54" s="10"/>
      <c r="K54" s="7"/>
      <c r="L54" s="7"/>
      <c r="M54" s="7"/>
      <c r="N54" s="7"/>
      <c r="O54" s="7"/>
      <c r="P54" s="7"/>
      <c r="Q54" s="7"/>
    </row>
    <row r="55" spans="1:17" ht="14.4" x14ac:dyDescent="0.3">
      <c r="A55" s="7"/>
      <c r="B55" s="7"/>
      <c r="C55" s="7"/>
      <c r="D55" s="7"/>
      <c r="E55" s="7"/>
      <c r="F55" s="7"/>
      <c r="G55" s="7"/>
      <c r="H55" s="14"/>
      <c r="I55" s="10"/>
      <c r="J55" s="10"/>
      <c r="K55" s="7"/>
      <c r="L55" s="7"/>
      <c r="M55" s="7"/>
      <c r="N55" s="7"/>
      <c r="O55" s="7"/>
      <c r="P55" s="7"/>
      <c r="Q55" s="7"/>
    </row>
    <row r="56" spans="1:17" ht="14.4" x14ac:dyDescent="0.3">
      <c r="A56" s="7"/>
      <c r="B56" s="7"/>
      <c r="C56" s="7"/>
      <c r="D56" s="7"/>
      <c r="E56" s="7"/>
      <c r="F56" s="7"/>
      <c r="G56" s="7"/>
      <c r="H56" s="14"/>
      <c r="I56" s="10"/>
      <c r="J56" s="10"/>
      <c r="K56" s="7"/>
      <c r="L56" s="7"/>
      <c r="M56" s="7"/>
      <c r="N56" s="7"/>
      <c r="O56" s="7"/>
      <c r="P56" s="7"/>
      <c r="Q56" s="7"/>
    </row>
    <row r="57" spans="1:17" ht="14.4" x14ac:dyDescent="0.3">
      <c r="A57" s="7"/>
      <c r="B57" s="7"/>
      <c r="C57" s="7"/>
      <c r="D57" s="7"/>
      <c r="E57" s="7"/>
      <c r="F57" s="7"/>
      <c r="G57" s="7"/>
      <c r="H57" s="14"/>
      <c r="I57" s="10"/>
      <c r="J57" s="10"/>
      <c r="K57" s="7"/>
      <c r="L57" s="7"/>
      <c r="M57" s="7"/>
      <c r="N57" s="7"/>
      <c r="O57" s="7"/>
      <c r="P57" s="7"/>
      <c r="Q57" s="7"/>
    </row>
    <row r="58" spans="1:17" ht="14.4" x14ac:dyDescent="0.3">
      <c r="A58" s="7"/>
      <c r="B58" s="7"/>
      <c r="C58" s="7"/>
      <c r="D58" s="7"/>
      <c r="E58" s="7"/>
      <c r="F58" s="7"/>
      <c r="G58" s="7"/>
      <c r="H58" s="14"/>
      <c r="I58" s="10"/>
      <c r="J58" s="10"/>
      <c r="K58" s="7"/>
      <c r="L58" s="7"/>
      <c r="M58" s="7"/>
      <c r="N58" s="7"/>
      <c r="O58" s="7"/>
      <c r="P58" s="7"/>
      <c r="Q58" s="7"/>
    </row>
    <row r="59" spans="1:17" ht="14.4" x14ac:dyDescent="0.3">
      <c r="A59" s="7"/>
      <c r="B59" s="7"/>
      <c r="C59" s="7"/>
      <c r="D59" s="7"/>
      <c r="E59" s="7"/>
      <c r="F59" s="7"/>
      <c r="G59" s="7"/>
      <c r="H59" s="14"/>
      <c r="I59" s="10"/>
      <c r="J59" s="10"/>
      <c r="K59" s="7"/>
      <c r="L59" s="7"/>
      <c r="M59" s="7"/>
      <c r="N59" s="7"/>
      <c r="O59" s="7"/>
      <c r="P59" s="7"/>
      <c r="Q59" s="7"/>
    </row>
    <row r="60" spans="1:17" ht="14.4" x14ac:dyDescent="0.3">
      <c r="A60" s="7"/>
      <c r="B60" s="7"/>
      <c r="C60" s="7"/>
      <c r="D60" s="7"/>
      <c r="E60" s="7"/>
      <c r="F60" s="7"/>
      <c r="G60" s="7"/>
      <c r="H60" s="14"/>
      <c r="I60" s="10"/>
      <c r="J60" s="10"/>
      <c r="K60" s="7"/>
      <c r="L60" s="7"/>
      <c r="M60" s="7"/>
      <c r="N60" s="7"/>
      <c r="O60" s="7"/>
      <c r="P60" s="7"/>
      <c r="Q60" s="7"/>
    </row>
    <row r="61" spans="1:17" ht="14.4" x14ac:dyDescent="0.3">
      <c r="A61" s="7"/>
      <c r="B61" s="7"/>
      <c r="C61" s="7"/>
      <c r="D61" s="7"/>
      <c r="E61" s="7"/>
      <c r="F61" s="7"/>
      <c r="G61" s="7"/>
      <c r="H61" s="14"/>
      <c r="I61" s="10"/>
      <c r="J61" s="10"/>
      <c r="K61" s="7"/>
      <c r="L61" s="7"/>
      <c r="M61" s="7"/>
      <c r="N61" s="7"/>
      <c r="O61" s="7"/>
      <c r="P61" s="7"/>
      <c r="Q61" s="7"/>
    </row>
    <row r="62" spans="1:17" ht="14.4" x14ac:dyDescent="0.3">
      <c r="A62" s="7"/>
      <c r="B62" s="7"/>
      <c r="C62" s="7"/>
      <c r="D62" s="7"/>
      <c r="E62" s="7"/>
      <c r="F62" s="7"/>
      <c r="G62" s="7"/>
      <c r="H62" s="14"/>
      <c r="I62" s="10"/>
      <c r="J62" s="10"/>
      <c r="K62" s="7"/>
      <c r="L62" s="7"/>
      <c r="M62" s="7"/>
      <c r="N62" s="7"/>
      <c r="O62" s="7"/>
      <c r="P62" s="7"/>
      <c r="Q62" s="7"/>
    </row>
    <row r="63" spans="1:17" ht="14.4" x14ac:dyDescent="0.3">
      <c r="A63" s="7"/>
      <c r="B63" s="7"/>
      <c r="C63" s="7"/>
      <c r="D63" s="7"/>
      <c r="E63" s="7"/>
      <c r="F63" s="7"/>
      <c r="G63" s="7"/>
      <c r="H63" s="14"/>
      <c r="I63" s="10"/>
      <c r="J63" s="10"/>
      <c r="K63" s="7"/>
      <c r="L63" s="7"/>
      <c r="M63" s="7"/>
      <c r="N63" s="7"/>
      <c r="O63" s="7"/>
      <c r="P63" s="7"/>
      <c r="Q63" s="7"/>
    </row>
    <row r="64" spans="1:17" ht="14.4" x14ac:dyDescent="0.3">
      <c r="A64" s="7"/>
      <c r="B64" s="7"/>
      <c r="C64" s="7"/>
      <c r="D64" s="7"/>
      <c r="E64" s="7"/>
      <c r="F64" s="7"/>
      <c r="G64" s="7"/>
      <c r="H64" s="14"/>
      <c r="I64" s="10"/>
      <c r="J64" s="10"/>
      <c r="K64" s="7"/>
      <c r="L64" s="7"/>
      <c r="M64" s="7"/>
      <c r="N64" s="7"/>
      <c r="O64" s="7"/>
      <c r="P64" s="7"/>
      <c r="Q64" s="7"/>
    </row>
    <row r="65" spans="1:17" ht="14.4" x14ac:dyDescent="0.3">
      <c r="A65" s="7"/>
      <c r="B65" s="7"/>
      <c r="C65" s="7"/>
      <c r="D65" s="7"/>
      <c r="E65" s="7"/>
      <c r="F65" s="7"/>
      <c r="G65" s="7"/>
      <c r="H65" s="14"/>
      <c r="I65" s="10"/>
      <c r="J65" s="10"/>
      <c r="K65" s="7"/>
      <c r="L65" s="7"/>
      <c r="M65" s="7"/>
      <c r="N65" s="7"/>
      <c r="O65" s="7"/>
      <c r="P65" s="7"/>
      <c r="Q65" s="7"/>
    </row>
    <row r="66" spans="1:17" ht="14.4" x14ac:dyDescent="0.3">
      <c r="A66" s="7"/>
      <c r="B66" s="7"/>
      <c r="C66" s="7"/>
      <c r="D66" s="7"/>
      <c r="E66" s="7"/>
      <c r="F66" s="7"/>
      <c r="G66" s="7"/>
      <c r="H66" s="14"/>
      <c r="I66" s="10"/>
      <c r="J66" s="10"/>
      <c r="K66" s="7"/>
      <c r="L66" s="7"/>
      <c r="M66" s="7"/>
      <c r="N66" s="7"/>
      <c r="O66" s="7"/>
      <c r="P66" s="7"/>
      <c r="Q66" s="7"/>
    </row>
    <row r="67" spans="1:17" ht="14.4" x14ac:dyDescent="0.3">
      <c r="A67" s="7"/>
      <c r="B67" s="7"/>
      <c r="C67" s="7"/>
      <c r="D67" s="7"/>
      <c r="E67" s="7"/>
      <c r="F67" s="7"/>
      <c r="G67" s="7"/>
      <c r="H67" s="14"/>
      <c r="I67" s="10"/>
      <c r="J67" s="10"/>
      <c r="K67" s="7"/>
      <c r="L67" s="7"/>
      <c r="M67" s="7"/>
      <c r="N67" s="7"/>
      <c r="O67" s="7"/>
      <c r="P67" s="7"/>
      <c r="Q67" s="7"/>
    </row>
    <row r="68" spans="1:17" ht="14.4" x14ac:dyDescent="0.3">
      <c r="A68" s="7"/>
      <c r="B68" s="7"/>
      <c r="C68" s="7"/>
      <c r="D68" s="7"/>
      <c r="E68" s="7"/>
      <c r="F68" s="7"/>
      <c r="G68" s="7"/>
      <c r="H68" s="14"/>
      <c r="I68" s="10"/>
      <c r="J68" s="10"/>
      <c r="K68" s="7"/>
      <c r="L68" s="7"/>
      <c r="M68" s="7"/>
      <c r="N68" s="7"/>
      <c r="O68" s="7"/>
      <c r="P68" s="7"/>
      <c r="Q68" s="7"/>
    </row>
    <row r="69" spans="1:17" ht="14.4" x14ac:dyDescent="0.3">
      <c r="A69" s="7"/>
      <c r="B69" s="7"/>
      <c r="C69" s="7"/>
      <c r="D69" s="7"/>
      <c r="E69" s="7"/>
      <c r="F69" s="7"/>
      <c r="G69" s="7"/>
      <c r="H69" s="14"/>
      <c r="I69" s="10"/>
      <c r="J69" s="10"/>
      <c r="K69" s="7"/>
      <c r="L69" s="7"/>
      <c r="M69" s="7"/>
      <c r="N69" s="7"/>
      <c r="O69" s="7"/>
      <c r="P69" s="7"/>
      <c r="Q69" s="7"/>
    </row>
    <row r="70" spans="1:17" ht="14.4" x14ac:dyDescent="0.3">
      <c r="A70" s="7"/>
      <c r="B70" s="7"/>
      <c r="C70" s="7"/>
      <c r="D70" s="7"/>
      <c r="E70" s="7"/>
      <c r="F70" s="7"/>
      <c r="G70" s="7"/>
      <c r="H70" s="14"/>
      <c r="I70" s="10"/>
      <c r="J70" s="10"/>
      <c r="K70" s="7"/>
      <c r="L70" s="7"/>
      <c r="M70" s="7"/>
      <c r="N70" s="7"/>
      <c r="O70" s="7"/>
      <c r="P70" s="7"/>
      <c r="Q70" s="7"/>
    </row>
    <row r="71" spans="1:17" ht="14.4" x14ac:dyDescent="0.3">
      <c r="A71" s="7"/>
      <c r="B71" s="7"/>
      <c r="C71" s="7"/>
      <c r="D71" s="7"/>
      <c r="E71" s="7"/>
      <c r="F71" s="7"/>
      <c r="G71" s="7"/>
      <c r="H71" s="14"/>
      <c r="I71" s="10"/>
      <c r="J71" s="10"/>
      <c r="K71" s="7"/>
      <c r="L71" s="7"/>
      <c r="M71" s="7"/>
      <c r="N71" s="7"/>
      <c r="O71" s="7"/>
      <c r="P71" s="7"/>
      <c r="Q71" s="7"/>
    </row>
    <row r="72" spans="1:17" ht="14.4" x14ac:dyDescent="0.3">
      <c r="A72" s="7"/>
      <c r="B72" s="7"/>
      <c r="C72" s="7"/>
      <c r="D72" s="7"/>
      <c r="E72" s="7"/>
      <c r="F72" s="7"/>
      <c r="G72" s="7"/>
      <c r="H72" s="14"/>
      <c r="I72" s="10"/>
      <c r="J72" s="10"/>
      <c r="K72" s="7"/>
      <c r="L72" s="7"/>
      <c r="M72" s="7"/>
      <c r="N72" s="7"/>
      <c r="O72" s="7"/>
      <c r="P72" s="7"/>
      <c r="Q72" s="7"/>
    </row>
    <row r="73" spans="1:17" ht="14.4" x14ac:dyDescent="0.3">
      <c r="A73" s="7"/>
      <c r="B73" s="7"/>
      <c r="C73" s="7"/>
      <c r="D73" s="7"/>
      <c r="E73" s="7"/>
      <c r="F73" s="7"/>
      <c r="G73" s="7"/>
      <c r="H73" s="14"/>
      <c r="I73" s="10"/>
      <c r="J73" s="10"/>
      <c r="K73" s="7"/>
      <c r="L73" s="7"/>
      <c r="M73" s="7"/>
      <c r="N73" s="7"/>
      <c r="O73" s="7"/>
      <c r="P73" s="7"/>
      <c r="Q73" s="7"/>
    </row>
    <row r="74" spans="1:17" ht="14.4" x14ac:dyDescent="0.3">
      <c r="A74" s="7"/>
      <c r="B74" s="7"/>
      <c r="C74" s="7"/>
      <c r="D74" s="7"/>
      <c r="E74" s="7"/>
      <c r="F74" s="7"/>
      <c r="G74" s="7"/>
      <c r="H74" s="14"/>
      <c r="I74" s="10"/>
      <c r="J74" s="10"/>
      <c r="K74" s="7"/>
      <c r="L74" s="7"/>
      <c r="M74" s="7"/>
      <c r="N74" s="7"/>
      <c r="O74" s="7"/>
      <c r="P74" s="7"/>
      <c r="Q74" s="7"/>
    </row>
    <row r="75" spans="1:17" ht="14.4" x14ac:dyDescent="0.3">
      <c r="A75" s="7"/>
      <c r="B75" s="7"/>
      <c r="C75" s="7"/>
      <c r="D75" s="7"/>
      <c r="E75" s="7"/>
      <c r="F75" s="7"/>
      <c r="G75" s="7"/>
      <c r="H75" s="14"/>
      <c r="I75" s="10"/>
      <c r="J75" s="10"/>
      <c r="K75" s="7"/>
      <c r="L75" s="7"/>
      <c r="M75" s="7"/>
      <c r="N75" s="7"/>
      <c r="O75" s="7"/>
      <c r="P75" s="7"/>
      <c r="Q75" s="7"/>
    </row>
    <row r="76" spans="1:17" ht="14.4" x14ac:dyDescent="0.3">
      <c r="A76" s="7"/>
      <c r="B76" s="7"/>
      <c r="C76" s="7"/>
      <c r="D76" s="7"/>
      <c r="E76" s="7"/>
      <c r="F76" s="7"/>
      <c r="G76" s="7"/>
      <c r="H76" s="14"/>
      <c r="I76" s="10"/>
      <c r="J76" s="10"/>
      <c r="K76" s="7"/>
      <c r="L76" s="7"/>
      <c r="M76" s="7"/>
      <c r="N76" s="7"/>
      <c r="O76" s="7"/>
      <c r="P76" s="7"/>
      <c r="Q76" s="7"/>
    </row>
    <row r="77" spans="1:17" ht="14.4" x14ac:dyDescent="0.3">
      <c r="A77" s="7"/>
      <c r="B77" s="7"/>
      <c r="C77" s="7"/>
      <c r="D77" s="7"/>
      <c r="E77" s="7"/>
      <c r="F77" s="7"/>
      <c r="G77" s="7"/>
      <c r="H77" s="14"/>
      <c r="I77" s="10"/>
      <c r="J77" s="10"/>
      <c r="K77" s="7"/>
      <c r="L77" s="7"/>
      <c r="M77" s="7"/>
      <c r="N77" s="7"/>
      <c r="O77" s="7"/>
      <c r="P77" s="7"/>
      <c r="Q77" s="7"/>
    </row>
    <row r="78" spans="1:17" ht="14.4" x14ac:dyDescent="0.3">
      <c r="A78" s="7"/>
      <c r="B78" s="7"/>
      <c r="C78" s="7"/>
      <c r="D78" s="7"/>
      <c r="E78" s="7"/>
      <c r="F78" s="7"/>
      <c r="G78" s="7"/>
      <c r="H78" s="14"/>
      <c r="I78" s="10"/>
      <c r="J78" s="10"/>
      <c r="K78" s="7"/>
      <c r="L78" s="7"/>
      <c r="M78" s="7"/>
      <c r="N78" s="7"/>
      <c r="O78" s="7"/>
      <c r="P78" s="7"/>
      <c r="Q78" s="7"/>
    </row>
    <row r="79" spans="1:17" ht="14.4" x14ac:dyDescent="0.3">
      <c r="A79" s="7"/>
      <c r="B79" s="7"/>
      <c r="C79" s="7"/>
      <c r="D79" s="7"/>
      <c r="E79" s="7"/>
      <c r="F79" s="7"/>
      <c r="G79" s="7"/>
      <c r="H79" s="14"/>
      <c r="I79" s="10"/>
      <c r="J79" s="10"/>
      <c r="K79" s="7"/>
      <c r="L79" s="7"/>
      <c r="M79" s="7"/>
      <c r="N79" s="7"/>
      <c r="O79" s="7"/>
      <c r="P79" s="7"/>
      <c r="Q79" s="7"/>
    </row>
    <row r="80" spans="1:17" ht="14.4" x14ac:dyDescent="0.3">
      <c r="A80" s="7"/>
      <c r="B80" s="7"/>
      <c r="C80" s="7"/>
      <c r="D80" s="7"/>
      <c r="E80" s="7"/>
      <c r="F80" s="7"/>
      <c r="G80" s="7"/>
      <c r="H80" s="14"/>
      <c r="I80" s="10"/>
      <c r="J80" s="10"/>
      <c r="K80" s="7"/>
      <c r="L80" s="7"/>
      <c r="M80" s="7"/>
      <c r="N80" s="7"/>
      <c r="O80" s="7"/>
      <c r="P80" s="7"/>
      <c r="Q80" s="7"/>
    </row>
    <row r="81" spans="1:17" ht="14.4" x14ac:dyDescent="0.3">
      <c r="A81" s="7"/>
      <c r="B81" s="7"/>
      <c r="C81" s="7"/>
      <c r="D81" s="7"/>
      <c r="E81" s="7"/>
      <c r="F81" s="7"/>
      <c r="G81" s="7"/>
      <c r="H81" s="14"/>
      <c r="I81" s="10"/>
      <c r="J81" s="10"/>
      <c r="K81" s="7"/>
      <c r="L81" s="7"/>
      <c r="M81" s="7"/>
      <c r="N81" s="7"/>
      <c r="O81" s="7"/>
      <c r="P81" s="7"/>
      <c r="Q81" s="7"/>
    </row>
    <row r="82" spans="1:17" ht="14.4" x14ac:dyDescent="0.3">
      <c r="A82" s="7"/>
      <c r="B82" s="7"/>
      <c r="C82" s="7"/>
      <c r="D82" s="7"/>
      <c r="E82" s="7"/>
      <c r="F82" s="7"/>
      <c r="G82" s="7"/>
      <c r="H82" s="14"/>
      <c r="I82" s="10"/>
      <c r="J82" s="10"/>
      <c r="K82" s="7"/>
      <c r="L82" s="7"/>
      <c r="M82" s="7"/>
      <c r="N82" s="7"/>
      <c r="O82" s="7"/>
      <c r="P82" s="7"/>
      <c r="Q82" s="7"/>
    </row>
    <row r="83" spans="1:17" ht="14.4" x14ac:dyDescent="0.3">
      <c r="A83" s="7"/>
      <c r="B83" s="7"/>
      <c r="C83" s="7"/>
      <c r="D83" s="7"/>
      <c r="E83" s="7"/>
      <c r="F83" s="7"/>
      <c r="G83" s="7"/>
      <c r="H83" s="14"/>
      <c r="I83" s="10"/>
      <c r="J83" s="10"/>
      <c r="K83" s="7"/>
      <c r="L83" s="7"/>
      <c r="M83" s="7"/>
      <c r="N83" s="7"/>
      <c r="O83" s="7"/>
      <c r="P83" s="7"/>
      <c r="Q83" s="7"/>
    </row>
    <row r="84" spans="1:17" ht="14.4" x14ac:dyDescent="0.3">
      <c r="A84" s="7"/>
      <c r="B84" s="7"/>
      <c r="C84" s="7"/>
      <c r="D84" s="7"/>
      <c r="E84" s="7"/>
      <c r="F84" s="7"/>
      <c r="G84" s="7"/>
      <c r="H84" s="14"/>
      <c r="I84" s="10"/>
      <c r="J84" s="10"/>
      <c r="K84" s="7"/>
      <c r="L84" s="7"/>
      <c r="M84" s="7"/>
      <c r="N84" s="7"/>
      <c r="O84" s="7"/>
      <c r="P84" s="7"/>
      <c r="Q84" s="7"/>
    </row>
    <row r="85" spans="1:17" ht="14.4" x14ac:dyDescent="0.3">
      <c r="A85" s="7"/>
      <c r="B85" s="7"/>
      <c r="C85" s="7"/>
      <c r="D85" s="7"/>
      <c r="E85" s="7"/>
      <c r="F85" s="7"/>
      <c r="G85" s="7"/>
      <c r="H85" s="14"/>
      <c r="I85" s="10"/>
      <c r="J85" s="10"/>
      <c r="K85" s="7"/>
      <c r="L85" s="7"/>
      <c r="M85" s="7"/>
      <c r="N85" s="7"/>
      <c r="O85" s="7"/>
      <c r="P85" s="7"/>
      <c r="Q85" s="7"/>
    </row>
    <row r="86" spans="1:17" ht="14.4" x14ac:dyDescent="0.3">
      <c r="A86" s="7"/>
      <c r="B86" s="7"/>
      <c r="C86" s="7"/>
      <c r="D86" s="7"/>
      <c r="E86" s="7"/>
      <c r="F86" s="7"/>
      <c r="G86" s="7"/>
      <c r="H86" s="14"/>
      <c r="I86" s="10"/>
      <c r="J86" s="10"/>
      <c r="K86" s="7"/>
      <c r="L86" s="7"/>
      <c r="M86" s="7"/>
      <c r="N86" s="7"/>
      <c r="O86" s="7"/>
      <c r="P86" s="7"/>
      <c r="Q86" s="7"/>
    </row>
    <row r="87" spans="1:17" ht="14.4" x14ac:dyDescent="0.3">
      <c r="A87" s="7"/>
      <c r="B87" s="7"/>
      <c r="C87" s="7"/>
      <c r="D87" s="7"/>
      <c r="E87" s="7"/>
      <c r="F87" s="7"/>
      <c r="G87" s="7"/>
      <c r="H87" s="14"/>
      <c r="I87" s="10"/>
      <c r="J87" s="10"/>
      <c r="K87" s="7"/>
      <c r="L87" s="7"/>
      <c r="M87" s="7"/>
      <c r="N87" s="7"/>
      <c r="O87" s="7"/>
      <c r="P87" s="7"/>
      <c r="Q87" s="7"/>
    </row>
    <row r="88" spans="1:17" ht="14.4" x14ac:dyDescent="0.3">
      <c r="A88" s="7"/>
      <c r="B88" s="7"/>
      <c r="C88" s="7"/>
      <c r="D88" s="7"/>
      <c r="E88" s="7"/>
      <c r="F88" s="7"/>
      <c r="G88" s="7"/>
      <c r="H88" s="14"/>
      <c r="I88" s="10"/>
      <c r="J88" s="10"/>
      <c r="K88" s="7"/>
      <c r="L88" s="7"/>
      <c r="M88" s="7"/>
      <c r="N88" s="7"/>
      <c r="O88" s="7"/>
      <c r="P88" s="7"/>
      <c r="Q88" s="7"/>
    </row>
    <row r="89" spans="1:17" ht="14.4" x14ac:dyDescent="0.3">
      <c r="A89" s="7"/>
      <c r="B89" s="7"/>
      <c r="C89" s="7"/>
      <c r="D89" s="7"/>
      <c r="E89" s="7"/>
      <c r="F89" s="7"/>
      <c r="G89" s="7"/>
      <c r="H89" s="14"/>
      <c r="I89" s="10"/>
      <c r="J89" s="10"/>
      <c r="K89" s="7"/>
      <c r="L89" s="7"/>
      <c r="M89" s="7"/>
      <c r="N89" s="7"/>
      <c r="O89" s="7"/>
      <c r="P89" s="7"/>
      <c r="Q89" s="7"/>
    </row>
    <row r="90" spans="1:17" ht="14.4" x14ac:dyDescent="0.3">
      <c r="A90" s="7"/>
      <c r="B90" s="7"/>
      <c r="C90" s="7"/>
      <c r="D90" s="7"/>
      <c r="E90" s="7"/>
      <c r="F90" s="7"/>
      <c r="G90" s="7"/>
      <c r="H90" s="14"/>
      <c r="I90" s="10"/>
      <c r="J90" s="10"/>
      <c r="K90" s="7"/>
      <c r="L90" s="7"/>
      <c r="M90" s="7"/>
      <c r="N90" s="7"/>
      <c r="O90" s="7"/>
      <c r="P90" s="7"/>
      <c r="Q90" s="7"/>
    </row>
    <row r="91" spans="1:17" ht="14.4" x14ac:dyDescent="0.3">
      <c r="A91" s="7"/>
      <c r="B91" s="7"/>
      <c r="C91" s="7"/>
      <c r="D91" s="7"/>
      <c r="E91" s="7"/>
      <c r="F91" s="7"/>
      <c r="G91" s="7"/>
      <c r="H91" s="14"/>
      <c r="I91" s="10"/>
      <c r="J91" s="10"/>
      <c r="K91" s="7"/>
      <c r="L91" s="7"/>
      <c r="M91" s="7"/>
      <c r="N91" s="7"/>
      <c r="O91" s="7"/>
      <c r="P91" s="7"/>
      <c r="Q91" s="7"/>
    </row>
    <row r="92" spans="1:17" ht="14.4" x14ac:dyDescent="0.3">
      <c r="A92" s="7"/>
      <c r="B92" s="7"/>
      <c r="C92" s="7"/>
      <c r="D92" s="7"/>
      <c r="E92" s="7"/>
      <c r="F92" s="7"/>
      <c r="G92" s="7"/>
      <c r="H92" s="14"/>
      <c r="I92" s="10"/>
      <c r="J92" s="10"/>
      <c r="K92" s="7"/>
      <c r="L92" s="7"/>
      <c r="M92" s="7"/>
      <c r="N92" s="7"/>
      <c r="O92" s="7"/>
      <c r="P92" s="7"/>
      <c r="Q92" s="7"/>
    </row>
    <row r="93" spans="1:17" ht="14.4" x14ac:dyDescent="0.3">
      <c r="A93" s="7"/>
      <c r="B93" s="7"/>
      <c r="C93" s="7"/>
      <c r="D93" s="7"/>
      <c r="E93" s="7"/>
      <c r="F93" s="7"/>
      <c r="G93" s="7"/>
      <c r="H93" s="14"/>
      <c r="I93" s="10"/>
      <c r="J93" s="10"/>
      <c r="K93" s="7"/>
      <c r="L93" s="7"/>
      <c r="M93" s="7"/>
      <c r="N93" s="7"/>
      <c r="O93" s="7"/>
      <c r="P93" s="7"/>
      <c r="Q93" s="7"/>
    </row>
    <row r="94" spans="1:17" ht="14.4" x14ac:dyDescent="0.3">
      <c r="A94" s="7"/>
      <c r="B94" s="7"/>
      <c r="C94" s="7"/>
      <c r="D94" s="7"/>
      <c r="E94" s="7"/>
      <c r="F94" s="7"/>
      <c r="G94" s="7"/>
      <c r="H94" s="14"/>
      <c r="I94" s="10"/>
      <c r="J94" s="10"/>
      <c r="K94" s="7"/>
      <c r="L94" s="7"/>
      <c r="M94" s="7"/>
      <c r="N94" s="7"/>
      <c r="O94" s="7"/>
      <c r="P94" s="7"/>
      <c r="Q94" s="7"/>
    </row>
    <row r="95" spans="1:17" ht="14.4" x14ac:dyDescent="0.3">
      <c r="A95" s="7"/>
      <c r="B95" s="7"/>
      <c r="C95" s="7"/>
      <c r="D95" s="7"/>
      <c r="E95" s="7"/>
      <c r="F95" s="7"/>
      <c r="G95" s="7"/>
      <c r="H95" s="14"/>
      <c r="I95" s="10"/>
      <c r="J95" s="10"/>
      <c r="K95" s="7"/>
      <c r="L95" s="7"/>
      <c r="M95" s="7"/>
      <c r="N95" s="7"/>
      <c r="O95" s="7"/>
      <c r="P95" s="7"/>
      <c r="Q95" s="7"/>
    </row>
    <row r="96" spans="1:17" ht="14.4" x14ac:dyDescent="0.3">
      <c r="A96" s="7"/>
      <c r="B96" s="7"/>
      <c r="C96" s="7"/>
      <c r="D96" s="7"/>
      <c r="E96" s="7"/>
      <c r="F96" s="7"/>
      <c r="G96" s="7"/>
      <c r="H96" s="14"/>
      <c r="I96" s="10"/>
      <c r="J96" s="10"/>
      <c r="K96" s="7"/>
      <c r="L96" s="7"/>
      <c r="M96" s="7"/>
      <c r="N96" s="7"/>
      <c r="O96" s="7"/>
      <c r="P96" s="7"/>
      <c r="Q96" s="7"/>
    </row>
    <row r="97" spans="1:17" ht="14.4" x14ac:dyDescent="0.3">
      <c r="A97" s="7"/>
      <c r="B97" s="7"/>
      <c r="C97" s="7"/>
      <c r="D97" s="7"/>
      <c r="E97" s="7"/>
      <c r="F97" s="7"/>
      <c r="G97" s="7"/>
      <c r="H97" s="14"/>
      <c r="I97" s="10"/>
      <c r="J97" s="10"/>
      <c r="K97" s="7"/>
      <c r="L97" s="7"/>
      <c r="M97" s="7"/>
      <c r="N97" s="7"/>
      <c r="O97" s="7"/>
      <c r="P97" s="7"/>
      <c r="Q97" s="7"/>
    </row>
    <row r="98" spans="1:17" ht="14.4" x14ac:dyDescent="0.3">
      <c r="A98" s="7"/>
      <c r="B98" s="7"/>
      <c r="C98" s="7"/>
      <c r="D98" s="7"/>
      <c r="E98" s="7"/>
      <c r="F98" s="7"/>
      <c r="G98" s="7"/>
      <c r="H98" s="14"/>
      <c r="I98" s="10"/>
      <c r="J98" s="10"/>
      <c r="K98" s="7"/>
      <c r="L98" s="7"/>
      <c r="M98" s="7"/>
      <c r="N98" s="7"/>
      <c r="O98" s="7"/>
      <c r="P98" s="7"/>
      <c r="Q98" s="7"/>
    </row>
    <row r="99" spans="1:17" ht="14.4" x14ac:dyDescent="0.3">
      <c r="A99" s="7"/>
      <c r="B99" s="7"/>
      <c r="C99" s="7"/>
      <c r="D99" s="7"/>
      <c r="E99" s="7"/>
      <c r="F99" s="7"/>
      <c r="G99" s="7"/>
      <c r="H99" s="14"/>
      <c r="I99" s="10"/>
      <c r="J99" s="10"/>
      <c r="K99" s="7"/>
      <c r="L99" s="7"/>
      <c r="M99" s="7"/>
      <c r="N99" s="7"/>
      <c r="O99" s="7"/>
      <c r="P99" s="7"/>
      <c r="Q99" s="7"/>
    </row>
    <row r="100" spans="1:17" ht="14.4" x14ac:dyDescent="0.3">
      <c r="A100" s="7"/>
      <c r="B100" s="7"/>
      <c r="C100" s="7"/>
      <c r="D100" s="7"/>
      <c r="E100" s="7"/>
      <c r="F100" s="7"/>
      <c r="G100" s="7"/>
      <c r="H100" s="14"/>
      <c r="I100" s="10"/>
      <c r="J100" s="10"/>
      <c r="K100" s="7"/>
      <c r="L100" s="7"/>
      <c r="M100" s="7"/>
      <c r="N100" s="7"/>
      <c r="O100" s="7"/>
      <c r="P100" s="7"/>
      <c r="Q100" s="7"/>
    </row>
    <row r="101" spans="1:17" ht="14.4" x14ac:dyDescent="0.3">
      <c r="A101" s="7"/>
      <c r="B101" s="7"/>
      <c r="C101" s="7"/>
      <c r="D101" s="7"/>
      <c r="E101" s="7"/>
      <c r="F101" s="7"/>
      <c r="G101" s="7"/>
      <c r="H101" s="14"/>
      <c r="I101" s="10"/>
      <c r="J101" s="10"/>
      <c r="K101" s="7"/>
      <c r="L101" s="7"/>
      <c r="M101" s="7"/>
      <c r="N101" s="7"/>
      <c r="O101" s="7"/>
      <c r="P101" s="7"/>
      <c r="Q101" s="7"/>
    </row>
    <row r="102" spans="1:17" ht="14.4" x14ac:dyDescent="0.3">
      <c r="A102" s="7"/>
      <c r="B102" s="7"/>
      <c r="C102" s="7"/>
      <c r="D102" s="7"/>
      <c r="E102" s="7"/>
      <c r="F102" s="7"/>
      <c r="G102" s="7"/>
      <c r="H102" s="14"/>
      <c r="I102" s="10"/>
      <c r="J102" s="10"/>
      <c r="K102" s="7"/>
      <c r="L102" s="7"/>
      <c r="M102" s="7"/>
      <c r="N102" s="7"/>
      <c r="O102" s="7"/>
      <c r="P102" s="7"/>
      <c r="Q102" s="7"/>
    </row>
    <row r="103" spans="1:17" ht="14.4" x14ac:dyDescent="0.3">
      <c r="A103" s="7"/>
      <c r="B103" s="7"/>
      <c r="C103" s="7"/>
      <c r="D103" s="7"/>
      <c r="E103" s="7"/>
      <c r="F103" s="7"/>
      <c r="G103" s="7"/>
      <c r="H103" s="14"/>
      <c r="I103" s="10"/>
      <c r="J103" s="10"/>
      <c r="K103" s="7"/>
      <c r="L103" s="7"/>
      <c r="M103" s="7"/>
      <c r="N103" s="7"/>
      <c r="O103" s="7"/>
      <c r="P103" s="7"/>
      <c r="Q103" s="7"/>
    </row>
    <row r="104" spans="1:17" ht="14.4" x14ac:dyDescent="0.3">
      <c r="A104" s="7"/>
      <c r="B104" s="7"/>
      <c r="C104" s="7"/>
      <c r="D104" s="7"/>
      <c r="E104" s="7"/>
      <c r="F104" s="7"/>
      <c r="G104" s="7"/>
      <c r="H104" s="14"/>
      <c r="I104" s="10"/>
      <c r="J104" s="10"/>
      <c r="K104" s="7"/>
      <c r="L104" s="7"/>
      <c r="M104" s="7"/>
      <c r="N104" s="7"/>
      <c r="O104" s="7"/>
      <c r="P104" s="7"/>
      <c r="Q104" s="7"/>
    </row>
    <row r="105" spans="1:17" ht="14.4" x14ac:dyDescent="0.3">
      <c r="A105" s="7"/>
      <c r="B105" s="7"/>
      <c r="C105" s="7"/>
      <c r="D105" s="7"/>
      <c r="E105" s="7"/>
      <c r="F105" s="7"/>
      <c r="G105" s="7"/>
      <c r="H105" s="14"/>
      <c r="I105" s="10"/>
      <c r="J105" s="10"/>
      <c r="K105" s="7"/>
      <c r="L105" s="7"/>
      <c r="M105" s="7"/>
      <c r="N105" s="7"/>
      <c r="O105" s="7"/>
      <c r="P105" s="7"/>
      <c r="Q105" s="7"/>
    </row>
    <row r="106" spans="1:17" ht="14.4" x14ac:dyDescent="0.3">
      <c r="A106" s="7"/>
      <c r="B106" s="7"/>
      <c r="C106" s="7"/>
      <c r="D106" s="7"/>
      <c r="E106" s="7"/>
      <c r="F106" s="7"/>
      <c r="G106" s="7"/>
      <c r="H106" s="14"/>
      <c r="I106" s="10"/>
      <c r="J106" s="10"/>
      <c r="K106" s="7"/>
      <c r="L106" s="7"/>
      <c r="M106" s="7"/>
      <c r="N106" s="7"/>
      <c r="O106" s="7"/>
      <c r="P106" s="7"/>
      <c r="Q106" s="7"/>
    </row>
    <row r="107" spans="1:17" ht="14.4" x14ac:dyDescent="0.3">
      <c r="A107" s="7"/>
      <c r="B107" s="7"/>
      <c r="C107" s="7"/>
      <c r="D107" s="7"/>
      <c r="E107" s="7"/>
      <c r="F107" s="7"/>
      <c r="G107" s="7"/>
      <c r="H107" s="14"/>
      <c r="I107" s="10"/>
      <c r="J107" s="10"/>
      <c r="K107" s="7"/>
      <c r="L107" s="7"/>
      <c r="M107" s="7"/>
      <c r="N107" s="7"/>
      <c r="O107" s="7"/>
      <c r="P107" s="7"/>
      <c r="Q107" s="7"/>
    </row>
    <row r="108" spans="1:17" ht="14.4" x14ac:dyDescent="0.3">
      <c r="A108" s="7"/>
      <c r="B108" s="7"/>
      <c r="C108" s="7"/>
      <c r="D108" s="7"/>
      <c r="E108" s="7"/>
      <c r="F108" s="7"/>
      <c r="G108" s="7"/>
      <c r="H108" s="14"/>
      <c r="I108" s="10"/>
      <c r="J108" s="10"/>
      <c r="K108" s="7"/>
      <c r="L108" s="7"/>
      <c r="M108" s="7"/>
      <c r="N108" s="7"/>
      <c r="O108" s="7"/>
      <c r="P108" s="7"/>
      <c r="Q108" s="7"/>
    </row>
    <row r="109" spans="1:17" ht="14.4" x14ac:dyDescent="0.3">
      <c r="A109" s="7"/>
      <c r="B109" s="7"/>
      <c r="C109" s="7"/>
      <c r="D109" s="7"/>
      <c r="E109" s="7"/>
      <c r="F109" s="7"/>
      <c r="G109" s="7"/>
      <c r="H109" s="14"/>
      <c r="I109" s="10"/>
      <c r="J109" s="10"/>
      <c r="K109" s="7"/>
      <c r="L109" s="7"/>
      <c r="M109" s="7"/>
      <c r="N109" s="7"/>
      <c r="O109" s="7"/>
      <c r="P109" s="7"/>
      <c r="Q109" s="7"/>
    </row>
    <row r="110" spans="1:17" ht="14.4" x14ac:dyDescent="0.3">
      <c r="A110" s="7"/>
      <c r="B110" s="7"/>
      <c r="C110" s="7"/>
      <c r="D110" s="7"/>
      <c r="E110" s="7"/>
      <c r="F110" s="7"/>
      <c r="G110" s="7"/>
      <c r="H110" s="14"/>
      <c r="I110" s="10"/>
      <c r="J110" s="10"/>
      <c r="K110" s="7"/>
      <c r="L110" s="7"/>
      <c r="M110" s="7"/>
      <c r="N110" s="7"/>
      <c r="O110" s="7"/>
      <c r="P110" s="7"/>
      <c r="Q110" s="7"/>
    </row>
    <row r="111" spans="1:17" ht="14.4" x14ac:dyDescent="0.3">
      <c r="A111" s="7"/>
      <c r="B111" s="7"/>
      <c r="C111" s="7"/>
      <c r="D111" s="7"/>
      <c r="E111" s="7"/>
      <c r="F111" s="7"/>
      <c r="G111" s="7"/>
      <c r="H111" s="14"/>
      <c r="I111" s="10"/>
      <c r="J111" s="10"/>
      <c r="K111" s="7"/>
      <c r="L111" s="7"/>
      <c r="M111" s="7"/>
      <c r="N111" s="7"/>
      <c r="O111" s="7"/>
      <c r="P111" s="7"/>
      <c r="Q111" s="7"/>
    </row>
    <row r="112" spans="1:17" ht="14.4" x14ac:dyDescent="0.3">
      <c r="A112" s="7"/>
      <c r="B112" s="7"/>
      <c r="C112" s="7"/>
      <c r="D112" s="7"/>
      <c r="E112" s="7"/>
      <c r="F112" s="7"/>
      <c r="G112" s="7"/>
      <c r="H112" s="14"/>
      <c r="I112" s="10"/>
      <c r="J112" s="10"/>
      <c r="K112" s="7"/>
      <c r="L112" s="7"/>
      <c r="M112" s="7"/>
      <c r="N112" s="7"/>
      <c r="O112" s="7"/>
      <c r="P112" s="7"/>
      <c r="Q112" s="7"/>
    </row>
    <row r="113" spans="1:17" ht="14.4" x14ac:dyDescent="0.3">
      <c r="A113" s="7"/>
      <c r="B113" s="7"/>
      <c r="C113" s="7"/>
      <c r="D113" s="7"/>
      <c r="E113" s="7"/>
      <c r="F113" s="7"/>
      <c r="G113" s="7"/>
      <c r="H113" s="14"/>
      <c r="I113" s="10"/>
      <c r="J113" s="10"/>
      <c r="K113" s="7"/>
      <c r="L113" s="7"/>
      <c r="M113" s="7"/>
      <c r="N113" s="7"/>
      <c r="O113" s="7"/>
      <c r="P113" s="7"/>
      <c r="Q113" s="7"/>
    </row>
    <row r="114" spans="1:17" ht="14.4" x14ac:dyDescent="0.3">
      <c r="A114" s="7"/>
      <c r="B114" s="7"/>
      <c r="C114" s="7"/>
      <c r="D114" s="7"/>
      <c r="E114" s="7"/>
      <c r="F114" s="7"/>
      <c r="G114" s="7"/>
      <c r="H114" s="14"/>
      <c r="I114" s="10"/>
      <c r="J114" s="10"/>
      <c r="K114" s="7"/>
      <c r="L114" s="7"/>
      <c r="M114" s="7"/>
      <c r="N114" s="7"/>
      <c r="O114" s="7"/>
      <c r="P114" s="7"/>
      <c r="Q114" s="7"/>
    </row>
    <row r="115" spans="1:17" ht="14.4" x14ac:dyDescent="0.3">
      <c r="A115" s="7"/>
      <c r="B115" s="7"/>
      <c r="C115" s="7"/>
      <c r="D115" s="7"/>
      <c r="E115" s="7"/>
      <c r="F115" s="7"/>
      <c r="G115" s="7"/>
      <c r="H115" s="14"/>
      <c r="I115" s="10"/>
      <c r="J115" s="10"/>
      <c r="K115" s="7"/>
      <c r="L115" s="7"/>
      <c r="M115" s="7"/>
      <c r="N115" s="7"/>
      <c r="O115" s="7"/>
      <c r="P115" s="7"/>
      <c r="Q115" s="7"/>
    </row>
    <row r="116" spans="1:17" ht="14.4" x14ac:dyDescent="0.3">
      <c r="A116" s="7"/>
      <c r="B116" s="7"/>
      <c r="C116" s="7"/>
      <c r="D116" s="7"/>
      <c r="E116" s="7"/>
      <c r="F116" s="7"/>
      <c r="G116" s="7"/>
      <c r="H116" s="14"/>
      <c r="I116" s="10"/>
      <c r="J116" s="10"/>
      <c r="K116" s="7"/>
      <c r="L116" s="7"/>
      <c r="M116" s="7"/>
      <c r="N116" s="7"/>
      <c r="O116" s="7"/>
      <c r="P116" s="7"/>
      <c r="Q116" s="7"/>
    </row>
    <row r="117" spans="1:17" ht="14.4" x14ac:dyDescent="0.3">
      <c r="A117" s="7"/>
      <c r="B117" s="7"/>
      <c r="C117" s="7"/>
      <c r="D117" s="7"/>
      <c r="E117" s="7"/>
      <c r="F117" s="7"/>
      <c r="G117" s="7"/>
      <c r="H117" s="14"/>
      <c r="I117" s="10"/>
      <c r="J117" s="10"/>
      <c r="K117" s="7"/>
      <c r="L117" s="7"/>
      <c r="M117" s="7"/>
      <c r="N117" s="7"/>
      <c r="O117" s="7"/>
      <c r="P117" s="7"/>
      <c r="Q117" s="7"/>
    </row>
    <row r="118" spans="1:17" ht="14.4" x14ac:dyDescent="0.3">
      <c r="A118" s="7"/>
      <c r="B118" s="7"/>
      <c r="C118" s="7"/>
      <c r="D118" s="7"/>
      <c r="E118" s="7"/>
      <c r="F118" s="7"/>
      <c r="G118" s="7"/>
      <c r="H118" s="14"/>
      <c r="I118" s="10"/>
      <c r="J118" s="10"/>
      <c r="K118" s="7"/>
      <c r="L118" s="7"/>
      <c r="M118" s="7"/>
      <c r="N118" s="7"/>
      <c r="O118" s="7"/>
      <c r="P118" s="7"/>
      <c r="Q118" s="7"/>
    </row>
    <row r="119" spans="1:17" ht="14.4" x14ac:dyDescent="0.3">
      <c r="A119" s="7"/>
      <c r="B119" s="7"/>
      <c r="C119" s="7"/>
      <c r="D119" s="7"/>
      <c r="E119" s="7"/>
      <c r="F119" s="7"/>
      <c r="G119" s="7"/>
      <c r="H119" s="14"/>
      <c r="I119" s="10"/>
      <c r="J119" s="10"/>
      <c r="K119" s="7"/>
      <c r="L119" s="7"/>
      <c r="M119" s="7"/>
      <c r="N119" s="7"/>
      <c r="O119" s="7"/>
      <c r="P119" s="7"/>
      <c r="Q119" s="7"/>
    </row>
    <row r="120" spans="1:17" ht="14.4" x14ac:dyDescent="0.3">
      <c r="A120" s="7"/>
      <c r="B120" s="7"/>
      <c r="C120" s="7"/>
      <c r="D120" s="7"/>
      <c r="E120" s="7"/>
      <c r="F120" s="7"/>
      <c r="G120" s="7"/>
      <c r="H120" s="14"/>
      <c r="I120" s="10"/>
      <c r="J120" s="10"/>
      <c r="K120" s="7"/>
      <c r="L120" s="7"/>
      <c r="M120" s="7"/>
      <c r="N120" s="7"/>
      <c r="O120" s="7"/>
      <c r="P120" s="7"/>
      <c r="Q120" s="7"/>
    </row>
    <row r="121" spans="1:17" ht="14.4" x14ac:dyDescent="0.3">
      <c r="A121" s="7"/>
      <c r="B121" s="7"/>
      <c r="C121" s="7"/>
      <c r="D121" s="7"/>
      <c r="E121" s="7"/>
      <c r="F121" s="7"/>
      <c r="G121" s="7"/>
      <c r="H121" s="14"/>
      <c r="I121" s="10"/>
      <c r="J121" s="10"/>
      <c r="K121" s="7"/>
      <c r="L121" s="7"/>
      <c r="M121" s="7"/>
      <c r="N121" s="7"/>
      <c r="O121" s="7"/>
      <c r="P121" s="7"/>
      <c r="Q121" s="7"/>
    </row>
  </sheetData>
  <autoFilter ref="A1:Q121" xr:uid="{00000000-0009-0000-0000-000009000000}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="Valeur non autorisée" prompt="Choisir dans la liste" xr:uid="{00000000-0002-0000-0900-000000000000}">
          <x14:formula1>
            <xm:f>Referentiels!$S$4:$S$7</xm:f>
          </x14:formula1>
          <x14:formula2>
            <xm:f>0</xm:f>
          </x14:formula2>
          <xm:sqref>G2:G121</xm:sqref>
        </x14:dataValidation>
        <x14:dataValidation type="list" allowBlank="1" error="Valeur non autorisée" prompt="Choisir dans la liste" xr:uid="{00000000-0002-0000-0900-000001000000}">
          <x14:formula1>
            <xm:f>Referentiels!$AG$4:$AG$7</xm:f>
          </x14:formula1>
          <x14:formula2>
            <xm:f>0</xm:f>
          </x14:formula2>
          <xm:sqref>L2:L121</xm:sqref>
        </x14:dataValidation>
        <x14:dataValidation type="list" allowBlank="1" error="Valeur non autorisée" prompt="Choisir dans la liste" xr:uid="{00000000-0002-0000-0900-000002000000}">
          <x14:formula1>
            <xm:f>Referentiels!$A$4:$A$5</xm:f>
          </x14:formula1>
          <x14:formula2>
            <xm:f>0</xm:f>
          </x14:formula2>
          <xm:sqref>M2:M121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2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3"/>
  <cols>
    <col min="1" max="1" width="14" customWidth="1"/>
    <col min="2" max="2" width="24" customWidth="1"/>
    <col min="3" max="5" width="18" customWidth="1"/>
    <col min="6" max="6" width="16" customWidth="1"/>
    <col min="7" max="8" width="14" customWidth="1"/>
    <col min="9" max="9" width="18" customWidth="1"/>
    <col min="10" max="10" width="16" customWidth="1"/>
    <col min="11" max="11" width="24" customWidth="1"/>
    <col min="12" max="13" width="16" customWidth="1"/>
    <col min="14" max="14" width="14" customWidth="1"/>
    <col min="15" max="15" width="18" customWidth="1"/>
    <col min="16" max="16" width="10" customWidth="1"/>
    <col min="17" max="17" width="28" customWidth="1"/>
    <col min="18" max="18" width="44" customWidth="1"/>
    <col min="19" max="19" width="24" customWidth="1"/>
  </cols>
  <sheetData>
    <row r="1" spans="1:19" ht="27.75" customHeight="1" x14ac:dyDescent="0.3">
      <c r="A1" s="3" t="s">
        <v>4419</v>
      </c>
      <c r="B1" s="3" t="s">
        <v>155</v>
      </c>
      <c r="C1" s="3" t="s">
        <v>4431</v>
      </c>
      <c r="D1" s="3" t="s">
        <v>4438</v>
      </c>
      <c r="E1" s="3" t="s">
        <v>4439</v>
      </c>
      <c r="F1" s="3" t="s">
        <v>4417</v>
      </c>
      <c r="G1" s="3" t="s">
        <v>4418</v>
      </c>
      <c r="H1" s="3" t="s">
        <v>4440</v>
      </c>
      <c r="I1" s="3" t="s">
        <v>4436</v>
      </c>
      <c r="J1" s="3" t="s">
        <v>4437</v>
      </c>
      <c r="K1" s="3" t="s">
        <v>2773</v>
      </c>
      <c r="L1" s="3" t="s">
        <v>2778</v>
      </c>
      <c r="M1" s="3" t="s">
        <v>2779</v>
      </c>
      <c r="N1" s="3" t="s">
        <v>2780</v>
      </c>
      <c r="O1" s="3" t="s">
        <v>4435</v>
      </c>
      <c r="P1" s="3" t="s">
        <v>136</v>
      </c>
      <c r="Q1" s="3" t="s">
        <v>2789</v>
      </c>
      <c r="R1" s="3" t="s">
        <v>2790</v>
      </c>
      <c r="S1" s="3" t="s">
        <v>4383</v>
      </c>
    </row>
    <row r="2" spans="1:19" ht="21.75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0"/>
      <c r="O2" s="7"/>
      <c r="P2" s="7"/>
      <c r="Q2" s="11" t="str">
        <f>IF(A2="","","https://t.me/"&amp;Parametres!$B$4&amp;"?start="&amp;A2)</f>
        <v/>
      </c>
      <c r="R2" s="11" t="str">
        <f t="shared" ref="R2:R33" si="0">IF(A2="","","🏛️ Ville de Saint-Denis"&amp;CHAR(10)&amp;"Service Habitat – Projet MOTK"&amp;CHAR(10)&amp;CHAR(10)&amp;"Activation entreprise :"&amp;CHAR(10)&amp;Q2)</f>
        <v/>
      </c>
      <c r="S2" s="7"/>
    </row>
    <row r="3" spans="1:19" ht="21.75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10"/>
      <c r="O3" s="7"/>
      <c r="P3" s="7"/>
      <c r="Q3" s="11" t="str">
        <f>IF(A3="","","https://t.me/"&amp;Parametres!$B$4&amp;"?start="&amp;A3)</f>
        <v/>
      </c>
      <c r="R3" s="11" t="str">
        <f t="shared" si="0"/>
        <v/>
      </c>
      <c r="S3" s="7"/>
    </row>
    <row r="4" spans="1:19" ht="21.75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0"/>
      <c r="O4" s="7"/>
      <c r="P4" s="7"/>
      <c r="Q4" s="11" t="str">
        <f>IF(A4="","","https://t.me/"&amp;Parametres!$B$4&amp;"?start="&amp;A4)</f>
        <v/>
      </c>
      <c r="R4" s="11" t="str">
        <f t="shared" si="0"/>
        <v/>
      </c>
      <c r="S4" s="7"/>
    </row>
    <row r="5" spans="1:19" ht="21.75" customHeigh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10"/>
      <c r="O5" s="7"/>
      <c r="P5" s="7"/>
      <c r="Q5" s="11" t="str">
        <f>IF(A5="","","https://t.me/"&amp;Parametres!$B$4&amp;"?start="&amp;A5)</f>
        <v/>
      </c>
      <c r="R5" s="11" t="str">
        <f t="shared" si="0"/>
        <v/>
      </c>
      <c r="S5" s="7"/>
    </row>
    <row r="6" spans="1:19" ht="21.75" customHeigh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0"/>
      <c r="O6" s="7"/>
      <c r="P6" s="7"/>
      <c r="Q6" s="11" t="str">
        <f>IF(A6="","","https://t.me/"&amp;Parametres!$B$4&amp;"?start="&amp;A6)</f>
        <v/>
      </c>
      <c r="R6" s="11" t="str">
        <f t="shared" si="0"/>
        <v/>
      </c>
      <c r="S6" s="7"/>
    </row>
    <row r="7" spans="1:19" ht="21.75" customHeigh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10"/>
      <c r="O7" s="7"/>
      <c r="P7" s="7"/>
      <c r="Q7" s="11" t="str">
        <f>IF(A7="","","https://t.me/"&amp;Parametres!$B$4&amp;"?start="&amp;A7)</f>
        <v/>
      </c>
      <c r="R7" s="11" t="str">
        <f t="shared" si="0"/>
        <v/>
      </c>
      <c r="S7" s="7"/>
    </row>
    <row r="8" spans="1:19" ht="21.75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10"/>
      <c r="O8" s="7"/>
      <c r="P8" s="7"/>
      <c r="Q8" s="11" t="str">
        <f>IF(A8="","","https://t.me/"&amp;Parametres!$B$4&amp;"?start="&amp;A8)</f>
        <v/>
      </c>
      <c r="R8" s="11" t="str">
        <f t="shared" si="0"/>
        <v/>
      </c>
      <c r="S8" s="7"/>
    </row>
    <row r="9" spans="1:19" ht="21.7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10"/>
      <c r="O9" s="7"/>
      <c r="P9" s="7"/>
      <c r="Q9" s="11" t="str">
        <f>IF(A9="","","https://t.me/"&amp;Parametres!$B$4&amp;"?start="&amp;A9)</f>
        <v/>
      </c>
      <c r="R9" s="11" t="str">
        <f t="shared" si="0"/>
        <v/>
      </c>
      <c r="S9" s="7"/>
    </row>
    <row r="10" spans="1:19" ht="21.75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10"/>
      <c r="O10" s="7"/>
      <c r="P10" s="7"/>
      <c r="Q10" s="11" t="str">
        <f>IF(A10="","","https://t.me/"&amp;Parametres!$B$4&amp;"?start="&amp;A10)</f>
        <v/>
      </c>
      <c r="R10" s="11" t="str">
        <f t="shared" si="0"/>
        <v/>
      </c>
      <c r="S10" s="7"/>
    </row>
    <row r="11" spans="1:19" ht="21.75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10"/>
      <c r="O11" s="7"/>
      <c r="P11" s="7"/>
      <c r="Q11" s="11" t="str">
        <f>IF(A11="","","https://t.me/"&amp;Parametres!$B$4&amp;"?start="&amp;A11)</f>
        <v/>
      </c>
      <c r="R11" s="11" t="str">
        <f t="shared" si="0"/>
        <v/>
      </c>
      <c r="S11" s="7"/>
    </row>
    <row r="12" spans="1:19" ht="21.75" customHeigh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10"/>
      <c r="O12" s="7"/>
      <c r="P12" s="7"/>
      <c r="Q12" s="11" t="str">
        <f>IF(A12="","","https://t.me/"&amp;Parametres!$B$4&amp;"?start="&amp;A12)</f>
        <v/>
      </c>
      <c r="R12" s="11" t="str">
        <f t="shared" si="0"/>
        <v/>
      </c>
      <c r="S12" s="7"/>
    </row>
    <row r="13" spans="1:19" ht="21.75" customHeight="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10"/>
      <c r="O13" s="7"/>
      <c r="P13" s="7"/>
      <c r="Q13" s="11" t="str">
        <f>IF(A13="","","https://t.me/"&amp;Parametres!$B$4&amp;"?start="&amp;A13)</f>
        <v/>
      </c>
      <c r="R13" s="11" t="str">
        <f t="shared" si="0"/>
        <v/>
      </c>
      <c r="S13" s="7"/>
    </row>
    <row r="14" spans="1:19" ht="21.75" customHeigh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10"/>
      <c r="O14" s="7"/>
      <c r="P14" s="7"/>
      <c r="Q14" s="11" t="str">
        <f>IF(A14="","","https://t.me/"&amp;Parametres!$B$4&amp;"?start="&amp;A14)</f>
        <v/>
      </c>
      <c r="R14" s="11" t="str">
        <f t="shared" si="0"/>
        <v/>
      </c>
      <c r="S14" s="7"/>
    </row>
    <row r="15" spans="1:19" ht="21.75" customHeigh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10"/>
      <c r="O15" s="7"/>
      <c r="P15" s="7"/>
      <c r="Q15" s="11" t="str">
        <f>IF(A15="","","https://t.me/"&amp;Parametres!$B$4&amp;"?start="&amp;A15)</f>
        <v/>
      </c>
      <c r="R15" s="11" t="str">
        <f t="shared" si="0"/>
        <v/>
      </c>
      <c r="S15" s="7"/>
    </row>
    <row r="16" spans="1:19" ht="21.75" customHeigh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10"/>
      <c r="O16" s="7"/>
      <c r="P16" s="7"/>
      <c r="Q16" s="11" t="str">
        <f>IF(A16="","","https://t.me/"&amp;Parametres!$B$4&amp;"?start="&amp;A16)</f>
        <v/>
      </c>
      <c r="R16" s="11" t="str">
        <f t="shared" si="0"/>
        <v/>
      </c>
      <c r="S16" s="7"/>
    </row>
    <row r="17" spans="1:19" ht="21.75" customHeigh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0"/>
      <c r="O17" s="7"/>
      <c r="P17" s="7"/>
      <c r="Q17" s="11" t="str">
        <f>IF(A17="","","https://t.me/"&amp;Parametres!$B$4&amp;"?start="&amp;A17)</f>
        <v/>
      </c>
      <c r="R17" s="11" t="str">
        <f t="shared" si="0"/>
        <v/>
      </c>
      <c r="S17" s="7"/>
    </row>
    <row r="18" spans="1:19" ht="21.75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10"/>
      <c r="O18" s="7"/>
      <c r="P18" s="7"/>
      <c r="Q18" s="11" t="str">
        <f>IF(A18="","","https://t.me/"&amp;Parametres!$B$4&amp;"?start="&amp;A18)</f>
        <v/>
      </c>
      <c r="R18" s="11" t="str">
        <f t="shared" si="0"/>
        <v/>
      </c>
      <c r="S18" s="7"/>
    </row>
    <row r="19" spans="1:19" ht="21.7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10"/>
      <c r="O19" s="7"/>
      <c r="P19" s="7"/>
      <c r="Q19" s="11" t="str">
        <f>IF(A19="","","https://t.me/"&amp;Parametres!$B$4&amp;"?start="&amp;A19)</f>
        <v/>
      </c>
      <c r="R19" s="11" t="str">
        <f t="shared" si="0"/>
        <v/>
      </c>
      <c r="S19" s="7"/>
    </row>
    <row r="20" spans="1:19" ht="21.7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10"/>
      <c r="O20" s="7"/>
      <c r="P20" s="7"/>
      <c r="Q20" s="11" t="str">
        <f>IF(A20="","","https://t.me/"&amp;Parametres!$B$4&amp;"?start="&amp;A20)</f>
        <v/>
      </c>
      <c r="R20" s="11" t="str">
        <f t="shared" si="0"/>
        <v/>
      </c>
      <c r="S20" s="7"/>
    </row>
    <row r="21" spans="1:19" ht="14.4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10"/>
      <c r="O21" s="7"/>
      <c r="P21" s="7"/>
      <c r="Q21" s="11" t="str">
        <f>IF(A21="","","https://t.me/"&amp;Parametres!$B$4&amp;"?start="&amp;A21)</f>
        <v/>
      </c>
      <c r="R21" s="11" t="str">
        <f t="shared" si="0"/>
        <v/>
      </c>
      <c r="S21" s="7"/>
    </row>
    <row r="22" spans="1:19" ht="14.4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10"/>
      <c r="O22" s="7"/>
      <c r="P22" s="7"/>
      <c r="Q22" s="11" t="str">
        <f>IF(A22="","","https://t.me/"&amp;Parametres!$B$4&amp;"?start="&amp;A22)</f>
        <v/>
      </c>
      <c r="R22" s="11" t="str">
        <f t="shared" si="0"/>
        <v/>
      </c>
      <c r="S22" s="7"/>
    </row>
    <row r="23" spans="1:19" ht="14.4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10"/>
      <c r="O23" s="7"/>
      <c r="P23" s="7"/>
      <c r="Q23" s="11" t="str">
        <f>IF(A23="","","https://t.me/"&amp;Parametres!$B$4&amp;"?start="&amp;A23)</f>
        <v/>
      </c>
      <c r="R23" s="11" t="str">
        <f t="shared" si="0"/>
        <v/>
      </c>
      <c r="S23" s="7"/>
    </row>
    <row r="24" spans="1:19" ht="14.4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10"/>
      <c r="O24" s="7"/>
      <c r="P24" s="7"/>
      <c r="Q24" s="11" t="str">
        <f>IF(A24="","","https://t.me/"&amp;Parametres!$B$4&amp;"?start="&amp;A24)</f>
        <v/>
      </c>
      <c r="R24" s="11" t="str">
        <f t="shared" si="0"/>
        <v/>
      </c>
      <c r="S24" s="7"/>
    </row>
    <row r="25" spans="1:19" ht="14.4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10"/>
      <c r="O25" s="7"/>
      <c r="P25" s="7"/>
      <c r="Q25" s="11" t="str">
        <f>IF(A25="","","https://t.me/"&amp;Parametres!$B$4&amp;"?start="&amp;A25)</f>
        <v/>
      </c>
      <c r="R25" s="11" t="str">
        <f t="shared" si="0"/>
        <v/>
      </c>
      <c r="S25" s="7"/>
    </row>
    <row r="26" spans="1:19" ht="14.4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10"/>
      <c r="O26" s="7"/>
      <c r="P26" s="7"/>
      <c r="Q26" s="11" t="str">
        <f>IF(A26="","","https://t.me/"&amp;Parametres!$B$4&amp;"?start="&amp;A26)</f>
        <v/>
      </c>
      <c r="R26" s="11" t="str">
        <f t="shared" si="0"/>
        <v/>
      </c>
      <c r="S26" s="7"/>
    </row>
    <row r="27" spans="1:19" ht="14.4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0"/>
      <c r="O27" s="7"/>
      <c r="P27" s="7"/>
      <c r="Q27" s="11" t="str">
        <f>IF(A27="","","https://t.me/"&amp;Parametres!$B$4&amp;"?start="&amp;A27)</f>
        <v/>
      </c>
      <c r="R27" s="11" t="str">
        <f t="shared" si="0"/>
        <v/>
      </c>
      <c r="S27" s="7"/>
    </row>
    <row r="28" spans="1:19" ht="14.4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10"/>
      <c r="O28" s="7"/>
      <c r="P28" s="7"/>
      <c r="Q28" s="11" t="str">
        <f>IF(A28="","","https://t.me/"&amp;Parametres!$B$4&amp;"?start="&amp;A28)</f>
        <v/>
      </c>
      <c r="R28" s="11" t="str">
        <f t="shared" si="0"/>
        <v/>
      </c>
      <c r="S28" s="7"/>
    </row>
    <row r="29" spans="1:19" ht="14.4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10"/>
      <c r="O29" s="7"/>
      <c r="P29" s="7"/>
      <c r="Q29" s="11" t="str">
        <f>IF(A29="","","https://t.me/"&amp;Parametres!$B$4&amp;"?start="&amp;A29)</f>
        <v/>
      </c>
      <c r="R29" s="11" t="str">
        <f t="shared" si="0"/>
        <v/>
      </c>
      <c r="S29" s="7"/>
    </row>
    <row r="30" spans="1:19" ht="14.4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10"/>
      <c r="O30" s="7"/>
      <c r="P30" s="7"/>
      <c r="Q30" s="11" t="str">
        <f>IF(A30="","","https://t.me/"&amp;Parametres!$B$4&amp;"?start="&amp;A30)</f>
        <v/>
      </c>
      <c r="R30" s="11" t="str">
        <f t="shared" si="0"/>
        <v/>
      </c>
      <c r="S30" s="7"/>
    </row>
    <row r="31" spans="1:19" ht="14.4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10"/>
      <c r="O31" s="7"/>
      <c r="P31" s="7"/>
      <c r="Q31" s="11" t="str">
        <f>IF(A31="","","https://t.me/"&amp;Parametres!$B$4&amp;"?start="&amp;A31)</f>
        <v/>
      </c>
      <c r="R31" s="11" t="str">
        <f t="shared" si="0"/>
        <v/>
      </c>
      <c r="S31" s="7"/>
    </row>
    <row r="32" spans="1:19" ht="14.4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10"/>
      <c r="O32" s="7"/>
      <c r="P32" s="7"/>
      <c r="Q32" s="11" t="str">
        <f>IF(A32="","","https://t.me/"&amp;Parametres!$B$4&amp;"?start="&amp;A32)</f>
        <v/>
      </c>
      <c r="R32" s="11" t="str">
        <f t="shared" si="0"/>
        <v/>
      </c>
      <c r="S32" s="7"/>
    </row>
    <row r="33" spans="1:19" ht="14.4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10"/>
      <c r="O33" s="7"/>
      <c r="P33" s="7"/>
      <c r="Q33" s="11" t="str">
        <f>IF(A33="","","https://t.me/"&amp;Parametres!$B$4&amp;"?start="&amp;A33)</f>
        <v/>
      </c>
      <c r="R33" s="11" t="str">
        <f t="shared" si="0"/>
        <v/>
      </c>
      <c r="S33" s="7"/>
    </row>
    <row r="34" spans="1:19" ht="14.4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10"/>
      <c r="O34" s="7"/>
      <c r="P34" s="7"/>
      <c r="Q34" s="11" t="str">
        <f>IF(A34="","","https://t.me/"&amp;Parametres!$B$4&amp;"?start="&amp;A34)</f>
        <v/>
      </c>
      <c r="R34" s="11" t="str">
        <f t="shared" ref="R34:R65" si="1">IF(A34="","","🏛️ Ville de Saint-Denis"&amp;CHAR(10)&amp;"Service Habitat – Projet MOTK"&amp;CHAR(10)&amp;CHAR(10)&amp;"Activation entreprise :"&amp;CHAR(10)&amp;Q34)</f>
        <v/>
      </c>
      <c r="S34" s="7"/>
    </row>
    <row r="35" spans="1:19" ht="14.4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10"/>
      <c r="O35" s="7"/>
      <c r="P35" s="7"/>
      <c r="Q35" s="11" t="str">
        <f>IF(A35="","","https://t.me/"&amp;Parametres!$B$4&amp;"?start="&amp;A35)</f>
        <v/>
      </c>
      <c r="R35" s="11" t="str">
        <f t="shared" si="1"/>
        <v/>
      </c>
      <c r="S35" s="7"/>
    </row>
    <row r="36" spans="1:19" ht="14.4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10"/>
      <c r="O36" s="7"/>
      <c r="P36" s="7"/>
      <c r="Q36" s="11" t="str">
        <f>IF(A36="","","https://t.me/"&amp;Parametres!$B$4&amp;"?start="&amp;A36)</f>
        <v/>
      </c>
      <c r="R36" s="11" t="str">
        <f t="shared" si="1"/>
        <v/>
      </c>
      <c r="S36" s="7"/>
    </row>
    <row r="37" spans="1:19" ht="14.4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10"/>
      <c r="O37" s="7"/>
      <c r="P37" s="7"/>
      <c r="Q37" s="11" t="str">
        <f>IF(A37="","","https://t.me/"&amp;Parametres!$B$4&amp;"?start="&amp;A37)</f>
        <v/>
      </c>
      <c r="R37" s="11" t="str">
        <f t="shared" si="1"/>
        <v/>
      </c>
      <c r="S37" s="7"/>
    </row>
    <row r="38" spans="1:19" ht="14.4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10"/>
      <c r="O38" s="7"/>
      <c r="P38" s="7"/>
      <c r="Q38" s="11" t="str">
        <f>IF(A38="","","https://t.me/"&amp;Parametres!$B$4&amp;"?start="&amp;A38)</f>
        <v/>
      </c>
      <c r="R38" s="11" t="str">
        <f t="shared" si="1"/>
        <v/>
      </c>
      <c r="S38" s="7"/>
    </row>
    <row r="39" spans="1:19" ht="14.4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10"/>
      <c r="O39" s="7"/>
      <c r="P39" s="7"/>
      <c r="Q39" s="11" t="str">
        <f>IF(A39="","","https://t.me/"&amp;Parametres!$B$4&amp;"?start="&amp;A39)</f>
        <v/>
      </c>
      <c r="R39" s="11" t="str">
        <f t="shared" si="1"/>
        <v/>
      </c>
      <c r="S39" s="7"/>
    </row>
    <row r="40" spans="1:19" ht="14.4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10"/>
      <c r="O40" s="7"/>
      <c r="P40" s="7"/>
      <c r="Q40" s="11" t="str">
        <f>IF(A40="","","https://t.me/"&amp;Parametres!$B$4&amp;"?start="&amp;A40)</f>
        <v/>
      </c>
      <c r="R40" s="11" t="str">
        <f t="shared" si="1"/>
        <v/>
      </c>
      <c r="S40" s="7"/>
    </row>
    <row r="41" spans="1:19" ht="14.4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10"/>
      <c r="O41" s="7"/>
      <c r="P41" s="7"/>
      <c r="Q41" s="11" t="str">
        <f>IF(A41="","","https://t.me/"&amp;Parametres!$B$4&amp;"?start="&amp;A41)</f>
        <v/>
      </c>
      <c r="R41" s="11" t="str">
        <f t="shared" si="1"/>
        <v/>
      </c>
      <c r="S41" s="7"/>
    </row>
    <row r="42" spans="1:19" ht="14.4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10"/>
      <c r="O42" s="7"/>
      <c r="P42" s="7"/>
      <c r="Q42" s="11" t="str">
        <f>IF(A42="","","https://t.me/"&amp;Parametres!$B$4&amp;"?start="&amp;A42)</f>
        <v/>
      </c>
      <c r="R42" s="11" t="str">
        <f t="shared" si="1"/>
        <v/>
      </c>
      <c r="S42" s="7"/>
    </row>
    <row r="43" spans="1:19" ht="14.4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10"/>
      <c r="O43" s="7"/>
      <c r="P43" s="7"/>
      <c r="Q43" s="11" t="str">
        <f>IF(A43="","","https://t.me/"&amp;Parametres!$B$4&amp;"?start="&amp;A43)</f>
        <v/>
      </c>
      <c r="R43" s="11" t="str">
        <f t="shared" si="1"/>
        <v/>
      </c>
      <c r="S43" s="7"/>
    </row>
    <row r="44" spans="1:19" ht="14.4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10"/>
      <c r="O44" s="7"/>
      <c r="P44" s="7"/>
      <c r="Q44" s="11" t="str">
        <f>IF(A44="","","https://t.me/"&amp;Parametres!$B$4&amp;"?start="&amp;A44)</f>
        <v/>
      </c>
      <c r="R44" s="11" t="str">
        <f t="shared" si="1"/>
        <v/>
      </c>
      <c r="S44" s="7"/>
    </row>
    <row r="45" spans="1:19" ht="14.4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10"/>
      <c r="O45" s="7"/>
      <c r="P45" s="7"/>
      <c r="Q45" s="11" t="str">
        <f>IF(A45="","","https://t.me/"&amp;Parametres!$B$4&amp;"?start="&amp;A45)</f>
        <v/>
      </c>
      <c r="R45" s="11" t="str">
        <f t="shared" si="1"/>
        <v/>
      </c>
      <c r="S45" s="7"/>
    </row>
    <row r="46" spans="1:19" ht="14.4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10"/>
      <c r="O46" s="7"/>
      <c r="P46" s="7"/>
      <c r="Q46" s="11" t="str">
        <f>IF(A46="","","https://t.me/"&amp;Parametres!$B$4&amp;"?start="&amp;A46)</f>
        <v/>
      </c>
      <c r="R46" s="11" t="str">
        <f t="shared" si="1"/>
        <v/>
      </c>
      <c r="S46" s="7"/>
    </row>
    <row r="47" spans="1:19" ht="14.4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10"/>
      <c r="O47" s="7"/>
      <c r="P47" s="7"/>
      <c r="Q47" s="11" t="str">
        <f>IF(A47="","","https://t.me/"&amp;Parametres!$B$4&amp;"?start="&amp;A47)</f>
        <v/>
      </c>
      <c r="R47" s="11" t="str">
        <f t="shared" si="1"/>
        <v/>
      </c>
      <c r="S47" s="7"/>
    </row>
    <row r="48" spans="1:19" ht="14.4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10"/>
      <c r="O48" s="7"/>
      <c r="P48" s="7"/>
      <c r="Q48" s="11" t="str">
        <f>IF(A48="","","https://t.me/"&amp;Parametres!$B$4&amp;"?start="&amp;A48)</f>
        <v/>
      </c>
      <c r="R48" s="11" t="str">
        <f t="shared" si="1"/>
        <v/>
      </c>
      <c r="S48" s="7"/>
    </row>
    <row r="49" spans="1:19" ht="14.4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10"/>
      <c r="O49" s="7"/>
      <c r="P49" s="7"/>
      <c r="Q49" s="11" t="str">
        <f>IF(A49="","","https://t.me/"&amp;Parametres!$B$4&amp;"?start="&amp;A49)</f>
        <v/>
      </c>
      <c r="R49" s="11" t="str">
        <f t="shared" si="1"/>
        <v/>
      </c>
      <c r="S49" s="7"/>
    </row>
    <row r="50" spans="1:19" ht="14.4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10"/>
      <c r="O50" s="7"/>
      <c r="P50" s="7"/>
      <c r="Q50" s="11" t="str">
        <f>IF(A50="","","https://t.me/"&amp;Parametres!$B$4&amp;"?start="&amp;A50)</f>
        <v/>
      </c>
      <c r="R50" s="11" t="str">
        <f t="shared" si="1"/>
        <v/>
      </c>
      <c r="S50" s="7"/>
    </row>
    <row r="51" spans="1:19" ht="14.4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10"/>
      <c r="O51" s="7"/>
      <c r="P51" s="7"/>
      <c r="Q51" s="11" t="str">
        <f>IF(A51="","","https://t.me/"&amp;Parametres!$B$4&amp;"?start="&amp;A51)</f>
        <v/>
      </c>
      <c r="R51" s="11" t="str">
        <f t="shared" si="1"/>
        <v/>
      </c>
      <c r="S51" s="7"/>
    </row>
    <row r="52" spans="1:19" ht="14.4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10"/>
      <c r="O52" s="7"/>
      <c r="P52" s="7"/>
      <c r="Q52" s="11" t="str">
        <f>IF(A52="","","https://t.me/"&amp;Parametres!$B$4&amp;"?start="&amp;A52)</f>
        <v/>
      </c>
      <c r="R52" s="11" t="str">
        <f t="shared" si="1"/>
        <v/>
      </c>
      <c r="S52" s="7"/>
    </row>
    <row r="53" spans="1:19" ht="14.4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10"/>
      <c r="O53" s="7"/>
      <c r="P53" s="7"/>
      <c r="Q53" s="11" t="str">
        <f>IF(A53="","","https://t.me/"&amp;Parametres!$B$4&amp;"?start="&amp;A53)</f>
        <v/>
      </c>
      <c r="R53" s="11" t="str">
        <f t="shared" si="1"/>
        <v/>
      </c>
      <c r="S53" s="7"/>
    </row>
    <row r="54" spans="1:19" ht="14.4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10"/>
      <c r="O54" s="7"/>
      <c r="P54" s="7"/>
      <c r="Q54" s="11" t="str">
        <f>IF(A54="","","https://t.me/"&amp;Parametres!$B$4&amp;"?start="&amp;A54)</f>
        <v/>
      </c>
      <c r="R54" s="11" t="str">
        <f t="shared" si="1"/>
        <v/>
      </c>
      <c r="S54" s="7"/>
    </row>
    <row r="55" spans="1:19" ht="14.4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10"/>
      <c r="O55" s="7"/>
      <c r="P55" s="7"/>
      <c r="Q55" s="11" t="str">
        <f>IF(A55="","","https://t.me/"&amp;Parametres!$B$4&amp;"?start="&amp;A55)</f>
        <v/>
      </c>
      <c r="R55" s="11" t="str">
        <f t="shared" si="1"/>
        <v/>
      </c>
      <c r="S55" s="7"/>
    </row>
    <row r="56" spans="1:19" ht="14.4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10"/>
      <c r="O56" s="7"/>
      <c r="P56" s="7"/>
      <c r="Q56" s="11" t="str">
        <f>IF(A56="","","https://t.me/"&amp;Parametres!$B$4&amp;"?start="&amp;A56)</f>
        <v/>
      </c>
      <c r="R56" s="11" t="str">
        <f t="shared" si="1"/>
        <v/>
      </c>
      <c r="S56" s="7"/>
    </row>
    <row r="57" spans="1:19" ht="14.4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10"/>
      <c r="O57" s="7"/>
      <c r="P57" s="7"/>
      <c r="Q57" s="11" t="str">
        <f>IF(A57="","","https://t.me/"&amp;Parametres!$B$4&amp;"?start="&amp;A57)</f>
        <v/>
      </c>
      <c r="R57" s="11" t="str">
        <f t="shared" si="1"/>
        <v/>
      </c>
      <c r="S57" s="7"/>
    </row>
    <row r="58" spans="1:19" ht="14.4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10"/>
      <c r="O58" s="7"/>
      <c r="P58" s="7"/>
      <c r="Q58" s="11" t="str">
        <f>IF(A58="","","https://t.me/"&amp;Parametres!$B$4&amp;"?start="&amp;A58)</f>
        <v/>
      </c>
      <c r="R58" s="11" t="str">
        <f t="shared" si="1"/>
        <v/>
      </c>
      <c r="S58" s="7"/>
    </row>
    <row r="59" spans="1:19" ht="14.4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10"/>
      <c r="O59" s="7"/>
      <c r="P59" s="7"/>
      <c r="Q59" s="11" t="str">
        <f>IF(A59="","","https://t.me/"&amp;Parametres!$B$4&amp;"?start="&amp;A59)</f>
        <v/>
      </c>
      <c r="R59" s="11" t="str">
        <f t="shared" si="1"/>
        <v/>
      </c>
      <c r="S59" s="7"/>
    </row>
    <row r="60" spans="1:19" ht="14.4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10"/>
      <c r="O60" s="7"/>
      <c r="P60" s="7"/>
      <c r="Q60" s="11" t="str">
        <f>IF(A60="","","https://t.me/"&amp;Parametres!$B$4&amp;"?start="&amp;A60)</f>
        <v/>
      </c>
      <c r="R60" s="11" t="str">
        <f t="shared" si="1"/>
        <v/>
      </c>
      <c r="S60" s="7"/>
    </row>
    <row r="61" spans="1:19" ht="14.4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10"/>
      <c r="O61" s="7"/>
      <c r="P61" s="7"/>
      <c r="Q61" s="11" t="str">
        <f>IF(A61="","","https://t.me/"&amp;Parametres!$B$4&amp;"?start="&amp;A61)</f>
        <v/>
      </c>
      <c r="R61" s="11" t="str">
        <f t="shared" si="1"/>
        <v/>
      </c>
      <c r="S61" s="7"/>
    </row>
    <row r="62" spans="1:19" ht="14.4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10"/>
      <c r="O62" s="7"/>
      <c r="P62" s="7"/>
      <c r="Q62" s="11" t="str">
        <f>IF(A62="","","https://t.me/"&amp;Parametres!$B$4&amp;"?start="&amp;A62)</f>
        <v/>
      </c>
      <c r="R62" s="11" t="str">
        <f t="shared" si="1"/>
        <v/>
      </c>
      <c r="S62" s="7"/>
    </row>
    <row r="63" spans="1:19" ht="14.4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10"/>
      <c r="O63" s="7"/>
      <c r="P63" s="7"/>
      <c r="Q63" s="11" t="str">
        <f>IF(A63="","","https://t.me/"&amp;Parametres!$B$4&amp;"?start="&amp;A63)</f>
        <v/>
      </c>
      <c r="R63" s="11" t="str">
        <f t="shared" si="1"/>
        <v/>
      </c>
      <c r="S63" s="7"/>
    </row>
    <row r="64" spans="1:19" ht="14.4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10"/>
      <c r="O64" s="7"/>
      <c r="P64" s="7"/>
      <c r="Q64" s="11" t="str">
        <f>IF(A64="","","https://t.me/"&amp;Parametres!$B$4&amp;"?start="&amp;A64)</f>
        <v/>
      </c>
      <c r="R64" s="11" t="str">
        <f t="shared" si="1"/>
        <v/>
      </c>
      <c r="S64" s="7"/>
    </row>
    <row r="65" spans="1:19" ht="14.4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10"/>
      <c r="O65" s="7"/>
      <c r="P65" s="7"/>
      <c r="Q65" s="11" t="str">
        <f>IF(A65="","","https://t.me/"&amp;Parametres!$B$4&amp;"?start="&amp;A65)</f>
        <v/>
      </c>
      <c r="R65" s="11" t="str">
        <f t="shared" si="1"/>
        <v/>
      </c>
      <c r="S65" s="7"/>
    </row>
    <row r="66" spans="1:19" ht="14.4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10"/>
      <c r="O66" s="7"/>
      <c r="P66" s="7"/>
      <c r="Q66" s="11" t="str">
        <f>IF(A66="","","https://t.me/"&amp;Parametres!$B$4&amp;"?start="&amp;A66)</f>
        <v/>
      </c>
      <c r="R66" s="11" t="str">
        <f t="shared" ref="R66:R97" si="2">IF(A66="","","🏛️ Ville de Saint-Denis"&amp;CHAR(10)&amp;"Service Habitat – Projet MOTK"&amp;CHAR(10)&amp;CHAR(10)&amp;"Activation entreprise :"&amp;CHAR(10)&amp;Q66)</f>
        <v/>
      </c>
      <c r="S66" s="7"/>
    </row>
    <row r="67" spans="1:19" ht="14.4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10"/>
      <c r="O67" s="7"/>
      <c r="P67" s="7"/>
      <c r="Q67" s="11" t="str">
        <f>IF(A67="","","https://t.me/"&amp;Parametres!$B$4&amp;"?start="&amp;A67)</f>
        <v/>
      </c>
      <c r="R67" s="11" t="str">
        <f t="shared" si="2"/>
        <v/>
      </c>
      <c r="S67" s="7"/>
    </row>
    <row r="68" spans="1:19" ht="14.4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10"/>
      <c r="O68" s="7"/>
      <c r="P68" s="7"/>
      <c r="Q68" s="11" t="str">
        <f>IF(A68="","","https://t.me/"&amp;Parametres!$B$4&amp;"?start="&amp;A68)</f>
        <v/>
      </c>
      <c r="R68" s="11" t="str">
        <f t="shared" si="2"/>
        <v/>
      </c>
      <c r="S68" s="7"/>
    </row>
    <row r="69" spans="1:19" ht="14.4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10"/>
      <c r="O69" s="7"/>
      <c r="P69" s="7"/>
      <c r="Q69" s="11" t="str">
        <f>IF(A69="","","https://t.me/"&amp;Parametres!$B$4&amp;"?start="&amp;A69)</f>
        <v/>
      </c>
      <c r="R69" s="11" t="str">
        <f t="shared" si="2"/>
        <v/>
      </c>
      <c r="S69" s="7"/>
    </row>
    <row r="70" spans="1:19" ht="14.4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10"/>
      <c r="O70" s="7"/>
      <c r="P70" s="7"/>
      <c r="Q70" s="11" t="str">
        <f>IF(A70="","","https://t.me/"&amp;Parametres!$B$4&amp;"?start="&amp;A70)</f>
        <v/>
      </c>
      <c r="R70" s="11" t="str">
        <f t="shared" si="2"/>
        <v/>
      </c>
      <c r="S70" s="7"/>
    </row>
    <row r="71" spans="1:19" ht="14.4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10"/>
      <c r="O71" s="7"/>
      <c r="P71" s="7"/>
      <c r="Q71" s="11" t="str">
        <f>IF(A71="","","https://t.me/"&amp;Parametres!$B$4&amp;"?start="&amp;A71)</f>
        <v/>
      </c>
      <c r="R71" s="11" t="str">
        <f t="shared" si="2"/>
        <v/>
      </c>
      <c r="S71" s="7"/>
    </row>
    <row r="72" spans="1:19" ht="14.4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10"/>
      <c r="O72" s="7"/>
      <c r="P72" s="7"/>
      <c r="Q72" s="11" t="str">
        <f>IF(A72="","","https://t.me/"&amp;Parametres!$B$4&amp;"?start="&amp;A72)</f>
        <v/>
      </c>
      <c r="R72" s="11" t="str">
        <f t="shared" si="2"/>
        <v/>
      </c>
      <c r="S72" s="7"/>
    </row>
    <row r="73" spans="1:19" ht="14.4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10"/>
      <c r="O73" s="7"/>
      <c r="P73" s="7"/>
      <c r="Q73" s="11" t="str">
        <f>IF(A73="","","https://t.me/"&amp;Parametres!$B$4&amp;"?start="&amp;A73)</f>
        <v/>
      </c>
      <c r="R73" s="11" t="str">
        <f t="shared" si="2"/>
        <v/>
      </c>
      <c r="S73" s="7"/>
    </row>
    <row r="74" spans="1:19" ht="14.4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10"/>
      <c r="O74" s="7"/>
      <c r="P74" s="7"/>
      <c r="Q74" s="11" t="str">
        <f>IF(A74="","","https://t.me/"&amp;Parametres!$B$4&amp;"?start="&amp;A74)</f>
        <v/>
      </c>
      <c r="R74" s="11" t="str">
        <f t="shared" si="2"/>
        <v/>
      </c>
      <c r="S74" s="7"/>
    </row>
    <row r="75" spans="1:19" ht="14.4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10"/>
      <c r="O75" s="7"/>
      <c r="P75" s="7"/>
      <c r="Q75" s="11" t="str">
        <f>IF(A75="","","https://t.me/"&amp;Parametres!$B$4&amp;"?start="&amp;A75)</f>
        <v/>
      </c>
      <c r="R75" s="11" t="str">
        <f t="shared" si="2"/>
        <v/>
      </c>
      <c r="S75" s="7"/>
    </row>
    <row r="76" spans="1:19" ht="14.4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10"/>
      <c r="O76" s="7"/>
      <c r="P76" s="7"/>
      <c r="Q76" s="11" t="str">
        <f>IF(A76="","","https://t.me/"&amp;Parametres!$B$4&amp;"?start="&amp;A76)</f>
        <v/>
      </c>
      <c r="R76" s="11" t="str">
        <f t="shared" si="2"/>
        <v/>
      </c>
      <c r="S76" s="7"/>
    </row>
    <row r="77" spans="1:19" ht="14.4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10"/>
      <c r="O77" s="7"/>
      <c r="P77" s="7"/>
      <c r="Q77" s="11" t="str">
        <f>IF(A77="","","https://t.me/"&amp;Parametres!$B$4&amp;"?start="&amp;A77)</f>
        <v/>
      </c>
      <c r="R77" s="11" t="str">
        <f t="shared" si="2"/>
        <v/>
      </c>
      <c r="S77" s="7"/>
    </row>
    <row r="78" spans="1:19" ht="14.4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10"/>
      <c r="O78" s="7"/>
      <c r="P78" s="7"/>
      <c r="Q78" s="11" t="str">
        <f>IF(A78="","","https://t.me/"&amp;Parametres!$B$4&amp;"?start="&amp;A78)</f>
        <v/>
      </c>
      <c r="R78" s="11" t="str">
        <f t="shared" si="2"/>
        <v/>
      </c>
      <c r="S78" s="7"/>
    </row>
    <row r="79" spans="1:19" ht="14.4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10"/>
      <c r="O79" s="7"/>
      <c r="P79" s="7"/>
      <c r="Q79" s="11" t="str">
        <f>IF(A79="","","https://t.me/"&amp;Parametres!$B$4&amp;"?start="&amp;A79)</f>
        <v/>
      </c>
      <c r="R79" s="11" t="str">
        <f t="shared" si="2"/>
        <v/>
      </c>
      <c r="S79" s="7"/>
    </row>
    <row r="80" spans="1:19" ht="14.4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10"/>
      <c r="O80" s="7"/>
      <c r="P80" s="7"/>
      <c r="Q80" s="11" t="str">
        <f>IF(A80="","","https://t.me/"&amp;Parametres!$B$4&amp;"?start="&amp;A80)</f>
        <v/>
      </c>
      <c r="R80" s="11" t="str">
        <f t="shared" si="2"/>
        <v/>
      </c>
      <c r="S80" s="7"/>
    </row>
    <row r="81" spans="1:19" ht="14.4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10"/>
      <c r="O81" s="7"/>
      <c r="P81" s="7"/>
      <c r="Q81" s="11" t="str">
        <f>IF(A81="","","https://t.me/"&amp;Parametres!$B$4&amp;"?start="&amp;A81)</f>
        <v/>
      </c>
      <c r="R81" s="11" t="str">
        <f t="shared" si="2"/>
        <v/>
      </c>
      <c r="S81" s="7"/>
    </row>
    <row r="82" spans="1:19" ht="14.4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10"/>
      <c r="O82" s="7"/>
      <c r="P82" s="7"/>
      <c r="Q82" s="11" t="str">
        <f>IF(A82="","","https://t.me/"&amp;Parametres!$B$4&amp;"?start="&amp;A82)</f>
        <v/>
      </c>
      <c r="R82" s="11" t="str">
        <f t="shared" si="2"/>
        <v/>
      </c>
      <c r="S82" s="7"/>
    </row>
    <row r="83" spans="1:19" ht="14.4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10"/>
      <c r="O83" s="7"/>
      <c r="P83" s="7"/>
      <c r="Q83" s="11" t="str">
        <f>IF(A83="","","https://t.me/"&amp;Parametres!$B$4&amp;"?start="&amp;A83)</f>
        <v/>
      </c>
      <c r="R83" s="11" t="str">
        <f t="shared" si="2"/>
        <v/>
      </c>
      <c r="S83" s="7"/>
    </row>
    <row r="84" spans="1:19" ht="14.4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10"/>
      <c r="O84" s="7"/>
      <c r="P84" s="7"/>
      <c r="Q84" s="11" t="str">
        <f>IF(A84="","","https://t.me/"&amp;Parametres!$B$4&amp;"?start="&amp;A84)</f>
        <v/>
      </c>
      <c r="R84" s="11" t="str">
        <f t="shared" si="2"/>
        <v/>
      </c>
      <c r="S84" s="7"/>
    </row>
    <row r="85" spans="1:19" ht="14.4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10"/>
      <c r="O85" s="7"/>
      <c r="P85" s="7"/>
      <c r="Q85" s="11" t="str">
        <f>IF(A85="","","https://t.me/"&amp;Parametres!$B$4&amp;"?start="&amp;A85)</f>
        <v/>
      </c>
      <c r="R85" s="11" t="str">
        <f t="shared" si="2"/>
        <v/>
      </c>
      <c r="S85" s="7"/>
    </row>
    <row r="86" spans="1:19" ht="14.4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10"/>
      <c r="O86" s="7"/>
      <c r="P86" s="7"/>
      <c r="Q86" s="11" t="str">
        <f>IF(A86="","","https://t.me/"&amp;Parametres!$B$4&amp;"?start="&amp;A86)</f>
        <v/>
      </c>
      <c r="R86" s="11" t="str">
        <f t="shared" si="2"/>
        <v/>
      </c>
      <c r="S86" s="7"/>
    </row>
    <row r="87" spans="1:19" ht="14.4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10"/>
      <c r="O87" s="7"/>
      <c r="P87" s="7"/>
      <c r="Q87" s="11" t="str">
        <f>IF(A87="","","https://t.me/"&amp;Parametres!$B$4&amp;"?start="&amp;A87)</f>
        <v/>
      </c>
      <c r="R87" s="11" t="str">
        <f t="shared" si="2"/>
        <v/>
      </c>
      <c r="S87" s="7"/>
    </row>
    <row r="88" spans="1:19" ht="14.4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10"/>
      <c r="O88" s="7"/>
      <c r="P88" s="7"/>
      <c r="Q88" s="11" t="str">
        <f>IF(A88="","","https://t.me/"&amp;Parametres!$B$4&amp;"?start="&amp;A88)</f>
        <v/>
      </c>
      <c r="R88" s="11" t="str">
        <f t="shared" si="2"/>
        <v/>
      </c>
      <c r="S88" s="7"/>
    </row>
    <row r="89" spans="1:19" ht="14.4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10"/>
      <c r="O89" s="7"/>
      <c r="P89" s="7"/>
      <c r="Q89" s="11" t="str">
        <f>IF(A89="","","https://t.me/"&amp;Parametres!$B$4&amp;"?start="&amp;A89)</f>
        <v/>
      </c>
      <c r="R89" s="11" t="str">
        <f t="shared" si="2"/>
        <v/>
      </c>
      <c r="S89" s="7"/>
    </row>
    <row r="90" spans="1:19" ht="14.4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10"/>
      <c r="O90" s="7"/>
      <c r="P90" s="7"/>
      <c r="Q90" s="11" t="str">
        <f>IF(A90="","","https://t.me/"&amp;Parametres!$B$4&amp;"?start="&amp;A90)</f>
        <v/>
      </c>
      <c r="R90" s="11" t="str">
        <f t="shared" si="2"/>
        <v/>
      </c>
      <c r="S90" s="7"/>
    </row>
    <row r="91" spans="1:19" ht="14.4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10"/>
      <c r="O91" s="7"/>
      <c r="P91" s="7"/>
      <c r="Q91" s="11" t="str">
        <f>IF(A91="","","https://t.me/"&amp;Parametres!$B$4&amp;"?start="&amp;A91)</f>
        <v/>
      </c>
      <c r="R91" s="11" t="str">
        <f t="shared" si="2"/>
        <v/>
      </c>
      <c r="S91" s="7"/>
    </row>
    <row r="92" spans="1:19" ht="14.4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10"/>
      <c r="O92" s="7"/>
      <c r="P92" s="7"/>
      <c r="Q92" s="11" t="str">
        <f>IF(A92="","","https://t.me/"&amp;Parametres!$B$4&amp;"?start="&amp;A92)</f>
        <v/>
      </c>
      <c r="R92" s="11" t="str">
        <f t="shared" si="2"/>
        <v/>
      </c>
      <c r="S92" s="7"/>
    </row>
    <row r="93" spans="1:19" ht="14.4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10"/>
      <c r="O93" s="7"/>
      <c r="P93" s="7"/>
      <c r="Q93" s="11" t="str">
        <f>IF(A93="","","https://t.me/"&amp;Parametres!$B$4&amp;"?start="&amp;A93)</f>
        <v/>
      </c>
      <c r="R93" s="11" t="str">
        <f t="shared" si="2"/>
        <v/>
      </c>
      <c r="S93" s="7"/>
    </row>
    <row r="94" spans="1:19" ht="14.4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10"/>
      <c r="O94" s="7"/>
      <c r="P94" s="7"/>
      <c r="Q94" s="11" t="str">
        <f>IF(A94="","","https://t.me/"&amp;Parametres!$B$4&amp;"?start="&amp;A94)</f>
        <v/>
      </c>
      <c r="R94" s="11" t="str">
        <f t="shared" si="2"/>
        <v/>
      </c>
      <c r="S94" s="7"/>
    </row>
    <row r="95" spans="1:19" ht="14.4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10"/>
      <c r="O95" s="7"/>
      <c r="P95" s="7"/>
      <c r="Q95" s="11" t="str">
        <f>IF(A95="","","https://t.me/"&amp;Parametres!$B$4&amp;"?start="&amp;A95)</f>
        <v/>
      </c>
      <c r="R95" s="11" t="str">
        <f t="shared" si="2"/>
        <v/>
      </c>
      <c r="S95" s="7"/>
    </row>
    <row r="96" spans="1:19" ht="14.4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10"/>
      <c r="O96" s="7"/>
      <c r="P96" s="7"/>
      <c r="Q96" s="11" t="str">
        <f>IF(A96="","","https://t.me/"&amp;Parametres!$B$4&amp;"?start="&amp;A96)</f>
        <v/>
      </c>
      <c r="R96" s="11" t="str">
        <f t="shared" si="2"/>
        <v/>
      </c>
      <c r="S96" s="7"/>
    </row>
    <row r="97" spans="1:19" ht="14.4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10"/>
      <c r="O97" s="7"/>
      <c r="P97" s="7"/>
      <c r="Q97" s="11" t="str">
        <f>IF(A97="","","https://t.me/"&amp;Parametres!$B$4&amp;"?start="&amp;A97)</f>
        <v/>
      </c>
      <c r="R97" s="11" t="str">
        <f t="shared" si="2"/>
        <v/>
      </c>
      <c r="S97" s="7"/>
    </row>
    <row r="98" spans="1:19" ht="14.4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10"/>
      <c r="O98" s="7"/>
      <c r="P98" s="7"/>
      <c r="Q98" s="11" t="str">
        <f>IF(A98="","","https://t.me/"&amp;Parametres!$B$4&amp;"?start="&amp;A98)</f>
        <v/>
      </c>
      <c r="R98" s="11" t="str">
        <f t="shared" ref="R98:R121" si="3">IF(A98="","","🏛️ Ville de Saint-Denis"&amp;CHAR(10)&amp;"Service Habitat – Projet MOTK"&amp;CHAR(10)&amp;CHAR(10)&amp;"Activation entreprise :"&amp;CHAR(10)&amp;Q98)</f>
        <v/>
      </c>
      <c r="S98" s="7"/>
    </row>
    <row r="99" spans="1:19" ht="14.4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10"/>
      <c r="O99" s="7"/>
      <c r="P99" s="7"/>
      <c r="Q99" s="11" t="str">
        <f>IF(A99="","","https://t.me/"&amp;Parametres!$B$4&amp;"?start="&amp;A99)</f>
        <v/>
      </c>
      <c r="R99" s="11" t="str">
        <f t="shared" si="3"/>
        <v/>
      </c>
      <c r="S99" s="7"/>
    </row>
    <row r="100" spans="1:19" ht="14.4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10"/>
      <c r="O100" s="7"/>
      <c r="P100" s="7"/>
      <c r="Q100" s="11" t="str">
        <f>IF(A100="","","https://t.me/"&amp;Parametres!$B$4&amp;"?start="&amp;A100)</f>
        <v/>
      </c>
      <c r="R100" s="11" t="str">
        <f t="shared" si="3"/>
        <v/>
      </c>
      <c r="S100" s="7"/>
    </row>
    <row r="101" spans="1:19" ht="14.4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10"/>
      <c r="O101" s="7"/>
      <c r="P101" s="7"/>
      <c r="Q101" s="11" t="str">
        <f>IF(A101="","","https://t.me/"&amp;Parametres!$B$4&amp;"?start="&amp;A101)</f>
        <v/>
      </c>
      <c r="R101" s="11" t="str">
        <f t="shared" si="3"/>
        <v/>
      </c>
      <c r="S101" s="7"/>
    </row>
    <row r="102" spans="1:19" ht="14.4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10"/>
      <c r="O102" s="7"/>
      <c r="P102" s="7"/>
      <c r="Q102" s="11" t="str">
        <f>IF(A102="","","https://t.me/"&amp;Parametres!$B$4&amp;"?start="&amp;A102)</f>
        <v/>
      </c>
      <c r="R102" s="11" t="str">
        <f t="shared" si="3"/>
        <v/>
      </c>
      <c r="S102" s="7"/>
    </row>
    <row r="103" spans="1:19" ht="14.4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10"/>
      <c r="O103" s="7"/>
      <c r="P103" s="7"/>
      <c r="Q103" s="11" t="str">
        <f>IF(A103="","","https://t.me/"&amp;Parametres!$B$4&amp;"?start="&amp;A103)</f>
        <v/>
      </c>
      <c r="R103" s="11" t="str">
        <f t="shared" si="3"/>
        <v/>
      </c>
      <c r="S103" s="7"/>
    </row>
    <row r="104" spans="1:19" ht="14.4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10"/>
      <c r="O104" s="7"/>
      <c r="P104" s="7"/>
      <c r="Q104" s="11" t="str">
        <f>IF(A104="","","https://t.me/"&amp;Parametres!$B$4&amp;"?start="&amp;A104)</f>
        <v/>
      </c>
      <c r="R104" s="11" t="str">
        <f t="shared" si="3"/>
        <v/>
      </c>
      <c r="S104" s="7"/>
    </row>
    <row r="105" spans="1:19" ht="14.4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10"/>
      <c r="O105" s="7"/>
      <c r="P105" s="7"/>
      <c r="Q105" s="11" t="str">
        <f>IF(A105="","","https://t.me/"&amp;Parametres!$B$4&amp;"?start="&amp;A105)</f>
        <v/>
      </c>
      <c r="R105" s="11" t="str">
        <f t="shared" si="3"/>
        <v/>
      </c>
      <c r="S105" s="7"/>
    </row>
    <row r="106" spans="1:19" ht="14.4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10"/>
      <c r="O106" s="7"/>
      <c r="P106" s="7"/>
      <c r="Q106" s="11" t="str">
        <f>IF(A106="","","https://t.me/"&amp;Parametres!$B$4&amp;"?start="&amp;A106)</f>
        <v/>
      </c>
      <c r="R106" s="11" t="str">
        <f t="shared" si="3"/>
        <v/>
      </c>
      <c r="S106" s="7"/>
    </row>
    <row r="107" spans="1:19" ht="14.4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10"/>
      <c r="O107" s="7"/>
      <c r="P107" s="7"/>
      <c r="Q107" s="11" t="str">
        <f>IF(A107="","","https://t.me/"&amp;Parametres!$B$4&amp;"?start="&amp;A107)</f>
        <v/>
      </c>
      <c r="R107" s="11" t="str">
        <f t="shared" si="3"/>
        <v/>
      </c>
      <c r="S107" s="7"/>
    </row>
    <row r="108" spans="1:19" ht="14.4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10"/>
      <c r="O108" s="7"/>
      <c r="P108" s="7"/>
      <c r="Q108" s="11" t="str">
        <f>IF(A108="","","https://t.me/"&amp;Parametres!$B$4&amp;"?start="&amp;A108)</f>
        <v/>
      </c>
      <c r="R108" s="11" t="str">
        <f t="shared" si="3"/>
        <v/>
      </c>
      <c r="S108" s="7"/>
    </row>
    <row r="109" spans="1:19" ht="14.4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10"/>
      <c r="O109" s="7"/>
      <c r="P109" s="7"/>
      <c r="Q109" s="11" t="str">
        <f>IF(A109="","","https://t.me/"&amp;Parametres!$B$4&amp;"?start="&amp;A109)</f>
        <v/>
      </c>
      <c r="R109" s="11" t="str">
        <f t="shared" si="3"/>
        <v/>
      </c>
      <c r="S109" s="7"/>
    </row>
    <row r="110" spans="1:19" ht="14.4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10"/>
      <c r="O110" s="7"/>
      <c r="P110" s="7"/>
      <c r="Q110" s="11" t="str">
        <f>IF(A110="","","https://t.me/"&amp;Parametres!$B$4&amp;"?start="&amp;A110)</f>
        <v/>
      </c>
      <c r="R110" s="11" t="str">
        <f t="shared" si="3"/>
        <v/>
      </c>
      <c r="S110" s="7"/>
    </row>
    <row r="111" spans="1:19" ht="14.4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10"/>
      <c r="O111" s="7"/>
      <c r="P111" s="7"/>
      <c r="Q111" s="11" t="str">
        <f>IF(A111="","","https://t.me/"&amp;Parametres!$B$4&amp;"?start="&amp;A111)</f>
        <v/>
      </c>
      <c r="R111" s="11" t="str">
        <f t="shared" si="3"/>
        <v/>
      </c>
      <c r="S111" s="7"/>
    </row>
    <row r="112" spans="1:19" ht="14.4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10"/>
      <c r="O112" s="7"/>
      <c r="P112" s="7"/>
      <c r="Q112" s="11" t="str">
        <f>IF(A112="","","https://t.me/"&amp;Parametres!$B$4&amp;"?start="&amp;A112)</f>
        <v/>
      </c>
      <c r="R112" s="11" t="str">
        <f t="shared" si="3"/>
        <v/>
      </c>
      <c r="S112" s="7"/>
    </row>
    <row r="113" spans="1:19" ht="14.4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10"/>
      <c r="O113" s="7"/>
      <c r="P113" s="7"/>
      <c r="Q113" s="11" t="str">
        <f>IF(A113="","","https://t.me/"&amp;Parametres!$B$4&amp;"?start="&amp;A113)</f>
        <v/>
      </c>
      <c r="R113" s="11" t="str">
        <f t="shared" si="3"/>
        <v/>
      </c>
      <c r="S113" s="7"/>
    </row>
    <row r="114" spans="1:19" ht="14.4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10"/>
      <c r="O114" s="7"/>
      <c r="P114" s="7"/>
      <c r="Q114" s="11" t="str">
        <f>IF(A114="","","https://t.me/"&amp;Parametres!$B$4&amp;"?start="&amp;A114)</f>
        <v/>
      </c>
      <c r="R114" s="11" t="str">
        <f t="shared" si="3"/>
        <v/>
      </c>
      <c r="S114" s="7"/>
    </row>
    <row r="115" spans="1:19" ht="14.4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10"/>
      <c r="O115" s="7"/>
      <c r="P115" s="7"/>
      <c r="Q115" s="11" t="str">
        <f>IF(A115="","","https://t.me/"&amp;Parametres!$B$4&amp;"?start="&amp;A115)</f>
        <v/>
      </c>
      <c r="R115" s="11" t="str">
        <f t="shared" si="3"/>
        <v/>
      </c>
      <c r="S115" s="7"/>
    </row>
    <row r="116" spans="1:19" ht="14.4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10"/>
      <c r="O116" s="7"/>
      <c r="P116" s="7"/>
      <c r="Q116" s="11" t="str">
        <f>IF(A116="","","https://t.me/"&amp;Parametres!$B$4&amp;"?start="&amp;A116)</f>
        <v/>
      </c>
      <c r="R116" s="11" t="str">
        <f t="shared" si="3"/>
        <v/>
      </c>
      <c r="S116" s="7"/>
    </row>
    <row r="117" spans="1:19" ht="14.4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10"/>
      <c r="O117" s="7"/>
      <c r="P117" s="7"/>
      <c r="Q117" s="11" t="str">
        <f>IF(A117="","","https://t.me/"&amp;Parametres!$B$4&amp;"?start="&amp;A117)</f>
        <v/>
      </c>
      <c r="R117" s="11" t="str">
        <f t="shared" si="3"/>
        <v/>
      </c>
      <c r="S117" s="7"/>
    </row>
    <row r="118" spans="1:19" ht="14.4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10"/>
      <c r="O118" s="7"/>
      <c r="P118" s="7"/>
      <c r="Q118" s="11" t="str">
        <f>IF(A118="","","https://t.me/"&amp;Parametres!$B$4&amp;"?start="&amp;A118)</f>
        <v/>
      </c>
      <c r="R118" s="11" t="str">
        <f t="shared" si="3"/>
        <v/>
      </c>
      <c r="S118" s="7"/>
    </row>
    <row r="119" spans="1:19" ht="14.4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10"/>
      <c r="O119" s="7"/>
      <c r="P119" s="7"/>
      <c r="Q119" s="11" t="str">
        <f>IF(A119="","","https://t.me/"&amp;Parametres!$B$4&amp;"?start="&amp;A119)</f>
        <v/>
      </c>
      <c r="R119" s="11" t="str">
        <f t="shared" si="3"/>
        <v/>
      </c>
      <c r="S119" s="7"/>
    </row>
    <row r="120" spans="1:19" ht="14.4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10"/>
      <c r="O120" s="7"/>
      <c r="P120" s="7"/>
      <c r="Q120" s="11" t="str">
        <f>IF(A120="","","https://t.me/"&amp;Parametres!$B$4&amp;"?start="&amp;A120)</f>
        <v/>
      </c>
      <c r="R120" s="11" t="str">
        <f t="shared" si="3"/>
        <v/>
      </c>
      <c r="S120" s="7"/>
    </row>
    <row r="121" spans="1:19" ht="14.4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10"/>
      <c r="O121" s="7"/>
      <c r="P121" s="7"/>
      <c r="Q121" s="11" t="str">
        <f>IF(A121="","","https://t.me/"&amp;Parametres!$B$4&amp;"?start="&amp;A121)</f>
        <v/>
      </c>
      <c r="R121" s="11" t="str">
        <f t="shared" si="3"/>
        <v/>
      </c>
      <c r="S121" s="7"/>
    </row>
  </sheetData>
  <autoFilter ref="A1:S121" xr:uid="{00000000-0009-0000-0000-00000A000000}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="Valeur non autorisée" prompt="Choisir dans la liste" xr:uid="{00000000-0002-0000-0A00-000000000000}">
          <x14:formula1>
            <xm:f>Referentiels!$A$4:$A$5</xm:f>
          </x14:formula1>
          <x14:formula2>
            <xm:f>0</xm:f>
          </x14:formula2>
          <xm:sqref>O2:P121</xm:sqref>
        </x14:dataValidation>
        <x14:dataValidation type="list" allowBlank="1" error="Valeur non autorisée" prompt="Choisir dans la liste" xr:uid="{00000000-0002-0000-0A00-000001000000}">
          <x14:formula1>
            <xm:f>Referentiels!$AI$4:$AI$7</xm:f>
          </x14:formula1>
          <x14:formula2>
            <xm:f>0</xm:f>
          </x14:formula2>
          <xm:sqref>E2:E121</xm:sqref>
        </x14:dataValidation>
        <x14:dataValidation type="list" allowBlank="1" error="Valeur non autorisée" prompt="Choisir dans la liste" xr:uid="{00000000-0002-0000-0A00-000002000000}">
          <x14:formula1>
            <xm:f>Referentiels!$C$4:$C$7</xm:f>
          </x14:formula1>
          <x14:formula2>
            <xm:f>0</xm:f>
          </x14:formula2>
          <xm:sqref>M2:M121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29"/>
  <sheetViews>
    <sheetView zoomScaleNormal="100" workbookViewId="0">
      <pane ySplit="1" topLeftCell="A6" activePane="bottomLeft" state="frozen"/>
      <selection pane="bottomLeft" activeCell="H1" sqref="H1:H1048576"/>
    </sheetView>
  </sheetViews>
  <sheetFormatPr baseColWidth="10" defaultColWidth="8.6640625" defaultRowHeight="15" customHeight="1" x14ac:dyDescent="0.3"/>
  <cols>
    <col min="1" max="1" width="18" customWidth="1"/>
    <col min="2" max="2" width="14" customWidth="1"/>
    <col min="3" max="3" width="16.33203125" customWidth="1"/>
    <col min="4" max="4" width="36" customWidth="1"/>
    <col min="5" max="5" width="24" customWidth="1"/>
    <col min="6" max="7" width="12" customWidth="1"/>
  </cols>
  <sheetData>
    <row r="1" spans="1:7" ht="27.75" customHeight="1" x14ac:dyDescent="0.3">
      <c r="A1" s="3" t="s">
        <v>5075</v>
      </c>
      <c r="B1" s="3" t="s">
        <v>5060</v>
      </c>
      <c r="C1" s="3" t="s">
        <v>4531</v>
      </c>
      <c r="D1" s="3" t="s">
        <v>5076</v>
      </c>
      <c r="E1" s="3" t="s">
        <v>4442</v>
      </c>
      <c r="F1" s="3" t="s">
        <v>4524</v>
      </c>
      <c r="G1" s="3" t="s">
        <v>4441</v>
      </c>
    </row>
    <row r="2" spans="1:7" ht="15" customHeight="1" x14ac:dyDescent="0.3">
      <c r="B2" s="6" t="s">
        <v>204</v>
      </c>
      <c r="C2" t="s">
        <v>4532</v>
      </c>
    </row>
    <row r="3" spans="1:7" ht="15" customHeight="1" x14ac:dyDescent="0.3">
      <c r="B3" s="6" t="s">
        <v>210</v>
      </c>
      <c r="C3" t="s">
        <v>4533</v>
      </c>
    </row>
    <row r="4" spans="1:7" ht="15" customHeight="1" x14ac:dyDescent="0.3">
      <c r="B4" s="6" t="s">
        <v>216</v>
      </c>
      <c r="C4" t="s">
        <v>4534</v>
      </c>
    </row>
    <row r="5" spans="1:7" ht="15" customHeight="1" x14ac:dyDescent="0.3">
      <c r="B5" s="6" t="s">
        <v>223</v>
      </c>
      <c r="C5" t="s">
        <v>4535</v>
      </c>
    </row>
    <row r="6" spans="1:7" ht="15" customHeight="1" x14ac:dyDescent="0.3">
      <c r="B6" s="6" t="s">
        <v>228</v>
      </c>
      <c r="C6" t="s">
        <v>4536</v>
      </c>
    </row>
    <row r="7" spans="1:7" ht="15" customHeight="1" x14ac:dyDescent="0.3">
      <c r="B7" s="6" t="s">
        <v>233</v>
      </c>
      <c r="C7" t="s">
        <v>4537</v>
      </c>
    </row>
    <row r="8" spans="1:7" ht="15" customHeight="1" x14ac:dyDescent="0.3">
      <c r="B8" s="6" t="s">
        <v>238</v>
      </c>
      <c r="C8" t="s">
        <v>4538</v>
      </c>
    </row>
    <row r="9" spans="1:7" ht="15" customHeight="1" x14ac:dyDescent="0.3">
      <c r="B9" s="6" t="s">
        <v>243</v>
      </c>
      <c r="C9" t="s">
        <v>4539</v>
      </c>
    </row>
    <row r="10" spans="1:7" ht="15" customHeight="1" x14ac:dyDescent="0.3">
      <c r="B10" s="6" t="s">
        <v>249</v>
      </c>
      <c r="C10" t="s">
        <v>4540</v>
      </c>
    </row>
    <row r="11" spans="1:7" ht="15" customHeight="1" x14ac:dyDescent="0.3">
      <c r="B11" s="6" t="s">
        <v>256</v>
      </c>
      <c r="C11" t="s">
        <v>4541</v>
      </c>
    </row>
    <row r="12" spans="1:7" ht="15" customHeight="1" x14ac:dyDescent="0.3">
      <c r="B12" s="6" t="s">
        <v>261</v>
      </c>
      <c r="C12" t="s">
        <v>4542</v>
      </c>
    </row>
    <row r="13" spans="1:7" ht="15" customHeight="1" x14ac:dyDescent="0.3">
      <c r="B13" s="6" t="s">
        <v>269</v>
      </c>
      <c r="C13" t="s">
        <v>4543</v>
      </c>
    </row>
    <row r="14" spans="1:7" ht="15" customHeight="1" x14ac:dyDescent="0.3">
      <c r="B14" s="6" t="s">
        <v>277</v>
      </c>
      <c r="C14" t="s">
        <v>4544</v>
      </c>
    </row>
    <row r="15" spans="1:7" ht="15" customHeight="1" x14ac:dyDescent="0.3">
      <c r="B15" s="6" t="s">
        <v>282</v>
      </c>
      <c r="C15" t="s">
        <v>4545</v>
      </c>
    </row>
    <row r="16" spans="1:7" ht="15" customHeight="1" x14ac:dyDescent="0.3">
      <c r="B16" s="6" t="s">
        <v>287</v>
      </c>
      <c r="C16" t="s">
        <v>4546</v>
      </c>
    </row>
    <row r="17" spans="2:3" ht="15" customHeight="1" x14ac:dyDescent="0.3">
      <c r="B17" s="6" t="s">
        <v>291</v>
      </c>
      <c r="C17" t="s">
        <v>4547</v>
      </c>
    </row>
    <row r="18" spans="2:3" ht="15" customHeight="1" x14ac:dyDescent="0.3">
      <c r="B18" s="6" t="s">
        <v>297</v>
      </c>
      <c r="C18" t="s">
        <v>4548</v>
      </c>
    </row>
    <row r="19" spans="2:3" ht="15" customHeight="1" x14ac:dyDescent="0.3">
      <c r="B19" s="6" t="s">
        <v>303</v>
      </c>
      <c r="C19" t="s">
        <v>4549</v>
      </c>
    </row>
    <row r="20" spans="2:3" ht="15" customHeight="1" x14ac:dyDescent="0.3">
      <c r="B20" s="6" t="s">
        <v>309</v>
      </c>
      <c r="C20" t="s">
        <v>4550</v>
      </c>
    </row>
    <row r="21" spans="2:3" ht="15" customHeight="1" x14ac:dyDescent="0.3">
      <c r="B21" s="6" t="s">
        <v>315</v>
      </c>
      <c r="C21" t="s">
        <v>4551</v>
      </c>
    </row>
    <row r="22" spans="2:3" ht="15" customHeight="1" x14ac:dyDescent="0.3">
      <c r="B22" s="6" t="s">
        <v>321</v>
      </c>
      <c r="C22" t="s">
        <v>4552</v>
      </c>
    </row>
    <row r="23" spans="2:3" ht="15" customHeight="1" x14ac:dyDescent="0.3">
      <c r="B23" s="6" t="s">
        <v>328</v>
      </c>
      <c r="C23" t="s">
        <v>4553</v>
      </c>
    </row>
    <row r="24" spans="2:3" ht="15" customHeight="1" x14ac:dyDescent="0.3">
      <c r="B24" s="6" t="s">
        <v>332</v>
      </c>
      <c r="C24" t="s">
        <v>4554</v>
      </c>
    </row>
    <row r="25" spans="2:3" ht="15" customHeight="1" x14ac:dyDescent="0.3">
      <c r="B25" s="6" t="s">
        <v>338</v>
      </c>
      <c r="C25" t="s">
        <v>4555</v>
      </c>
    </row>
    <row r="26" spans="2:3" ht="15" customHeight="1" x14ac:dyDescent="0.3">
      <c r="B26" s="6" t="s">
        <v>342</v>
      </c>
      <c r="C26" t="s">
        <v>4556</v>
      </c>
    </row>
    <row r="27" spans="2:3" ht="15" customHeight="1" x14ac:dyDescent="0.3">
      <c r="B27" s="6" t="s">
        <v>347</v>
      </c>
      <c r="C27" t="s">
        <v>4557</v>
      </c>
    </row>
    <row r="28" spans="2:3" ht="15" customHeight="1" x14ac:dyDescent="0.3">
      <c r="B28" s="6" t="s">
        <v>354</v>
      </c>
      <c r="C28" t="s">
        <v>4558</v>
      </c>
    </row>
    <row r="29" spans="2:3" ht="15" customHeight="1" x14ac:dyDescent="0.3">
      <c r="B29" s="6" t="s">
        <v>361</v>
      </c>
      <c r="C29" t="s">
        <v>4559</v>
      </c>
    </row>
    <row r="30" spans="2:3" ht="15" customHeight="1" x14ac:dyDescent="0.3">
      <c r="B30" s="6" t="s">
        <v>365</v>
      </c>
      <c r="C30" t="s">
        <v>4560</v>
      </c>
    </row>
    <row r="31" spans="2:3" ht="15" customHeight="1" x14ac:dyDescent="0.3">
      <c r="B31" s="6" t="s">
        <v>370</v>
      </c>
      <c r="C31" t="s">
        <v>4561</v>
      </c>
    </row>
    <row r="32" spans="2:3" ht="15" customHeight="1" x14ac:dyDescent="0.3">
      <c r="B32" s="6" t="s">
        <v>376</v>
      </c>
      <c r="C32" t="s">
        <v>4903</v>
      </c>
    </row>
    <row r="33" spans="2:3" ht="15" customHeight="1" x14ac:dyDescent="0.3">
      <c r="B33" s="6" t="s">
        <v>384</v>
      </c>
      <c r="C33" t="s">
        <v>4904</v>
      </c>
    </row>
    <row r="34" spans="2:3" ht="15" customHeight="1" x14ac:dyDescent="0.3">
      <c r="B34" s="6" t="s">
        <v>390</v>
      </c>
      <c r="C34" t="s">
        <v>4905</v>
      </c>
    </row>
    <row r="35" spans="2:3" ht="15" customHeight="1" x14ac:dyDescent="0.3">
      <c r="B35" s="6" t="s">
        <v>396</v>
      </c>
      <c r="C35" t="s">
        <v>4566</v>
      </c>
    </row>
    <row r="36" spans="2:3" ht="15" customHeight="1" x14ac:dyDescent="0.3">
      <c r="B36" s="6" t="s">
        <v>404</v>
      </c>
      <c r="C36" t="s">
        <v>4567</v>
      </c>
    </row>
    <row r="37" spans="2:3" ht="15" customHeight="1" x14ac:dyDescent="0.3">
      <c r="B37" s="6" t="s">
        <v>409</v>
      </c>
      <c r="C37" t="s">
        <v>4568</v>
      </c>
    </row>
    <row r="38" spans="2:3" ht="15" customHeight="1" x14ac:dyDescent="0.3">
      <c r="B38" s="6" t="s">
        <v>414</v>
      </c>
      <c r="C38" t="s">
        <v>4569</v>
      </c>
    </row>
    <row r="39" spans="2:3" ht="15" customHeight="1" x14ac:dyDescent="0.3">
      <c r="B39" s="6" t="s">
        <v>420</v>
      </c>
      <c r="C39" t="s">
        <v>4570</v>
      </c>
    </row>
    <row r="40" spans="2:3" ht="15" customHeight="1" x14ac:dyDescent="0.3">
      <c r="B40" s="6" t="s">
        <v>426</v>
      </c>
      <c r="C40" t="s">
        <v>4571</v>
      </c>
    </row>
    <row r="41" spans="2:3" ht="15" customHeight="1" x14ac:dyDescent="0.3">
      <c r="B41" s="6" t="s">
        <v>430</v>
      </c>
      <c r="C41" t="s">
        <v>4572</v>
      </c>
    </row>
    <row r="42" spans="2:3" ht="15" customHeight="1" x14ac:dyDescent="0.3">
      <c r="B42" s="6" t="s">
        <v>437</v>
      </c>
      <c r="C42" t="s">
        <v>4573</v>
      </c>
    </row>
    <row r="43" spans="2:3" ht="15" customHeight="1" x14ac:dyDescent="0.3">
      <c r="B43" s="6" t="s">
        <v>442</v>
      </c>
      <c r="C43" t="s">
        <v>4574</v>
      </c>
    </row>
    <row r="44" spans="2:3" ht="15" customHeight="1" x14ac:dyDescent="0.3">
      <c r="B44" s="6" t="s">
        <v>447</v>
      </c>
      <c r="C44" t="s">
        <v>4575</v>
      </c>
    </row>
    <row r="45" spans="2:3" ht="15" customHeight="1" x14ac:dyDescent="0.3">
      <c r="B45" s="6" t="s">
        <v>451</v>
      </c>
      <c r="C45" t="s">
        <v>4576</v>
      </c>
    </row>
    <row r="46" spans="2:3" ht="15" customHeight="1" x14ac:dyDescent="0.3">
      <c r="B46" s="6" t="s">
        <v>456</v>
      </c>
      <c r="C46" t="s">
        <v>4577</v>
      </c>
    </row>
    <row r="47" spans="2:3" ht="15" customHeight="1" x14ac:dyDescent="0.3">
      <c r="B47" s="6" t="s">
        <v>463</v>
      </c>
      <c r="C47" t="s">
        <v>4578</v>
      </c>
    </row>
    <row r="48" spans="2:3" ht="15" customHeight="1" x14ac:dyDescent="0.3">
      <c r="B48" s="6" t="s">
        <v>470</v>
      </c>
      <c r="C48" t="s">
        <v>4579</v>
      </c>
    </row>
    <row r="49" spans="2:3" ht="15" customHeight="1" x14ac:dyDescent="0.3">
      <c r="B49" s="6" t="s">
        <v>475</v>
      </c>
      <c r="C49" t="s">
        <v>4580</v>
      </c>
    </row>
    <row r="50" spans="2:3" ht="15" customHeight="1" x14ac:dyDescent="0.3">
      <c r="B50" s="6" t="s">
        <v>479</v>
      </c>
      <c r="C50" t="s">
        <v>4581</v>
      </c>
    </row>
    <row r="51" spans="2:3" ht="15" customHeight="1" x14ac:dyDescent="0.3">
      <c r="B51" s="6" t="s">
        <v>486</v>
      </c>
      <c r="C51" t="s">
        <v>4582</v>
      </c>
    </row>
    <row r="52" spans="2:3" ht="15" customHeight="1" x14ac:dyDescent="0.3">
      <c r="B52" s="6" t="s">
        <v>491</v>
      </c>
      <c r="C52" t="s">
        <v>4583</v>
      </c>
    </row>
    <row r="53" spans="2:3" ht="15" customHeight="1" x14ac:dyDescent="0.3">
      <c r="B53" s="6" t="s">
        <v>494</v>
      </c>
      <c r="C53" t="s">
        <v>4584</v>
      </c>
    </row>
    <row r="54" spans="2:3" ht="15" customHeight="1" x14ac:dyDescent="0.3">
      <c r="B54" s="6" t="s">
        <v>499</v>
      </c>
      <c r="C54" t="s">
        <v>4585</v>
      </c>
    </row>
    <row r="55" spans="2:3" ht="15" customHeight="1" x14ac:dyDescent="0.3">
      <c r="B55" s="6" t="s">
        <v>503</v>
      </c>
      <c r="C55" t="s">
        <v>4586</v>
      </c>
    </row>
    <row r="56" spans="2:3" ht="15" customHeight="1" x14ac:dyDescent="0.3">
      <c r="B56" s="6" t="s">
        <v>508</v>
      </c>
      <c r="C56" t="s">
        <v>4587</v>
      </c>
    </row>
    <row r="57" spans="2:3" ht="15" customHeight="1" x14ac:dyDescent="0.3">
      <c r="B57" s="6" t="s">
        <v>512</v>
      </c>
      <c r="C57" t="s">
        <v>4588</v>
      </c>
    </row>
    <row r="58" spans="2:3" ht="15" customHeight="1" x14ac:dyDescent="0.3">
      <c r="B58" s="6" t="s">
        <v>516</v>
      </c>
      <c r="C58" t="s">
        <v>4589</v>
      </c>
    </row>
    <row r="59" spans="2:3" ht="15" customHeight="1" x14ac:dyDescent="0.3">
      <c r="B59" s="6" t="s">
        <v>521</v>
      </c>
      <c r="C59" t="s">
        <v>4590</v>
      </c>
    </row>
    <row r="60" spans="2:3" ht="15" customHeight="1" x14ac:dyDescent="0.3">
      <c r="B60" s="6" t="s">
        <v>525</v>
      </c>
      <c r="C60" t="s">
        <v>4591</v>
      </c>
    </row>
    <row r="61" spans="2:3" ht="15" customHeight="1" x14ac:dyDescent="0.3">
      <c r="B61" s="6" t="s">
        <v>531</v>
      </c>
      <c r="C61" t="s">
        <v>4592</v>
      </c>
    </row>
    <row r="62" spans="2:3" ht="15" customHeight="1" x14ac:dyDescent="0.3">
      <c r="B62" s="6" t="s">
        <v>538</v>
      </c>
      <c r="C62" t="s">
        <v>4593</v>
      </c>
    </row>
    <row r="63" spans="2:3" ht="15" customHeight="1" x14ac:dyDescent="0.3">
      <c r="B63" s="6" t="s">
        <v>543</v>
      </c>
      <c r="C63" t="s">
        <v>4594</v>
      </c>
    </row>
    <row r="64" spans="2:3" ht="15" customHeight="1" x14ac:dyDescent="0.3">
      <c r="B64" s="6" t="s">
        <v>549</v>
      </c>
      <c r="C64" t="s">
        <v>4595</v>
      </c>
    </row>
    <row r="65" spans="2:3" ht="15" customHeight="1" x14ac:dyDescent="0.3">
      <c r="B65" s="6" t="s">
        <v>555</v>
      </c>
      <c r="C65" t="s">
        <v>4596</v>
      </c>
    </row>
    <row r="66" spans="2:3" ht="15" customHeight="1" x14ac:dyDescent="0.3">
      <c r="B66" s="6" t="s">
        <v>560</v>
      </c>
      <c r="C66" t="s">
        <v>4597</v>
      </c>
    </row>
    <row r="67" spans="2:3" ht="15" customHeight="1" x14ac:dyDescent="0.3">
      <c r="B67" s="6" t="s">
        <v>565</v>
      </c>
      <c r="C67" t="s">
        <v>4598</v>
      </c>
    </row>
    <row r="68" spans="2:3" ht="15" customHeight="1" x14ac:dyDescent="0.3">
      <c r="B68" s="6" t="s">
        <v>570</v>
      </c>
      <c r="C68" t="s">
        <v>4599</v>
      </c>
    </row>
    <row r="69" spans="2:3" ht="15" customHeight="1" x14ac:dyDescent="0.3">
      <c r="B69" s="6" t="s">
        <v>574</v>
      </c>
      <c r="C69" t="s">
        <v>4600</v>
      </c>
    </row>
    <row r="70" spans="2:3" ht="15" customHeight="1" x14ac:dyDescent="0.3">
      <c r="B70" s="6" t="s">
        <v>579</v>
      </c>
      <c r="C70" t="s">
        <v>4601</v>
      </c>
    </row>
    <row r="71" spans="2:3" ht="15" customHeight="1" x14ac:dyDescent="0.3">
      <c r="B71" s="6" t="s">
        <v>585</v>
      </c>
      <c r="C71" t="s">
        <v>4602</v>
      </c>
    </row>
    <row r="72" spans="2:3" ht="15" customHeight="1" x14ac:dyDescent="0.3">
      <c r="B72" s="6" t="s">
        <v>589</v>
      </c>
      <c r="C72" t="s">
        <v>4603</v>
      </c>
    </row>
    <row r="73" spans="2:3" ht="15" customHeight="1" x14ac:dyDescent="0.3">
      <c r="B73" s="6" t="s">
        <v>594</v>
      </c>
      <c r="C73" t="s">
        <v>4604</v>
      </c>
    </row>
    <row r="74" spans="2:3" ht="15" customHeight="1" x14ac:dyDescent="0.3">
      <c r="B74" s="6" t="s">
        <v>598</v>
      </c>
      <c r="C74" t="s">
        <v>4605</v>
      </c>
    </row>
    <row r="75" spans="2:3" ht="15" customHeight="1" x14ac:dyDescent="0.3">
      <c r="B75" s="6" t="s">
        <v>603</v>
      </c>
      <c r="C75" t="s">
        <v>4606</v>
      </c>
    </row>
    <row r="76" spans="2:3" ht="15" customHeight="1" x14ac:dyDescent="0.3">
      <c r="B76" s="6" t="s">
        <v>609</v>
      </c>
      <c r="C76" t="s">
        <v>4607</v>
      </c>
    </row>
    <row r="77" spans="2:3" ht="15" customHeight="1" x14ac:dyDescent="0.3">
      <c r="B77" s="6" t="s">
        <v>613</v>
      </c>
      <c r="C77" t="s">
        <v>4608</v>
      </c>
    </row>
    <row r="78" spans="2:3" ht="15" customHeight="1" x14ac:dyDescent="0.3">
      <c r="B78" s="6" t="s">
        <v>618</v>
      </c>
      <c r="C78" t="s">
        <v>4609</v>
      </c>
    </row>
    <row r="79" spans="2:3" ht="15" customHeight="1" x14ac:dyDescent="0.3">
      <c r="B79" s="6" t="s">
        <v>623</v>
      </c>
      <c r="C79" t="s">
        <v>4610</v>
      </c>
    </row>
    <row r="80" spans="2:3" ht="15" customHeight="1" x14ac:dyDescent="0.3">
      <c r="B80" s="6" t="s">
        <v>628</v>
      </c>
      <c r="C80" t="s">
        <v>4611</v>
      </c>
    </row>
    <row r="81" spans="2:3" ht="15" customHeight="1" x14ac:dyDescent="0.3">
      <c r="B81" s="6" t="s">
        <v>633</v>
      </c>
      <c r="C81" t="s">
        <v>4612</v>
      </c>
    </row>
    <row r="82" spans="2:3" ht="15" customHeight="1" x14ac:dyDescent="0.3">
      <c r="B82" s="6" t="s">
        <v>640</v>
      </c>
      <c r="C82" t="s">
        <v>4613</v>
      </c>
    </row>
    <row r="83" spans="2:3" ht="15" customHeight="1" x14ac:dyDescent="0.3">
      <c r="B83" s="6" t="s">
        <v>644</v>
      </c>
      <c r="C83" t="s">
        <v>4614</v>
      </c>
    </row>
    <row r="84" spans="2:3" ht="15" customHeight="1" x14ac:dyDescent="0.3">
      <c r="B84" s="6" t="s">
        <v>651</v>
      </c>
      <c r="C84" t="s">
        <v>4615</v>
      </c>
    </row>
    <row r="85" spans="2:3" ht="15" customHeight="1" x14ac:dyDescent="0.3">
      <c r="B85" s="6" t="s">
        <v>656</v>
      </c>
      <c r="C85" t="s">
        <v>4616</v>
      </c>
    </row>
    <row r="86" spans="2:3" ht="15" customHeight="1" x14ac:dyDescent="0.3">
      <c r="B86" s="6" t="s">
        <v>661</v>
      </c>
      <c r="C86" t="s">
        <v>4617</v>
      </c>
    </row>
    <row r="87" spans="2:3" ht="15" customHeight="1" x14ac:dyDescent="0.3">
      <c r="B87" s="6" t="s">
        <v>666</v>
      </c>
      <c r="C87" t="s">
        <v>4618</v>
      </c>
    </row>
    <row r="88" spans="2:3" ht="15" customHeight="1" x14ac:dyDescent="0.3">
      <c r="B88" s="6" t="s">
        <v>674</v>
      </c>
      <c r="C88" t="s">
        <v>4619</v>
      </c>
    </row>
    <row r="89" spans="2:3" ht="15" customHeight="1" x14ac:dyDescent="0.3">
      <c r="B89" s="6" t="s">
        <v>679</v>
      </c>
      <c r="C89" t="s">
        <v>4620</v>
      </c>
    </row>
    <row r="90" spans="2:3" ht="15" customHeight="1" x14ac:dyDescent="0.3">
      <c r="B90" s="6" t="s">
        <v>684</v>
      </c>
      <c r="C90" t="s">
        <v>4621</v>
      </c>
    </row>
    <row r="91" spans="2:3" ht="15" customHeight="1" x14ac:dyDescent="0.3">
      <c r="B91" s="6" t="s">
        <v>690</v>
      </c>
      <c r="C91" t="s">
        <v>4622</v>
      </c>
    </row>
    <row r="92" spans="2:3" ht="15" customHeight="1" x14ac:dyDescent="0.3">
      <c r="B92" s="6" t="s">
        <v>695</v>
      </c>
      <c r="C92" t="s">
        <v>4623</v>
      </c>
    </row>
    <row r="93" spans="2:3" ht="15" customHeight="1" x14ac:dyDescent="0.3">
      <c r="B93" s="6" t="s">
        <v>701</v>
      </c>
      <c r="C93" t="s">
        <v>4624</v>
      </c>
    </row>
    <row r="94" spans="2:3" ht="15" customHeight="1" x14ac:dyDescent="0.3">
      <c r="B94" s="6" t="s">
        <v>704</v>
      </c>
      <c r="C94" t="s">
        <v>4625</v>
      </c>
    </row>
    <row r="95" spans="2:3" ht="15" customHeight="1" x14ac:dyDescent="0.3">
      <c r="B95" s="6" t="s">
        <v>710</v>
      </c>
      <c r="C95" t="s">
        <v>4626</v>
      </c>
    </row>
    <row r="96" spans="2:3" ht="15" customHeight="1" x14ac:dyDescent="0.3">
      <c r="B96" s="6" t="s">
        <v>715</v>
      </c>
      <c r="C96" t="s">
        <v>4627</v>
      </c>
    </row>
    <row r="97" spans="2:3" ht="15" customHeight="1" x14ac:dyDescent="0.3">
      <c r="B97" s="6" t="s">
        <v>718</v>
      </c>
      <c r="C97" t="s">
        <v>4628</v>
      </c>
    </row>
    <row r="98" spans="2:3" ht="15" customHeight="1" x14ac:dyDescent="0.3">
      <c r="B98" s="6" t="s">
        <v>724</v>
      </c>
      <c r="C98" t="s">
        <v>4629</v>
      </c>
    </row>
    <row r="99" spans="2:3" ht="15" customHeight="1" x14ac:dyDescent="0.3">
      <c r="B99" s="6" t="s">
        <v>730</v>
      </c>
      <c r="C99" t="s">
        <v>4630</v>
      </c>
    </row>
    <row r="100" spans="2:3" ht="15" customHeight="1" x14ac:dyDescent="0.3">
      <c r="B100" s="6" t="s">
        <v>735</v>
      </c>
      <c r="C100" t="s">
        <v>4631</v>
      </c>
    </row>
    <row r="101" spans="2:3" ht="15" customHeight="1" x14ac:dyDescent="0.3">
      <c r="B101" s="6" t="s">
        <v>740</v>
      </c>
      <c r="C101" t="s">
        <v>4632</v>
      </c>
    </row>
    <row r="102" spans="2:3" ht="15" customHeight="1" x14ac:dyDescent="0.3">
      <c r="B102" s="6" t="s">
        <v>745</v>
      </c>
      <c r="C102" t="s">
        <v>4633</v>
      </c>
    </row>
    <row r="103" spans="2:3" ht="15" customHeight="1" x14ac:dyDescent="0.3">
      <c r="B103" s="6" t="s">
        <v>751</v>
      </c>
      <c r="C103" t="s">
        <v>4634</v>
      </c>
    </row>
    <row r="104" spans="2:3" ht="15" customHeight="1" x14ac:dyDescent="0.3">
      <c r="B104" s="6" t="s">
        <v>756</v>
      </c>
      <c r="C104" t="s">
        <v>4635</v>
      </c>
    </row>
    <row r="105" spans="2:3" ht="15" customHeight="1" x14ac:dyDescent="0.3">
      <c r="B105" s="6" t="s">
        <v>761</v>
      </c>
      <c r="C105" t="s">
        <v>4636</v>
      </c>
    </row>
    <row r="106" spans="2:3" ht="15" customHeight="1" x14ac:dyDescent="0.3">
      <c r="B106" s="6" t="s">
        <v>766</v>
      </c>
      <c r="C106" t="s">
        <v>4637</v>
      </c>
    </row>
    <row r="107" spans="2:3" ht="15" customHeight="1" x14ac:dyDescent="0.3">
      <c r="B107" s="6" t="s">
        <v>769</v>
      </c>
      <c r="C107" t="s">
        <v>4638</v>
      </c>
    </row>
    <row r="108" spans="2:3" ht="15" customHeight="1" x14ac:dyDescent="0.3">
      <c r="B108" s="6" t="s">
        <v>774</v>
      </c>
      <c r="C108" t="s">
        <v>4639</v>
      </c>
    </row>
    <row r="109" spans="2:3" ht="15" customHeight="1" x14ac:dyDescent="0.3">
      <c r="B109" s="6" t="s">
        <v>778</v>
      </c>
      <c r="C109" t="s">
        <v>4640</v>
      </c>
    </row>
    <row r="110" spans="2:3" ht="15" customHeight="1" x14ac:dyDescent="0.3">
      <c r="B110" s="6" t="s">
        <v>783</v>
      </c>
      <c r="C110" t="s">
        <v>4641</v>
      </c>
    </row>
    <row r="111" spans="2:3" ht="15" customHeight="1" x14ac:dyDescent="0.3">
      <c r="B111" s="6" t="s">
        <v>787</v>
      </c>
      <c r="C111" t="s">
        <v>4642</v>
      </c>
    </row>
    <row r="112" spans="2:3" ht="15" customHeight="1" x14ac:dyDescent="0.3">
      <c r="B112" s="6" t="s">
        <v>791</v>
      </c>
      <c r="C112" t="s">
        <v>4643</v>
      </c>
    </row>
    <row r="113" spans="2:3" ht="15" customHeight="1" x14ac:dyDescent="0.3">
      <c r="B113" s="6" t="s">
        <v>798</v>
      </c>
      <c r="C113" t="s">
        <v>4644</v>
      </c>
    </row>
    <row r="114" spans="2:3" ht="15" customHeight="1" x14ac:dyDescent="0.3">
      <c r="B114" s="6" t="s">
        <v>805</v>
      </c>
      <c r="C114" t="s">
        <v>4645</v>
      </c>
    </row>
    <row r="115" spans="2:3" ht="15" customHeight="1" x14ac:dyDescent="0.3">
      <c r="B115" s="6" t="s">
        <v>810</v>
      </c>
      <c r="C115" t="s">
        <v>4646</v>
      </c>
    </row>
    <row r="116" spans="2:3" ht="15" customHeight="1" x14ac:dyDescent="0.3">
      <c r="B116" s="6" t="s">
        <v>815</v>
      </c>
      <c r="C116" t="s">
        <v>4647</v>
      </c>
    </row>
    <row r="117" spans="2:3" ht="15" customHeight="1" x14ac:dyDescent="0.3">
      <c r="B117" s="6" t="s">
        <v>820</v>
      </c>
      <c r="C117" t="s">
        <v>4648</v>
      </c>
    </row>
    <row r="118" spans="2:3" ht="15" customHeight="1" x14ac:dyDescent="0.3">
      <c r="B118" s="6" t="s">
        <v>824</v>
      </c>
      <c r="C118" t="s">
        <v>4649</v>
      </c>
    </row>
    <row r="119" spans="2:3" ht="15" customHeight="1" x14ac:dyDescent="0.3">
      <c r="B119" s="6" t="s">
        <v>828</v>
      </c>
      <c r="C119" t="s">
        <v>4650</v>
      </c>
    </row>
    <row r="120" spans="2:3" ht="15" customHeight="1" x14ac:dyDescent="0.3">
      <c r="B120" s="6" t="s">
        <v>833</v>
      </c>
      <c r="C120" t="s">
        <v>4651</v>
      </c>
    </row>
    <row r="121" spans="2:3" ht="15" customHeight="1" x14ac:dyDescent="0.3">
      <c r="B121" s="6" t="s">
        <v>839</v>
      </c>
      <c r="C121" t="s">
        <v>4652</v>
      </c>
    </row>
    <row r="122" spans="2:3" ht="15" customHeight="1" x14ac:dyDescent="0.3">
      <c r="B122" s="6" t="s">
        <v>843</v>
      </c>
      <c r="C122" t="s">
        <v>4653</v>
      </c>
    </row>
    <row r="123" spans="2:3" ht="15" customHeight="1" x14ac:dyDescent="0.3">
      <c r="B123" s="6" t="s">
        <v>848</v>
      </c>
      <c r="C123" t="s">
        <v>4654</v>
      </c>
    </row>
    <row r="124" spans="2:3" ht="15" customHeight="1" x14ac:dyDescent="0.3">
      <c r="B124" s="6" t="s">
        <v>854</v>
      </c>
      <c r="C124" t="s">
        <v>4655</v>
      </c>
    </row>
    <row r="125" spans="2:3" ht="15" customHeight="1" x14ac:dyDescent="0.3">
      <c r="B125" s="6" t="s">
        <v>859</v>
      </c>
      <c r="C125" t="s">
        <v>4656</v>
      </c>
    </row>
    <row r="126" spans="2:3" ht="15" customHeight="1" x14ac:dyDescent="0.3">
      <c r="B126" s="6" t="s">
        <v>862</v>
      </c>
      <c r="C126" t="s">
        <v>4657</v>
      </c>
    </row>
    <row r="127" spans="2:3" ht="15" customHeight="1" x14ac:dyDescent="0.3">
      <c r="B127" s="6" t="s">
        <v>869</v>
      </c>
      <c r="C127" t="s">
        <v>4658</v>
      </c>
    </row>
    <row r="128" spans="2:3" ht="15" customHeight="1" x14ac:dyDescent="0.3">
      <c r="B128" s="6" t="s">
        <v>872</v>
      </c>
      <c r="C128" t="s">
        <v>4659</v>
      </c>
    </row>
    <row r="129" spans="2:3" ht="15" customHeight="1" x14ac:dyDescent="0.3">
      <c r="B129" s="6" t="s">
        <v>878</v>
      </c>
      <c r="C129" t="s">
        <v>4660</v>
      </c>
    </row>
    <row r="130" spans="2:3" ht="15" customHeight="1" x14ac:dyDescent="0.3">
      <c r="B130" s="6" t="s">
        <v>882</v>
      </c>
      <c r="C130" t="s">
        <v>4661</v>
      </c>
    </row>
    <row r="131" spans="2:3" ht="15" customHeight="1" x14ac:dyDescent="0.3">
      <c r="B131" s="6" t="s">
        <v>888</v>
      </c>
      <c r="C131" t="s">
        <v>4662</v>
      </c>
    </row>
    <row r="132" spans="2:3" ht="15" customHeight="1" x14ac:dyDescent="0.3">
      <c r="B132" s="6" t="s">
        <v>894</v>
      </c>
      <c r="C132" t="s">
        <v>4663</v>
      </c>
    </row>
    <row r="133" spans="2:3" ht="15" customHeight="1" x14ac:dyDescent="0.3">
      <c r="B133" s="6" t="s">
        <v>898</v>
      </c>
      <c r="C133" t="s">
        <v>4664</v>
      </c>
    </row>
    <row r="134" spans="2:3" ht="15" customHeight="1" x14ac:dyDescent="0.3">
      <c r="B134" s="6" t="s">
        <v>904</v>
      </c>
      <c r="C134" t="s">
        <v>4665</v>
      </c>
    </row>
    <row r="135" spans="2:3" ht="15" customHeight="1" x14ac:dyDescent="0.3">
      <c r="B135" s="6" t="s">
        <v>909</v>
      </c>
      <c r="C135" t="s">
        <v>4666</v>
      </c>
    </row>
    <row r="136" spans="2:3" ht="15" customHeight="1" x14ac:dyDescent="0.3">
      <c r="B136" s="6" t="s">
        <v>914</v>
      </c>
      <c r="C136" t="s">
        <v>4667</v>
      </c>
    </row>
    <row r="137" spans="2:3" ht="15" customHeight="1" x14ac:dyDescent="0.3">
      <c r="B137" s="6" t="s">
        <v>920</v>
      </c>
      <c r="C137" t="s">
        <v>4668</v>
      </c>
    </row>
    <row r="138" spans="2:3" ht="15" customHeight="1" x14ac:dyDescent="0.3">
      <c r="B138" s="6" t="s">
        <v>926</v>
      </c>
      <c r="C138" t="s">
        <v>4669</v>
      </c>
    </row>
    <row r="139" spans="2:3" ht="15" customHeight="1" x14ac:dyDescent="0.3">
      <c r="B139" s="6" t="s">
        <v>930</v>
      </c>
      <c r="C139" t="s">
        <v>4670</v>
      </c>
    </row>
    <row r="140" spans="2:3" ht="15" customHeight="1" x14ac:dyDescent="0.3">
      <c r="B140" s="6" t="s">
        <v>937</v>
      </c>
      <c r="C140" t="s">
        <v>4671</v>
      </c>
    </row>
    <row r="141" spans="2:3" ht="15" customHeight="1" x14ac:dyDescent="0.3">
      <c r="B141" s="6" t="s">
        <v>942</v>
      </c>
      <c r="C141" t="s">
        <v>4672</v>
      </c>
    </row>
    <row r="142" spans="2:3" ht="15" customHeight="1" x14ac:dyDescent="0.3">
      <c r="B142" s="6" t="s">
        <v>946</v>
      </c>
      <c r="C142" t="s">
        <v>4673</v>
      </c>
    </row>
    <row r="143" spans="2:3" ht="15" customHeight="1" x14ac:dyDescent="0.3">
      <c r="B143" s="6" t="s">
        <v>952</v>
      </c>
      <c r="C143" t="s">
        <v>4674</v>
      </c>
    </row>
    <row r="144" spans="2:3" ht="15" customHeight="1" x14ac:dyDescent="0.3">
      <c r="B144" s="6" t="s">
        <v>956</v>
      </c>
      <c r="C144" t="s">
        <v>4675</v>
      </c>
    </row>
    <row r="145" spans="2:3" ht="15" customHeight="1" x14ac:dyDescent="0.3">
      <c r="B145" s="6" t="s">
        <v>962</v>
      </c>
      <c r="C145" t="s">
        <v>4676</v>
      </c>
    </row>
    <row r="146" spans="2:3" ht="15" customHeight="1" x14ac:dyDescent="0.3">
      <c r="B146" s="6" t="s">
        <v>969</v>
      </c>
      <c r="C146" t="s">
        <v>4677</v>
      </c>
    </row>
    <row r="147" spans="2:3" ht="15" customHeight="1" x14ac:dyDescent="0.3">
      <c r="B147" s="6" t="s">
        <v>973</v>
      </c>
      <c r="C147" t="s">
        <v>4678</v>
      </c>
    </row>
    <row r="148" spans="2:3" ht="15" customHeight="1" x14ac:dyDescent="0.3">
      <c r="B148" s="6" t="s">
        <v>976</v>
      </c>
      <c r="C148" t="s">
        <v>4679</v>
      </c>
    </row>
    <row r="149" spans="2:3" ht="15" customHeight="1" x14ac:dyDescent="0.3">
      <c r="B149" s="6" t="s">
        <v>981</v>
      </c>
      <c r="C149" t="s">
        <v>4680</v>
      </c>
    </row>
    <row r="150" spans="2:3" ht="15" customHeight="1" x14ac:dyDescent="0.3">
      <c r="B150" s="6" t="s">
        <v>985</v>
      </c>
      <c r="C150" t="s">
        <v>4681</v>
      </c>
    </row>
    <row r="151" spans="2:3" ht="15" customHeight="1" x14ac:dyDescent="0.3">
      <c r="B151" s="6" t="s">
        <v>991</v>
      </c>
      <c r="C151" t="s">
        <v>4682</v>
      </c>
    </row>
    <row r="152" spans="2:3" ht="15" customHeight="1" x14ac:dyDescent="0.3">
      <c r="B152" s="6" t="s">
        <v>995</v>
      </c>
      <c r="C152" t="s">
        <v>4683</v>
      </c>
    </row>
    <row r="153" spans="2:3" ht="15" customHeight="1" x14ac:dyDescent="0.3">
      <c r="B153" s="6" t="s">
        <v>1000</v>
      </c>
      <c r="C153" t="s">
        <v>4684</v>
      </c>
    </row>
    <row r="154" spans="2:3" ht="15" customHeight="1" x14ac:dyDescent="0.3">
      <c r="B154" s="6" t="s">
        <v>1004</v>
      </c>
      <c r="C154" t="s">
        <v>4685</v>
      </c>
    </row>
    <row r="155" spans="2:3" ht="15" customHeight="1" x14ac:dyDescent="0.3">
      <c r="B155" s="6" t="s">
        <v>1009</v>
      </c>
      <c r="C155" t="s">
        <v>4686</v>
      </c>
    </row>
    <row r="156" spans="2:3" ht="15" customHeight="1" x14ac:dyDescent="0.3">
      <c r="B156" s="6" t="s">
        <v>1014</v>
      </c>
      <c r="C156" t="s">
        <v>4687</v>
      </c>
    </row>
    <row r="157" spans="2:3" ht="15" customHeight="1" x14ac:dyDescent="0.3">
      <c r="B157" s="6" t="s">
        <v>1019</v>
      </c>
      <c r="C157" t="s">
        <v>4688</v>
      </c>
    </row>
    <row r="158" spans="2:3" ht="15" customHeight="1" x14ac:dyDescent="0.3">
      <c r="B158" s="6" t="s">
        <v>1024</v>
      </c>
      <c r="C158" t="s">
        <v>4689</v>
      </c>
    </row>
    <row r="159" spans="2:3" ht="15" customHeight="1" x14ac:dyDescent="0.3">
      <c r="B159" s="6" t="s">
        <v>1029</v>
      </c>
      <c r="C159" t="s">
        <v>4690</v>
      </c>
    </row>
    <row r="160" spans="2:3" ht="15" customHeight="1" x14ac:dyDescent="0.3">
      <c r="B160" s="6" t="s">
        <v>1034</v>
      </c>
      <c r="C160" t="s">
        <v>4691</v>
      </c>
    </row>
    <row r="161" spans="2:3" ht="15" customHeight="1" x14ac:dyDescent="0.3">
      <c r="B161" s="6" t="s">
        <v>1039</v>
      </c>
      <c r="C161" t="s">
        <v>4692</v>
      </c>
    </row>
    <row r="162" spans="2:3" ht="15" customHeight="1" x14ac:dyDescent="0.3">
      <c r="B162" s="6" t="s">
        <v>1043</v>
      </c>
      <c r="C162" t="s">
        <v>4693</v>
      </c>
    </row>
    <row r="163" spans="2:3" ht="15" customHeight="1" x14ac:dyDescent="0.3">
      <c r="B163" s="6" t="s">
        <v>1049</v>
      </c>
      <c r="C163" t="s">
        <v>4694</v>
      </c>
    </row>
    <row r="164" spans="2:3" ht="15" customHeight="1" x14ac:dyDescent="0.3">
      <c r="B164" s="6" t="s">
        <v>1052</v>
      </c>
      <c r="C164" t="s">
        <v>4695</v>
      </c>
    </row>
    <row r="165" spans="2:3" ht="15" customHeight="1" x14ac:dyDescent="0.3">
      <c r="B165" s="6" t="s">
        <v>1060</v>
      </c>
      <c r="C165" t="s">
        <v>4696</v>
      </c>
    </row>
    <row r="166" spans="2:3" ht="15" customHeight="1" x14ac:dyDescent="0.3">
      <c r="B166" s="6" t="s">
        <v>1068</v>
      </c>
      <c r="C166" t="s">
        <v>4697</v>
      </c>
    </row>
    <row r="167" spans="2:3" ht="15" customHeight="1" x14ac:dyDescent="0.3">
      <c r="B167" s="6" t="s">
        <v>1074</v>
      </c>
      <c r="C167" t="s">
        <v>4698</v>
      </c>
    </row>
    <row r="168" spans="2:3" ht="15" customHeight="1" x14ac:dyDescent="0.3">
      <c r="B168" s="6" t="s">
        <v>1078</v>
      </c>
      <c r="C168" t="s">
        <v>4699</v>
      </c>
    </row>
    <row r="169" spans="2:3" ht="15" customHeight="1" x14ac:dyDescent="0.3">
      <c r="B169" s="6" t="s">
        <v>1084</v>
      </c>
      <c r="C169" t="s">
        <v>4700</v>
      </c>
    </row>
    <row r="170" spans="2:3" ht="15" customHeight="1" x14ac:dyDescent="0.3">
      <c r="B170" s="6" t="s">
        <v>1088</v>
      </c>
      <c r="C170" t="s">
        <v>4701</v>
      </c>
    </row>
    <row r="171" spans="2:3" ht="15" customHeight="1" x14ac:dyDescent="0.3">
      <c r="B171" s="6" t="s">
        <v>1093</v>
      </c>
      <c r="C171" t="s">
        <v>4702</v>
      </c>
    </row>
    <row r="172" spans="2:3" ht="15" customHeight="1" x14ac:dyDescent="0.3">
      <c r="B172" s="6" t="s">
        <v>1098</v>
      </c>
      <c r="C172" t="s">
        <v>4703</v>
      </c>
    </row>
    <row r="173" spans="2:3" ht="15" customHeight="1" x14ac:dyDescent="0.3">
      <c r="B173" s="6" t="s">
        <v>1102</v>
      </c>
      <c r="C173" t="s">
        <v>4704</v>
      </c>
    </row>
    <row r="174" spans="2:3" ht="15" customHeight="1" x14ac:dyDescent="0.3">
      <c r="B174" s="6" t="s">
        <v>1105</v>
      </c>
      <c r="C174" t="s">
        <v>4705</v>
      </c>
    </row>
    <row r="175" spans="2:3" ht="15" customHeight="1" x14ac:dyDescent="0.3">
      <c r="B175" s="6" t="s">
        <v>1111</v>
      </c>
      <c r="C175" t="s">
        <v>4706</v>
      </c>
    </row>
    <row r="176" spans="2:3" ht="15" customHeight="1" x14ac:dyDescent="0.3">
      <c r="B176" s="6" t="s">
        <v>1115</v>
      </c>
      <c r="C176" t="s">
        <v>4707</v>
      </c>
    </row>
    <row r="177" spans="2:3" ht="15" customHeight="1" x14ac:dyDescent="0.3">
      <c r="B177" s="6" t="s">
        <v>1119</v>
      </c>
      <c r="C177" t="s">
        <v>4708</v>
      </c>
    </row>
    <row r="178" spans="2:3" ht="15" customHeight="1" x14ac:dyDescent="0.3">
      <c r="B178" s="6" t="s">
        <v>1125</v>
      </c>
      <c r="C178" t="s">
        <v>4709</v>
      </c>
    </row>
    <row r="179" spans="2:3" ht="15" customHeight="1" x14ac:dyDescent="0.3">
      <c r="B179" s="6" t="s">
        <v>1128</v>
      </c>
      <c r="C179" t="s">
        <v>4710</v>
      </c>
    </row>
    <row r="180" spans="2:3" ht="15" customHeight="1" x14ac:dyDescent="0.3">
      <c r="B180" s="6" t="s">
        <v>1132</v>
      </c>
      <c r="C180" t="s">
        <v>4711</v>
      </c>
    </row>
    <row r="181" spans="2:3" ht="15" customHeight="1" x14ac:dyDescent="0.3">
      <c r="B181" s="6" t="s">
        <v>1137</v>
      </c>
      <c r="C181" t="s">
        <v>4712</v>
      </c>
    </row>
    <row r="182" spans="2:3" ht="15" customHeight="1" x14ac:dyDescent="0.3">
      <c r="B182" s="6" t="s">
        <v>1141</v>
      </c>
      <c r="C182" t="s">
        <v>4713</v>
      </c>
    </row>
    <row r="183" spans="2:3" ht="15" customHeight="1" x14ac:dyDescent="0.3">
      <c r="B183" s="6" t="s">
        <v>1146</v>
      </c>
      <c r="C183" t="s">
        <v>4714</v>
      </c>
    </row>
    <row r="184" spans="2:3" ht="15" customHeight="1" x14ac:dyDescent="0.3">
      <c r="B184" s="6" t="s">
        <v>1151</v>
      </c>
      <c r="C184" t="s">
        <v>4715</v>
      </c>
    </row>
    <row r="185" spans="2:3" ht="15" customHeight="1" x14ac:dyDescent="0.3">
      <c r="B185" s="6" t="s">
        <v>1156</v>
      </c>
      <c r="C185" t="s">
        <v>4716</v>
      </c>
    </row>
    <row r="186" spans="2:3" ht="15" customHeight="1" x14ac:dyDescent="0.3">
      <c r="B186" s="6" t="s">
        <v>1161</v>
      </c>
      <c r="C186" t="s">
        <v>4717</v>
      </c>
    </row>
    <row r="187" spans="2:3" ht="15" customHeight="1" x14ac:dyDescent="0.3">
      <c r="B187" s="6" t="s">
        <v>1166</v>
      </c>
      <c r="C187" t="s">
        <v>4718</v>
      </c>
    </row>
    <row r="188" spans="2:3" ht="15" customHeight="1" x14ac:dyDescent="0.3">
      <c r="B188" s="6" t="s">
        <v>1171</v>
      </c>
      <c r="C188" t="s">
        <v>4719</v>
      </c>
    </row>
    <row r="189" spans="2:3" ht="15" customHeight="1" x14ac:dyDescent="0.3">
      <c r="B189" s="6" t="s">
        <v>1176</v>
      </c>
      <c r="C189" t="s">
        <v>4720</v>
      </c>
    </row>
    <row r="190" spans="2:3" ht="15" customHeight="1" x14ac:dyDescent="0.3">
      <c r="B190" s="6" t="s">
        <v>1179</v>
      </c>
      <c r="C190" t="s">
        <v>4721</v>
      </c>
    </row>
    <row r="191" spans="2:3" ht="15" customHeight="1" x14ac:dyDescent="0.3">
      <c r="B191" s="6" t="s">
        <v>1184</v>
      </c>
      <c r="C191" t="s">
        <v>4722</v>
      </c>
    </row>
    <row r="192" spans="2:3" ht="15" customHeight="1" x14ac:dyDescent="0.3">
      <c r="B192" s="6" t="s">
        <v>1190</v>
      </c>
      <c r="C192" t="s">
        <v>4723</v>
      </c>
    </row>
    <row r="193" spans="2:3" ht="15" customHeight="1" x14ac:dyDescent="0.3">
      <c r="B193" s="6" t="s">
        <v>1195</v>
      </c>
      <c r="C193" t="s">
        <v>4724</v>
      </c>
    </row>
    <row r="194" spans="2:3" ht="15" customHeight="1" x14ac:dyDescent="0.3">
      <c r="B194" s="6" t="s">
        <v>1199</v>
      </c>
      <c r="C194" t="s">
        <v>4725</v>
      </c>
    </row>
    <row r="195" spans="2:3" ht="15" customHeight="1" x14ac:dyDescent="0.3">
      <c r="B195" s="6" t="s">
        <v>1204</v>
      </c>
      <c r="C195" t="s">
        <v>4726</v>
      </c>
    </row>
    <row r="196" spans="2:3" ht="15" customHeight="1" x14ac:dyDescent="0.3">
      <c r="B196" s="6" t="s">
        <v>1210</v>
      </c>
      <c r="C196" t="s">
        <v>4727</v>
      </c>
    </row>
    <row r="197" spans="2:3" ht="15" customHeight="1" x14ac:dyDescent="0.3">
      <c r="B197" s="6" t="s">
        <v>1215</v>
      </c>
      <c r="C197" t="s">
        <v>4728</v>
      </c>
    </row>
    <row r="198" spans="2:3" ht="15" customHeight="1" x14ac:dyDescent="0.3">
      <c r="B198" s="6" t="s">
        <v>1221</v>
      </c>
      <c r="C198" t="s">
        <v>4729</v>
      </c>
    </row>
    <row r="199" spans="2:3" ht="15" customHeight="1" x14ac:dyDescent="0.3">
      <c r="B199" s="6" t="s">
        <v>1224</v>
      </c>
      <c r="C199" t="s">
        <v>4730</v>
      </c>
    </row>
    <row r="200" spans="2:3" ht="15" customHeight="1" x14ac:dyDescent="0.3">
      <c r="B200" s="6" t="s">
        <v>1230</v>
      </c>
      <c r="C200" t="s">
        <v>4731</v>
      </c>
    </row>
    <row r="201" spans="2:3" ht="15" customHeight="1" x14ac:dyDescent="0.3">
      <c r="B201" s="6" t="s">
        <v>1235</v>
      </c>
      <c r="C201" t="s">
        <v>4732</v>
      </c>
    </row>
    <row r="202" spans="2:3" ht="15" customHeight="1" x14ac:dyDescent="0.3">
      <c r="B202" s="6" t="s">
        <v>1240</v>
      </c>
      <c r="C202" t="s">
        <v>4733</v>
      </c>
    </row>
    <row r="203" spans="2:3" ht="15" customHeight="1" x14ac:dyDescent="0.3">
      <c r="B203" s="6" t="s">
        <v>1244</v>
      </c>
      <c r="C203" t="s">
        <v>4734</v>
      </c>
    </row>
    <row r="204" spans="2:3" ht="15" customHeight="1" x14ac:dyDescent="0.3">
      <c r="B204" s="6" t="s">
        <v>1249</v>
      </c>
      <c r="C204" t="s">
        <v>4735</v>
      </c>
    </row>
    <row r="205" spans="2:3" ht="15" customHeight="1" x14ac:dyDescent="0.3">
      <c r="B205" s="6" t="s">
        <v>1254</v>
      </c>
      <c r="C205" t="s">
        <v>4736</v>
      </c>
    </row>
    <row r="206" spans="2:3" ht="15" customHeight="1" x14ac:dyDescent="0.3">
      <c r="B206" s="6" t="s">
        <v>1259</v>
      </c>
      <c r="C206" t="s">
        <v>4737</v>
      </c>
    </row>
    <row r="207" spans="2:3" ht="15" customHeight="1" x14ac:dyDescent="0.3">
      <c r="B207" s="6" t="s">
        <v>1261</v>
      </c>
      <c r="C207" t="s">
        <v>4738</v>
      </c>
    </row>
    <row r="208" spans="2:3" ht="15" customHeight="1" x14ac:dyDescent="0.3">
      <c r="B208" s="6" t="s">
        <v>1266</v>
      </c>
      <c r="C208" t="s">
        <v>4739</v>
      </c>
    </row>
    <row r="209" spans="2:3" ht="15" customHeight="1" x14ac:dyDescent="0.3">
      <c r="B209" s="6" t="s">
        <v>1271</v>
      </c>
      <c r="C209" t="s">
        <v>4740</v>
      </c>
    </row>
    <row r="210" spans="2:3" ht="15" customHeight="1" x14ac:dyDescent="0.3">
      <c r="B210" s="6" t="s">
        <v>1277</v>
      </c>
      <c r="C210" t="s">
        <v>4741</v>
      </c>
    </row>
    <row r="211" spans="2:3" ht="15" customHeight="1" x14ac:dyDescent="0.3">
      <c r="B211" s="6" t="s">
        <v>1283</v>
      </c>
      <c r="C211" t="s">
        <v>4742</v>
      </c>
    </row>
    <row r="212" spans="2:3" ht="15" customHeight="1" x14ac:dyDescent="0.3">
      <c r="B212" s="6" t="s">
        <v>1289</v>
      </c>
      <c r="C212" t="s">
        <v>4756</v>
      </c>
    </row>
    <row r="213" spans="2:3" ht="15" customHeight="1" x14ac:dyDescent="0.3">
      <c r="B213" s="6" t="s">
        <v>1294</v>
      </c>
      <c r="C213" t="s">
        <v>4757</v>
      </c>
    </row>
    <row r="214" spans="2:3" ht="15" customHeight="1" x14ac:dyDescent="0.3">
      <c r="B214" s="6" t="s">
        <v>1300</v>
      </c>
      <c r="C214" t="s">
        <v>4758</v>
      </c>
    </row>
    <row r="215" spans="2:3" ht="15" customHeight="1" x14ac:dyDescent="0.3">
      <c r="B215" s="6" t="s">
        <v>1305</v>
      </c>
      <c r="C215" t="s">
        <v>4759</v>
      </c>
    </row>
    <row r="216" spans="2:3" ht="15" customHeight="1" x14ac:dyDescent="0.3">
      <c r="B216" s="6" t="s">
        <v>1309</v>
      </c>
      <c r="C216" t="s">
        <v>4760</v>
      </c>
    </row>
    <row r="217" spans="2:3" ht="15" customHeight="1" x14ac:dyDescent="0.3">
      <c r="B217" s="6" t="s">
        <v>1312</v>
      </c>
      <c r="C217" t="s">
        <v>4761</v>
      </c>
    </row>
    <row r="218" spans="2:3" ht="15" customHeight="1" x14ac:dyDescent="0.3">
      <c r="B218" s="6" t="s">
        <v>1317</v>
      </c>
      <c r="C218" t="s">
        <v>4762</v>
      </c>
    </row>
    <row r="219" spans="2:3" ht="15" customHeight="1" x14ac:dyDescent="0.3">
      <c r="B219" s="6" t="s">
        <v>1322</v>
      </c>
      <c r="C219" t="s">
        <v>4763</v>
      </c>
    </row>
    <row r="220" spans="2:3" ht="15" customHeight="1" x14ac:dyDescent="0.3">
      <c r="B220" s="6" t="s">
        <v>1327</v>
      </c>
      <c r="C220" t="s">
        <v>4764</v>
      </c>
    </row>
    <row r="221" spans="2:3" ht="15" customHeight="1" x14ac:dyDescent="0.3">
      <c r="B221" s="6" t="s">
        <v>1332</v>
      </c>
      <c r="C221" t="s">
        <v>4765</v>
      </c>
    </row>
    <row r="222" spans="2:3" ht="15" customHeight="1" x14ac:dyDescent="0.3">
      <c r="B222" s="6" t="s">
        <v>1336</v>
      </c>
      <c r="C222" t="s">
        <v>4766</v>
      </c>
    </row>
    <row r="223" spans="2:3" ht="15" customHeight="1" x14ac:dyDescent="0.3">
      <c r="B223" s="6" t="s">
        <v>1341</v>
      </c>
      <c r="C223" t="s">
        <v>4767</v>
      </c>
    </row>
    <row r="224" spans="2:3" ht="15" customHeight="1" x14ac:dyDescent="0.3">
      <c r="B224" s="6" t="s">
        <v>1345</v>
      </c>
      <c r="C224" t="s">
        <v>4768</v>
      </c>
    </row>
    <row r="225" spans="2:3" ht="15" customHeight="1" x14ac:dyDescent="0.3">
      <c r="B225" s="6" t="s">
        <v>1350</v>
      </c>
      <c r="C225" t="s">
        <v>4769</v>
      </c>
    </row>
    <row r="226" spans="2:3" ht="15" customHeight="1" x14ac:dyDescent="0.3">
      <c r="B226" s="6" t="s">
        <v>1354</v>
      </c>
      <c r="C226" t="s">
        <v>4770</v>
      </c>
    </row>
    <row r="227" spans="2:3" ht="15" customHeight="1" x14ac:dyDescent="0.3">
      <c r="B227" s="6" t="s">
        <v>1358</v>
      </c>
      <c r="C227" t="s">
        <v>4771</v>
      </c>
    </row>
    <row r="228" spans="2:3" ht="15" customHeight="1" x14ac:dyDescent="0.3">
      <c r="B228" s="6" t="s">
        <v>1365</v>
      </c>
      <c r="C228" t="s">
        <v>4772</v>
      </c>
    </row>
    <row r="229" spans="2:3" ht="15" customHeight="1" x14ac:dyDescent="0.3">
      <c r="B229" s="6" t="s">
        <v>1369</v>
      </c>
      <c r="C229" t="s">
        <v>4773</v>
      </c>
    </row>
    <row r="230" spans="2:3" ht="15" customHeight="1" x14ac:dyDescent="0.3">
      <c r="B230" s="6" t="s">
        <v>1372</v>
      </c>
      <c r="C230" t="s">
        <v>4774</v>
      </c>
    </row>
    <row r="231" spans="2:3" ht="15" customHeight="1" x14ac:dyDescent="0.3">
      <c r="B231" s="6" t="s">
        <v>1377</v>
      </c>
      <c r="C231" t="s">
        <v>4775</v>
      </c>
    </row>
    <row r="232" spans="2:3" ht="15" customHeight="1" x14ac:dyDescent="0.3">
      <c r="B232" s="6" t="s">
        <v>1381</v>
      </c>
      <c r="C232" t="s">
        <v>4776</v>
      </c>
    </row>
    <row r="233" spans="2:3" ht="15" customHeight="1" x14ac:dyDescent="0.3">
      <c r="B233" s="6" t="s">
        <v>1386</v>
      </c>
      <c r="C233" t="s">
        <v>4777</v>
      </c>
    </row>
    <row r="234" spans="2:3" ht="15" customHeight="1" x14ac:dyDescent="0.3">
      <c r="B234" s="6" t="s">
        <v>1390</v>
      </c>
      <c r="C234" t="s">
        <v>4778</v>
      </c>
    </row>
    <row r="235" spans="2:3" ht="15" customHeight="1" x14ac:dyDescent="0.3">
      <c r="B235" s="6" t="s">
        <v>1394</v>
      </c>
      <c r="C235" t="s">
        <v>4779</v>
      </c>
    </row>
    <row r="236" spans="2:3" ht="15" customHeight="1" x14ac:dyDescent="0.3">
      <c r="B236" s="6" t="s">
        <v>1398</v>
      </c>
      <c r="C236" t="s">
        <v>4780</v>
      </c>
    </row>
    <row r="237" spans="2:3" ht="15" customHeight="1" x14ac:dyDescent="0.3">
      <c r="B237" s="6" t="s">
        <v>1404</v>
      </c>
      <c r="C237" t="s">
        <v>4781</v>
      </c>
    </row>
    <row r="238" spans="2:3" ht="15" customHeight="1" x14ac:dyDescent="0.3">
      <c r="B238" s="6" t="s">
        <v>1410</v>
      </c>
      <c r="C238" t="s">
        <v>4782</v>
      </c>
    </row>
    <row r="239" spans="2:3" ht="15" customHeight="1" x14ac:dyDescent="0.3">
      <c r="B239" s="6" t="s">
        <v>1415</v>
      </c>
      <c r="C239" t="s">
        <v>4783</v>
      </c>
    </row>
    <row r="240" spans="2:3" ht="15" customHeight="1" x14ac:dyDescent="0.3">
      <c r="B240" s="6" t="s">
        <v>1419</v>
      </c>
      <c r="C240" t="s">
        <v>4784</v>
      </c>
    </row>
    <row r="241" spans="2:3" ht="15" customHeight="1" x14ac:dyDescent="0.3">
      <c r="B241" s="6" t="s">
        <v>1423</v>
      </c>
      <c r="C241" t="s">
        <v>4785</v>
      </c>
    </row>
    <row r="242" spans="2:3" ht="15" customHeight="1" x14ac:dyDescent="0.3">
      <c r="B242" s="6" t="s">
        <v>1427</v>
      </c>
      <c r="C242" t="s">
        <v>4786</v>
      </c>
    </row>
    <row r="243" spans="2:3" ht="15" customHeight="1" x14ac:dyDescent="0.3">
      <c r="B243" s="6" t="s">
        <v>1430</v>
      </c>
      <c r="C243" t="s">
        <v>4787</v>
      </c>
    </row>
    <row r="244" spans="2:3" ht="15" customHeight="1" x14ac:dyDescent="0.3">
      <c r="B244" s="6" t="s">
        <v>1436</v>
      </c>
      <c r="C244" t="s">
        <v>4788</v>
      </c>
    </row>
    <row r="245" spans="2:3" ht="15" customHeight="1" x14ac:dyDescent="0.3">
      <c r="B245" s="6" t="s">
        <v>1441</v>
      </c>
      <c r="C245" t="s">
        <v>4789</v>
      </c>
    </row>
    <row r="246" spans="2:3" ht="15" customHeight="1" x14ac:dyDescent="0.3">
      <c r="B246" s="6" t="s">
        <v>1445</v>
      </c>
      <c r="C246" t="s">
        <v>4790</v>
      </c>
    </row>
    <row r="247" spans="2:3" ht="15" customHeight="1" x14ac:dyDescent="0.3">
      <c r="B247" s="6" t="s">
        <v>1450</v>
      </c>
      <c r="C247" t="s">
        <v>4791</v>
      </c>
    </row>
    <row r="248" spans="2:3" ht="15" customHeight="1" x14ac:dyDescent="0.3">
      <c r="B248" s="6" t="s">
        <v>1454</v>
      </c>
      <c r="C248" t="s">
        <v>4792</v>
      </c>
    </row>
    <row r="249" spans="2:3" ht="15" customHeight="1" x14ac:dyDescent="0.3">
      <c r="B249" s="6" t="s">
        <v>1459</v>
      </c>
      <c r="C249" t="s">
        <v>4793</v>
      </c>
    </row>
    <row r="250" spans="2:3" ht="15" customHeight="1" x14ac:dyDescent="0.3">
      <c r="B250" s="6" t="s">
        <v>1464</v>
      </c>
      <c r="C250" t="s">
        <v>4794</v>
      </c>
    </row>
    <row r="251" spans="2:3" ht="15" customHeight="1" x14ac:dyDescent="0.3">
      <c r="B251" s="6" t="s">
        <v>1469</v>
      </c>
      <c r="C251" t="s">
        <v>4795</v>
      </c>
    </row>
    <row r="252" spans="2:3" ht="15" customHeight="1" x14ac:dyDescent="0.3">
      <c r="B252" s="6" t="s">
        <v>1473</v>
      </c>
      <c r="C252" t="s">
        <v>4796</v>
      </c>
    </row>
    <row r="253" spans="2:3" ht="15" customHeight="1" x14ac:dyDescent="0.3">
      <c r="B253" s="6" t="s">
        <v>1481</v>
      </c>
      <c r="C253" t="s">
        <v>4797</v>
      </c>
    </row>
    <row r="254" spans="2:3" ht="15" customHeight="1" x14ac:dyDescent="0.3">
      <c r="B254" s="6" t="s">
        <v>1486</v>
      </c>
      <c r="C254" t="s">
        <v>4798</v>
      </c>
    </row>
    <row r="255" spans="2:3" ht="15" customHeight="1" x14ac:dyDescent="0.3">
      <c r="B255" s="6" t="s">
        <v>1490</v>
      </c>
      <c r="C255" t="s">
        <v>4799</v>
      </c>
    </row>
    <row r="256" spans="2:3" ht="15" customHeight="1" x14ac:dyDescent="0.3">
      <c r="B256" s="6" t="s">
        <v>1494</v>
      </c>
      <c r="C256" t="s">
        <v>4800</v>
      </c>
    </row>
    <row r="257" spans="2:3" ht="15" customHeight="1" x14ac:dyDescent="0.3">
      <c r="B257" s="6" t="s">
        <v>1497</v>
      </c>
      <c r="C257" t="s">
        <v>4801</v>
      </c>
    </row>
    <row r="258" spans="2:3" ht="15" customHeight="1" x14ac:dyDescent="0.3">
      <c r="B258" s="6" t="s">
        <v>1502</v>
      </c>
      <c r="C258" t="s">
        <v>4802</v>
      </c>
    </row>
    <row r="259" spans="2:3" ht="15" customHeight="1" x14ac:dyDescent="0.3">
      <c r="B259" s="6" t="s">
        <v>1507</v>
      </c>
      <c r="C259" t="s">
        <v>4803</v>
      </c>
    </row>
    <row r="260" spans="2:3" ht="15" customHeight="1" x14ac:dyDescent="0.3">
      <c r="B260" s="6" t="s">
        <v>1512</v>
      </c>
      <c r="C260" t="s">
        <v>4804</v>
      </c>
    </row>
    <row r="261" spans="2:3" ht="15" customHeight="1" x14ac:dyDescent="0.3">
      <c r="B261" s="6" t="s">
        <v>1517</v>
      </c>
      <c r="C261" t="s">
        <v>4805</v>
      </c>
    </row>
    <row r="262" spans="2:3" ht="15" customHeight="1" x14ac:dyDescent="0.3">
      <c r="B262" s="6" t="s">
        <v>1521</v>
      </c>
      <c r="C262" t="s">
        <v>4806</v>
      </c>
    </row>
    <row r="263" spans="2:3" ht="15" customHeight="1" x14ac:dyDescent="0.3">
      <c r="B263" s="6" t="s">
        <v>1527</v>
      </c>
      <c r="C263" t="s">
        <v>4807</v>
      </c>
    </row>
    <row r="264" spans="2:3" ht="15" customHeight="1" x14ac:dyDescent="0.3">
      <c r="B264" s="6" t="s">
        <v>1530</v>
      </c>
      <c r="C264" t="s">
        <v>4808</v>
      </c>
    </row>
    <row r="265" spans="2:3" ht="15" customHeight="1" x14ac:dyDescent="0.3">
      <c r="B265" s="6" t="s">
        <v>1535</v>
      </c>
      <c r="C265" t="s">
        <v>4809</v>
      </c>
    </row>
    <row r="266" spans="2:3" ht="15" customHeight="1" x14ac:dyDescent="0.3">
      <c r="B266" s="6" t="s">
        <v>1540</v>
      </c>
      <c r="C266" t="s">
        <v>4810</v>
      </c>
    </row>
    <row r="267" spans="2:3" ht="15" customHeight="1" x14ac:dyDescent="0.3">
      <c r="B267" s="6" t="s">
        <v>1544</v>
      </c>
      <c r="C267" t="s">
        <v>4811</v>
      </c>
    </row>
    <row r="268" spans="2:3" ht="15" customHeight="1" x14ac:dyDescent="0.3">
      <c r="B268" s="6" t="s">
        <v>1550</v>
      </c>
      <c r="C268" t="s">
        <v>4812</v>
      </c>
    </row>
    <row r="269" spans="2:3" ht="15" customHeight="1" x14ac:dyDescent="0.3">
      <c r="B269" s="6" t="s">
        <v>1554</v>
      </c>
      <c r="C269" t="s">
        <v>4813</v>
      </c>
    </row>
    <row r="270" spans="2:3" ht="15" customHeight="1" x14ac:dyDescent="0.3">
      <c r="B270" s="6" t="s">
        <v>1558</v>
      </c>
      <c r="C270" t="s">
        <v>4814</v>
      </c>
    </row>
    <row r="271" spans="2:3" ht="15" customHeight="1" x14ac:dyDescent="0.3">
      <c r="B271" s="6" t="s">
        <v>1560</v>
      </c>
      <c r="C271" t="s">
        <v>4815</v>
      </c>
    </row>
    <row r="272" spans="2:3" ht="15" customHeight="1" x14ac:dyDescent="0.3">
      <c r="B272" s="6" t="s">
        <v>1565</v>
      </c>
      <c r="C272" t="s">
        <v>4816</v>
      </c>
    </row>
    <row r="273" spans="2:3" ht="15" customHeight="1" x14ac:dyDescent="0.3">
      <c r="B273" s="6" t="s">
        <v>1571</v>
      </c>
      <c r="C273" t="s">
        <v>4817</v>
      </c>
    </row>
    <row r="274" spans="2:3" ht="15" customHeight="1" x14ac:dyDescent="0.3">
      <c r="B274" s="6" t="s">
        <v>1576</v>
      </c>
      <c r="C274" t="s">
        <v>4818</v>
      </c>
    </row>
    <row r="275" spans="2:3" ht="15" customHeight="1" x14ac:dyDescent="0.3">
      <c r="B275" s="6" t="s">
        <v>1581</v>
      </c>
      <c r="C275" t="s">
        <v>4819</v>
      </c>
    </row>
    <row r="276" spans="2:3" ht="15" customHeight="1" x14ac:dyDescent="0.3">
      <c r="B276" s="6" t="s">
        <v>1585</v>
      </c>
      <c r="C276" t="s">
        <v>4820</v>
      </c>
    </row>
    <row r="277" spans="2:3" ht="15" customHeight="1" x14ac:dyDescent="0.3">
      <c r="B277" s="6" t="s">
        <v>1589</v>
      </c>
      <c r="C277" t="s">
        <v>4821</v>
      </c>
    </row>
    <row r="278" spans="2:3" ht="15" customHeight="1" x14ac:dyDescent="0.3">
      <c r="B278" s="6" t="s">
        <v>1593</v>
      </c>
      <c r="C278" t="s">
        <v>4822</v>
      </c>
    </row>
    <row r="279" spans="2:3" ht="15" customHeight="1" x14ac:dyDescent="0.3">
      <c r="B279" s="6" t="s">
        <v>1597</v>
      </c>
      <c r="C279" t="s">
        <v>4823</v>
      </c>
    </row>
    <row r="280" spans="2:3" ht="15" customHeight="1" x14ac:dyDescent="0.3">
      <c r="B280" s="6" t="s">
        <v>1602</v>
      </c>
      <c r="C280" t="s">
        <v>4824</v>
      </c>
    </row>
    <row r="281" spans="2:3" ht="15" customHeight="1" x14ac:dyDescent="0.3">
      <c r="B281" s="6" t="s">
        <v>1605</v>
      </c>
      <c r="C281" t="s">
        <v>4825</v>
      </c>
    </row>
    <row r="282" spans="2:3" ht="15" customHeight="1" x14ac:dyDescent="0.3">
      <c r="B282" s="6" t="s">
        <v>1610</v>
      </c>
      <c r="C282" t="s">
        <v>4826</v>
      </c>
    </row>
    <row r="283" spans="2:3" ht="15" customHeight="1" x14ac:dyDescent="0.3">
      <c r="B283" s="6" t="s">
        <v>1614</v>
      </c>
      <c r="C283" t="s">
        <v>4827</v>
      </c>
    </row>
    <row r="284" spans="2:3" ht="15" customHeight="1" x14ac:dyDescent="0.3">
      <c r="B284" s="6" t="s">
        <v>1617</v>
      </c>
      <c r="C284" t="s">
        <v>4828</v>
      </c>
    </row>
    <row r="285" spans="2:3" ht="15" customHeight="1" x14ac:dyDescent="0.3">
      <c r="B285" s="6" t="s">
        <v>1623</v>
      </c>
      <c r="C285" t="s">
        <v>4829</v>
      </c>
    </row>
    <row r="286" spans="2:3" ht="15" customHeight="1" x14ac:dyDescent="0.3">
      <c r="B286" s="6" t="s">
        <v>1626</v>
      </c>
      <c r="C286" t="s">
        <v>4830</v>
      </c>
    </row>
    <row r="287" spans="2:3" ht="15" customHeight="1" x14ac:dyDescent="0.3">
      <c r="B287" s="6" t="s">
        <v>1630</v>
      </c>
      <c r="C287" t="s">
        <v>4831</v>
      </c>
    </row>
    <row r="288" spans="2:3" ht="15" customHeight="1" x14ac:dyDescent="0.3">
      <c r="B288" s="6" t="s">
        <v>1636</v>
      </c>
      <c r="C288" t="s">
        <v>4832</v>
      </c>
    </row>
    <row r="289" spans="2:3" ht="15" customHeight="1" x14ac:dyDescent="0.3">
      <c r="B289" s="6" t="s">
        <v>1641</v>
      </c>
      <c r="C289" t="s">
        <v>4833</v>
      </c>
    </row>
    <row r="290" spans="2:3" ht="15" customHeight="1" x14ac:dyDescent="0.3">
      <c r="B290" s="6" t="s">
        <v>1645</v>
      </c>
      <c r="C290" t="s">
        <v>4834</v>
      </c>
    </row>
    <row r="291" spans="2:3" ht="15" customHeight="1" x14ac:dyDescent="0.3">
      <c r="B291" s="6" t="s">
        <v>1651</v>
      </c>
      <c r="C291" t="s">
        <v>4835</v>
      </c>
    </row>
    <row r="292" spans="2:3" ht="15" customHeight="1" x14ac:dyDescent="0.3">
      <c r="B292" s="6" t="s">
        <v>1655</v>
      </c>
      <c r="C292" t="s">
        <v>4836</v>
      </c>
    </row>
    <row r="293" spans="2:3" ht="15" customHeight="1" x14ac:dyDescent="0.3">
      <c r="B293" s="6" t="s">
        <v>1659</v>
      </c>
      <c r="C293" t="s">
        <v>4837</v>
      </c>
    </row>
    <row r="294" spans="2:3" ht="15" customHeight="1" x14ac:dyDescent="0.3">
      <c r="B294" s="6" t="s">
        <v>1665</v>
      </c>
      <c r="C294" t="s">
        <v>4838</v>
      </c>
    </row>
    <row r="295" spans="2:3" ht="15" customHeight="1" x14ac:dyDescent="0.3">
      <c r="B295" s="6" t="s">
        <v>1670</v>
      </c>
      <c r="C295" t="s">
        <v>4839</v>
      </c>
    </row>
    <row r="296" spans="2:3" ht="15" customHeight="1" x14ac:dyDescent="0.3">
      <c r="B296" s="6" t="s">
        <v>1675</v>
      </c>
      <c r="C296" t="s">
        <v>4840</v>
      </c>
    </row>
    <row r="297" spans="2:3" ht="15" customHeight="1" x14ac:dyDescent="0.3">
      <c r="B297" s="6" t="s">
        <v>1681</v>
      </c>
      <c r="C297" t="s">
        <v>4841</v>
      </c>
    </row>
    <row r="298" spans="2:3" ht="15" customHeight="1" x14ac:dyDescent="0.3">
      <c r="B298" s="6" t="s">
        <v>1686</v>
      </c>
      <c r="C298" t="s">
        <v>4842</v>
      </c>
    </row>
    <row r="299" spans="2:3" ht="15" customHeight="1" x14ac:dyDescent="0.3">
      <c r="B299" s="6" t="s">
        <v>1692</v>
      </c>
      <c r="C299" t="s">
        <v>4843</v>
      </c>
    </row>
    <row r="300" spans="2:3" ht="15" customHeight="1" x14ac:dyDescent="0.3">
      <c r="B300" s="6" t="s">
        <v>1697</v>
      </c>
      <c r="C300" t="s">
        <v>4844</v>
      </c>
    </row>
    <row r="301" spans="2:3" ht="15" customHeight="1" x14ac:dyDescent="0.3">
      <c r="B301" s="6" t="s">
        <v>1700</v>
      </c>
      <c r="C301" t="s">
        <v>4845</v>
      </c>
    </row>
    <row r="302" spans="2:3" ht="15" customHeight="1" x14ac:dyDescent="0.3">
      <c r="B302" s="6" t="s">
        <v>1703</v>
      </c>
      <c r="C302" t="s">
        <v>4846</v>
      </c>
    </row>
    <row r="303" spans="2:3" ht="15" customHeight="1" x14ac:dyDescent="0.3">
      <c r="B303" s="6" t="s">
        <v>1707</v>
      </c>
      <c r="C303" t="s">
        <v>4847</v>
      </c>
    </row>
    <row r="304" spans="2:3" ht="15" customHeight="1" x14ac:dyDescent="0.3">
      <c r="B304" s="6" t="s">
        <v>1713</v>
      </c>
      <c r="C304" t="s">
        <v>4848</v>
      </c>
    </row>
    <row r="305" spans="2:3" ht="15" customHeight="1" x14ac:dyDescent="0.3">
      <c r="B305" s="6" t="s">
        <v>1719</v>
      </c>
      <c r="C305" t="s">
        <v>4849</v>
      </c>
    </row>
    <row r="306" spans="2:3" ht="15" customHeight="1" x14ac:dyDescent="0.3">
      <c r="B306" s="6" t="s">
        <v>1723</v>
      </c>
      <c r="C306" t="s">
        <v>4850</v>
      </c>
    </row>
    <row r="307" spans="2:3" ht="15" customHeight="1" x14ac:dyDescent="0.3">
      <c r="B307" s="6" t="s">
        <v>1726</v>
      </c>
      <c r="C307" t="s">
        <v>4851</v>
      </c>
    </row>
    <row r="308" spans="2:3" ht="15" customHeight="1" x14ac:dyDescent="0.3">
      <c r="B308" s="6" t="s">
        <v>1732</v>
      </c>
      <c r="C308" t="s">
        <v>4852</v>
      </c>
    </row>
    <row r="309" spans="2:3" ht="15" customHeight="1" x14ac:dyDescent="0.3">
      <c r="B309" s="6" t="s">
        <v>1737</v>
      </c>
      <c r="C309" t="s">
        <v>4853</v>
      </c>
    </row>
    <row r="310" spans="2:3" ht="15" customHeight="1" x14ac:dyDescent="0.3">
      <c r="B310" s="6" t="s">
        <v>1740</v>
      </c>
      <c r="C310" t="s">
        <v>4854</v>
      </c>
    </row>
    <row r="311" spans="2:3" ht="15" customHeight="1" x14ac:dyDescent="0.3">
      <c r="B311" s="6" t="s">
        <v>1744</v>
      </c>
      <c r="C311" t="s">
        <v>4855</v>
      </c>
    </row>
    <row r="312" spans="2:3" ht="15" customHeight="1" x14ac:dyDescent="0.3">
      <c r="B312" s="6" t="s">
        <v>1749</v>
      </c>
      <c r="C312" t="s">
        <v>4856</v>
      </c>
    </row>
    <row r="313" spans="2:3" ht="15" customHeight="1" x14ac:dyDescent="0.3">
      <c r="B313" s="6" t="s">
        <v>1754</v>
      </c>
      <c r="C313" t="s">
        <v>4857</v>
      </c>
    </row>
    <row r="314" spans="2:3" ht="15" customHeight="1" x14ac:dyDescent="0.3">
      <c r="B314" s="6" t="s">
        <v>1759</v>
      </c>
      <c r="C314" t="s">
        <v>4858</v>
      </c>
    </row>
    <row r="315" spans="2:3" ht="15" customHeight="1" x14ac:dyDescent="0.3">
      <c r="B315" s="6" t="s">
        <v>1763</v>
      </c>
      <c r="C315" t="s">
        <v>4859</v>
      </c>
    </row>
    <row r="316" spans="2:3" ht="15" customHeight="1" x14ac:dyDescent="0.3">
      <c r="B316" s="6" t="s">
        <v>1767</v>
      </c>
      <c r="C316" t="s">
        <v>4860</v>
      </c>
    </row>
    <row r="317" spans="2:3" ht="15" customHeight="1" x14ac:dyDescent="0.3">
      <c r="B317" s="6" t="s">
        <v>1772</v>
      </c>
      <c r="C317" t="s">
        <v>4861</v>
      </c>
    </row>
    <row r="318" spans="2:3" ht="15" customHeight="1" x14ac:dyDescent="0.3">
      <c r="B318" s="6" t="s">
        <v>1776</v>
      </c>
      <c r="C318" t="s">
        <v>4862</v>
      </c>
    </row>
    <row r="319" spans="2:3" ht="15" customHeight="1" x14ac:dyDescent="0.3">
      <c r="B319" s="6" t="s">
        <v>1781</v>
      </c>
      <c r="C319" t="s">
        <v>4863</v>
      </c>
    </row>
    <row r="320" spans="2:3" ht="15" customHeight="1" x14ac:dyDescent="0.3">
      <c r="B320" s="6" t="s">
        <v>1787</v>
      </c>
      <c r="C320" t="s">
        <v>4864</v>
      </c>
    </row>
    <row r="321" spans="2:3" ht="15" customHeight="1" x14ac:dyDescent="0.3">
      <c r="B321" s="6" t="s">
        <v>1791</v>
      </c>
      <c r="C321" t="s">
        <v>4865</v>
      </c>
    </row>
    <row r="322" spans="2:3" ht="15" customHeight="1" x14ac:dyDescent="0.3">
      <c r="B322" s="6" t="s">
        <v>1796</v>
      </c>
      <c r="C322" t="s">
        <v>4866</v>
      </c>
    </row>
    <row r="323" spans="2:3" ht="15" customHeight="1" x14ac:dyDescent="0.3">
      <c r="B323" s="6" t="s">
        <v>1802</v>
      </c>
      <c r="C323" t="s">
        <v>4867</v>
      </c>
    </row>
    <row r="324" spans="2:3" ht="15" customHeight="1" x14ac:dyDescent="0.3">
      <c r="B324" s="6" t="s">
        <v>1807</v>
      </c>
      <c r="C324" t="s">
        <v>4868</v>
      </c>
    </row>
    <row r="325" spans="2:3" ht="15" customHeight="1" x14ac:dyDescent="0.3">
      <c r="B325" s="6" t="s">
        <v>1812</v>
      </c>
      <c r="C325" t="s">
        <v>4869</v>
      </c>
    </row>
    <row r="326" spans="2:3" ht="15" customHeight="1" x14ac:dyDescent="0.3">
      <c r="B326" s="6" t="s">
        <v>1819</v>
      </c>
      <c r="C326" t="s">
        <v>4743</v>
      </c>
    </row>
    <row r="327" spans="2:3" ht="15" customHeight="1" x14ac:dyDescent="0.3">
      <c r="B327" s="6" t="s">
        <v>1825</v>
      </c>
      <c r="C327" t="s">
        <v>4744</v>
      </c>
    </row>
    <row r="328" spans="2:3" ht="15" customHeight="1" x14ac:dyDescent="0.3">
      <c r="B328" s="6" t="s">
        <v>1831</v>
      </c>
      <c r="C328" t="s">
        <v>4745</v>
      </c>
    </row>
    <row r="329" spans="2:3" ht="15" customHeight="1" x14ac:dyDescent="0.3">
      <c r="B329" s="6" t="s">
        <v>1836</v>
      </c>
      <c r="C329" t="s">
        <v>4746</v>
      </c>
    </row>
    <row r="330" spans="2:3" ht="15" customHeight="1" x14ac:dyDescent="0.3">
      <c r="B330" s="6" t="s">
        <v>1841</v>
      </c>
      <c r="C330" t="s">
        <v>4747</v>
      </c>
    </row>
    <row r="331" spans="2:3" ht="15" customHeight="1" x14ac:dyDescent="0.3">
      <c r="B331" s="6" t="s">
        <v>1847</v>
      </c>
      <c r="C331" t="s">
        <v>4748</v>
      </c>
    </row>
    <row r="332" spans="2:3" ht="15" customHeight="1" x14ac:dyDescent="0.3">
      <c r="B332" s="6" t="s">
        <v>1852</v>
      </c>
      <c r="C332" t="s">
        <v>4749</v>
      </c>
    </row>
    <row r="333" spans="2:3" ht="15" customHeight="1" x14ac:dyDescent="0.3">
      <c r="B333" s="6" t="s">
        <v>1857</v>
      </c>
      <c r="C333" t="s">
        <v>4750</v>
      </c>
    </row>
    <row r="334" spans="2:3" ht="15" customHeight="1" x14ac:dyDescent="0.3">
      <c r="B334" s="6" t="s">
        <v>1862</v>
      </c>
      <c r="C334" t="s">
        <v>4751</v>
      </c>
    </row>
    <row r="335" spans="2:3" ht="15" customHeight="1" x14ac:dyDescent="0.3">
      <c r="B335" s="6" t="s">
        <v>1868</v>
      </c>
      <c r="C335" t="s">
        <v>4752</v>
      </c>
    </row>
    <row r="336" spans="2:3" ht="15" customHeight="1" x14ac:dyDescent="0.3">
      <c r="B336" s="6" t="s">
        <v>1872</v>
      </c>
      <c r="C336" t="s">
        <v>4753</v>
      </c>
    </row>
    <row r="337" spans="2:3" ht="15" customHeight="1" x14ac:dyDescent="0.3">
      <c r="B337" s="6" t="s">
        <v>1876</v>
      </c>
      <c r="C337" t="s">
        <v>4754</v>
      </c>
    </row>
    <row r="338" spans="2:3" ht="15" customHeight="1" x14ac:dyDescent="0.3">
      <c r="B338" s="6" t="s">
        <v>1882</v>
      </c>
      <c r="C338" t="s">
        <v>4755</v>
      </c>
    </row>
    <row r="339" spans="2:3" ht="15" customHeight="1" x14ac:dyDescent="0.3">
      <c r="B339" s="6" t="s">
        <v>1888</v>
      </c>
      <c r="C339" t="s">
        <v>4870</v>
      </c>
    </row>
    <row r="340" spans="2:3" ht="15" customHeight="1" x14ac:dyDescent="0.3">
      <c r="B340" s="6" t="s">
        <v>1894</v>
      </c>
      <c r="C340" t="s">
        <v>4871</v>
      </c>
    </row>
    <row r="341" spans="2:3" ht="15" customHeight="1" x14ac:dyDescent="0.3">
      <c r="B341" s="6" t="s">
        <v>1899</v>
      </c>
      <c r="C341" t="s">
        <v>4872</v>
      </c>
    </row>
    <row r="342" spans="2:3" ht="15" customHeight="1" x14ac:dyDescent="0.3">
      <c r="B342" s="6" t="s">
        <v>1903</v>
      </c>
      <c r="C342" t="s">
        <v>4873</v>
      </c>
    </row>
    <row r="343" spans="2:3" ht="15" customHeight="1" x14ac:dyDescent="0.3">
      <c r="B343" s="6" t="s">
        <v>1906</v>
      </c>
      <c r="C343" t="s">
        <v>4874</v>
      </c>
    </row>
    <row r="344" spans="2:3" ht="15" customHeight="1" x14ac:dyDescent="0.3">
      <c r="B344" s="6" t="s">
        <v>1911</v>
      </c>
      <c r="C344" t="s">
        <v>4875</v>
      </c>
    </row>
    <row r="345" spans="2:3" ht="15" customHeight="1" x14ac:dyDescent="0.3">
      <c r="B345" s="6" t="s">
        <v>1915</v>
      </c>
      <c r="C345" t="s">
        <v>4876</v>
      </c>
    </row>
    <row r="346" spans="2:3" ht="15" customHeight="1" x14ac:dyDescent="0.3">
      <c r="B346" s="6" t="s">
        <v>1918</v>
      </c>
      <c r="C346" t="s">
        <v>4877</v>
      </c>
    </row>
    <row r="347" spans="2:3" ht="15" customHeight="1" x14ac:dyDescent="0.3">
      <c r="B347" s="6" t="s">
        <v>1922</v>
      </c>
      <c r="C347" t="s">
        <v>4878</v>
      </c>
    </row>
    <row r="348" spans="2:3" ht="15" customHeight="1" x14ac:dyDescent="0.3">
      <c r="B348" s="6" t="s">
        <v>1926</v>
      </c>
      <c r="C348" t="s">
        <v>4879</v>
      </c>
    </row>
    <row r="349" spans="2:3" ht="15" customHeight="1" x14ac:dyDescent="0.3">
      <c r="B349" s="6" t="s">
        <v>1931</v>
      </c>
      <c r="C349" t="s">
        <v>4880</v>
      </c>
    </row>
    <row r="350" spans="2:3" ht="15" customHeight="1" x14ac:dyDescent="0.3">
      <c r="B350" s="6" t="s">
        <v>1937</v>
      </c>
      <c r="C350" t="s">
        <v>4881</v>
      </c>
    </row>
    <row r="351" spans="2:3" ht="15" customHeight="1" x14ac:dyDescent="0.3">
      <c r="B351" s="6" t="s">
        <v>1940</v>
      </c>
      <c r="C351" t="s">
        <v>4882</v>
      </c>
    </row>
    <row r="352" spans="2:3" ht="15" customHeight="1" x14ac:dyDescent="0.3">
      <c r="B352" s="6" t="s">
        <v>1944</v>
      </c>
      <c r="C352" t="s">
        <v>4883</v>
      </c>
    </row>
    <row r="353" spans="2:3" ht="15" customHeight="1" x14ac:dyDescent="0.3">
      <c r="B353" s="6" t="s">
        <v>1948</v>
      </c>
      <c r="C353" t="s">
        <v>4884</v>
      </c>
    </row>
    <row r="354" spans="2:3" ht="15" customHeight="1" x14ac:dyDescent="0.3">
      <c r="B354" s="6" t="s">
        <v>1954</v>
      </c>
      <c r="C354" t="s">
        <v>4885</v>
      </c>
    </row>
    <row r="355" spans="2:3" ht="15" customHeight="1" x14ac:dyDescent="0.3">
      <c r="B355" s="6" t="s">
        <v>1958</v>
      </c>
      <c r="C355" t="s">
        <v>4886</v>
      </c>
    </row>
    <row r="356" spans="2:3" ht="15" customHeight="1" x14ac:dyDescent="0.3">
      <c r="B356" s="6" t="s">
        <v>1963</v>
      </c>
      <c r="C356" t="s">
        <v>4887</v>
      </c>
    </row>
    <row r="357" spans="2:3" ht="15" customHeight="1" x14ac:dyDescent="0.3">
      <c r="B357" s="6" t="s">
        <v>1967</v>
      </c>
      <c r="C357" t="s">
        <v>4888</v>
      </c>
    </row>
    <row r="358" spans="2:3" ht="15" customHeight="1" x14ac:dyDescent="0.3">
      <c r="B358" s="6" t="s">
        <v>1971</v>
      </c>
      <c r="C358" t="s">
        <v>4889</v>
      </c>
    </row>
    <row r="359" spans="2:3" ht="15" customHeight="1" x14ac:dyDescent="0.3">
      <c r="B359" s="6" t="s">
        <v>1976</v>
      </c>
      <c r="C359" t="s">
        <v>4890</v>
      </c>
    </row>
    <row r="360" spans="2:3" ht="15" customHeight="1" x14ac:dyDescent="0.3">
      <c r="B360" s="6" t="s">
        <v>1979</v>
      </c>
      <c r="C360" t="s">
        <v>4891</v>
      </c>
    </row>
    <row r="361" spans="2:3" ht="15" customHeight="1" x14ac:dyDescent="0.3">
      <c r="B361" s="6" t="s">
        <v>1984</v>
      </c>
      <c r="C361" t="s">
        <v>4562</v>
      </c>
    </row>
    <row r="362" spans="2:3" ht="15" customHeight="1" x14ac:dyDescent="0.3">
      <c r="B362" s="6" t="s">
        <v>1989</v>
      </c>
      <c r="C362" t="s">
        <v>4563</v>
      </c>
    </row>
    <row r="363" spans="2:3" ht="15" customHeight="1" x14ac:dyDescent="0.3">
      <c r="B363" s="6" t="s">
        <v>1995</v>
      </c>
      <c r="C363" t="s">
        <v>4564</v>
      </c>
    </row>
    <row r="364" spans="2:3" ht="15" customHeight="1" x14ac:dyDescent="0.3">
      <c r="B364" s="6" t="s">
        <v>1999</v>
      </c>
      <c r="C364" t="s">
        <v>4565</v>
      </c>
    </row>
    <row r="365" spans="2:3" ht="15" customHeight="1" x14ac:dyDescent="0.3">
      <c r="B365" s="6" t="s">
        <v>2003</v>
      </c>
      <c r="C365" t="s">
        <v>4892</v>
      </c>
    </row>
    <row r="366" spans="2:3" ht="15" customHeight="1" x14ac:dyDescent="0.3">
      <c r="B366" s="6" t="s">
        <v>2007</v>
      </c>
      <c r="C366" t="s">
        <v>4893</v>
      </c>
    </row>
    <row r="367" spans="2:3" ht="15" customHeight="1" x14ac:dyDescent="0.3">
      <c r="B367" s="6" t="s">
        <v>2011</v>
      </c>
      <c r="C367" t="s">
        <v>4894</v>
      </c>
    </row>
    <row r="368" spans="2:3" ht="15" customHeight="1" x14ac:dyDescent="0.3">
      <c r="B368" s="6" t="s">
        <v>2016</v>
      </c>
      <c r="C368" t="s">
        <v>4895</v>
      </c>
    </row>
    <row r="369" spans="2:3" ht="15" customHeight="1" x14ac:dyDescent="0.3">
      <c r="B369" s="6" t="s">
        <v>2021</v>
      </c>
      <c r="C369" t="s">
        <v>4896</v>
      </c>
    </row>
    <row r="370" spans="2:3" ht="15" customHeight="1" x14ac:dyDescent="0.3">
      <c r="B370" s="6" t="s">
        <v>2026</v>
      </c>
      <c r="C370" t="s">
        <v>4897</v>
      </c>
    </row>
    <row r="371" spans="2:3" ht="15" customHeight="1" x14ac:dyDescent="0.3">
      <c r="B371" s="6" t="s">
        <v>2030</v>
      </c>
      <c r="C371" t="s">
        <v>4898</v>
      </c>
    </row>
    <row r="372" spans="2:3" ht="15" customHeight="1" x14ac:dyDescent="0.3">
      <c r="B372" s="6" t="s">
        <v>2034</v>
      </c>
      <c r="C372" t="s">
        <v>4899</v>
      </c>
    </row>
    <row r="373" spans="2:3" ht="15" customHeight="1" x14ac:dyDescent="0.3">
      <c r="B373" s="6" t="s">
        <v>2040</v>
      </c>
      <c r="C373" t="s">
        <v>4900</v>
      </c>
    </row>
    <row r="374" spans="2:3" ht="15" customHeight="1" x14ac:dyDescent="0.3">
      <c r="B374" s="6" t="s">
        <v>2047</v>
      </c>
      <c r="C374" t="s">
        <v>4901</v>
      </c>
    </row>
    <row r="375" spans="2:3" ht="15" customHeight="1" x14ac:dyDescent="0.3">
      <c r="B375" s="6" t="s">
        <v>2052</v>
      </c>
      <c r="C375" t="s">
        <v>4902</v>
      </c>
    </row>
    <row r="376" spans="2:3" ht="15" customHeight="1" x14ac:dyDescent="0.3">
      <c r="B376" s="6" t="s">
        <v>2056</v>
      </c>
      <c r="C376" t="s">
        <v>4906</v>
      </c>
    </row>
    <row r="377" spans="2:3" ht="15" customHeight="1" x14ac:dyDescent="0.3">
      <c r="B377" s="6" t="s">
        <v>2061</v>
      </c>
      <c r="C377" t="s">
        <v>4907</v>
      </c>
    </row>
    <row r="378" spans="2:3" ht="15" customHeight="1" x14ac:dyDescent="0.3">
      <c r="B378" s="6" t="s">
        <v>2066</v>
      </c>
      <c r="C378" t="s">
        <v>4908</v>
      </c>
    </row>
    <row r="379" spans="2:3" ht="15" customHeight="1" x14ac:dyDescent="0.3">
      <c r="B379" s="6" t="s">
        <v>2070</v>
      </c>
      <c r="C379" t="s">
        <v>4909</v>
      </c>
    </row>
    <row r="380" spans="2:3" ht="15" customHeight="1" x14ac:dyDescent="0.3">
      <c r="B380" s="6" t="s">
        <v>2075</v>
      </c>
      <c r="C380" t="s">
        <v>4910</v>
      </c>
    </row>
    <row r="381" spans="2:3" ht="15" customHeight="1" x14ac:dyDescent="0.3">
      <c r="B381" s="6" t="s">
        <v>2078</v>
      </c>
      <c r="C381" t="s">
        <v>4911</v>
      </c>
    </row>
    <row r="382" spans="2:3" ht="15" customHeight="1" x14ac:dyDescent="0.3">
      <c r="B382" s="6" t="s">
        <v>2082</v>
      </c>
      <c r="C382" t="s">
        <v>4912</v>
      </c>
    </row>
    <row r="383" spans="2:3" ht="15" customHeight="1" x14ac:dyDescent="0.3">
      <c r="B383" s="6" t="s">
        <v>2086</v>
      </c>
      <c r="C383" t="s">
        <v>4913</v>
      </c>
    </row>
    <row r="384" spans="2:3" ht="15" customHeight="1" x14ac:dyDescent="0.3">
      <c r="B384" s="6" t="s">
        <v>2091</v>
      </c>
      <c r="C384" t="s">
        <v>4914</v>
      </c>
    </row>
    <row r="385" spans="2:3" ht="15" customHeight="1" x14ac:dyDescent="0.3">
      <c r="B385" s="6" t="s">
        <v>2095</v>
      </c>
      <c r="C385" t="s">
        <v>4915</v>
      </c>
    </row>
    <row r="386" spans="2:3" ht="15" customHeight="1" x14ac:dyDescent="0.3">
      <c r="B386" s="6" t="s">
        <v>2099</v>
      </c>
      <c r="C386" t="s">
        <v>4916</v>
      </c>
    </row>
    <row r="387" spans="2:3" ht="15" customHeight="1" x14ac:dyDescent="0.3">
      <c r="B387" s="6" t="s">
        <v>2103</v>
      </c>
      <c r="C387" t="s">
        <v>4917</v>
      </c>
    </row>
    <row r="388" spans="2:3" ht="15" customHeight="1" x14ac:dyDescent="0.3">
      <c r="B388" s="6" t="s">
        <v>2110</v>
      </c>
      <c r="C388" t="s">
        <v>4918</v>
      </c>
    </row>
    <row r="389" spans="2:3" ht="15" customHeight="1" x14ac:dyDescent="0.3">
      <c r="B389" s="6" t="s">
        <v>2115</v>
      </c>
      <c r="C389" t="s">
        <v>4919</v>
      </c>
    </row>
    <row r="390" spans="2:3" ht="15" customHeight="1" x14ac:dyDescent="0.3">
      <c r="B390" s="6" t="s">
        <v>2121</v>
      </c>
      <c r="C390" t="s">
        <v>4920</v>
      </c>
    </row>
    <row r="391" spans="2:3" ht="15" customHeight="1" x14ac:dyDescent="0.3">
      <c r="B391" s="6" t="s">
        <v>2125</v>
      </c>
      <c r="C391" t="s">
        <v>4921</v>
      </c>
    </row>
    <row r="392" spans="2:3" ht="15" customHeight="1" x14ac:dyDescent="0.3">
      <c r="B392" s="6" t="s">
        <v>2130</v>
      </c>
      <c r="C392" t="s">
        <v>4922</v>
      </c>
    </row>
    <row r="393" spans="2:3" ht="15" customHeight="1" x14ac:dyDescent="0.3">
      <c r="B393" s="6" t="s">
        <v>2136</v>
      </c>
      <c r="C393" t="s">
        <v>4923</v>
      </c>
    </row>
    <row r="394" spans="2:3" ht="15" customHeight="1" x14ac:dyDescent="0.3">
      <c r="B394" s="6" t="s">
        <v>2140</v>
      </c>
      <c r="C394" t="s">
        <v>4924</v>
      </c>
    </row>
    <row r="395" spans="2:3" ht="15" customHeight="1" x14ac:dyDescent="0.3">
      <c r="B395" s="6" t="s">
        <v>2145</v>
      </c>
      <c r="C395" t="s">
        <v>4925</v>
      </c>
    </row>
    <row r="396" spans="2:3" ht="15" customHeight="1" x14ac:dyDescent="0.3">
      <c r="B396" s="6" t="s">
        <v>2151</v>
      </c>
      <c r="C396" t="s">
        <v>4926</v>
      </c>
    </row>
    <row r="397" spans="2:3" ht="15" customHeight="1" x14ac:dyDescent="0.3">
      <c r="B397" s="6" t="s">
        <v>2155</v>
      </c>
      <c r="C397" t="s">
        <v>4927</v>
      </c>
    </row>
    <row r="398" spans="2:3" ht="15" customHeight="1" x14ac:dyDescent="0.3">
      <c r="B398" s="6" t="s">
        <v>2160</v>
      </c>
      <c r="C398" t="s">
        <v>4928</v>
      </c>
    </row>
    <row r="399" spans="2:3" ht="15" customHeight="1" x14ac:dyDescent="0.3">
      <c r="B399" s="6" t="s">
        <v>2165</v>
      </c>
      <c r="C399" t="s">
        <v>4929</v>
      </c>
    </row>
    <row r="400" spans="2:3" ht="15" customHeight="1" x14ac:dyDescent="0.3">
      <c r="B400" s="6" t="s">
        <v>2168</v>
      </c>
      <c r="C400" t="s">
        <v>4930</v>
      </c>
    </row>
    <row r="401" spans="2:3" ht="15" customHeight="1" x14ac:dyDescent="0.3">
      <c r="B401" s="6" t="s">
        <v>2174</v>
      </c>
      <c r="C401" t="s">
        <v>4931</v>
      </c>
    </row>
    <row r="402" spans="2:3" ht="15" customHeight="1" x14ac:dyDescent="0.3">
      <c r="B402" s="6" t="s">
        <v>2177</v>
      </c>
      <c r="C402" t="s">
        <v>4932</v>
      </c>
    </row>
    <row r="403" spans="2:3" ht="15" customHeight="1" x14ac:dyDescent="0.3">
      <c r="B403" s="6" t="s">
        <v>2183</v>
      </c>
      <c r="C403" t="s">
        <v>4933</v>
      </c>
    </row>
    <row r="404" spans="2:3" ht="15" customHeight="1" x14ac:dyDescent="0.3">
      <c r="B404" s="6" t="s">
        <v>2189</v>
      </c>
      <c r="C404" t="s">
        <v>4934</v>
      </c>
    </row>
    <row r="405" spans="2:3" ht="15" customHeight="1" x14ac:dyDescent="0.3">
      <c r="B405" s="6" t="s">
        <v>2195</v>
      </c>
      <c r="C405" t="s">
        <v>4935</v>
      </c>
    </row>
    <row r="406" spans="2:3" ht="15" customHeight="1" x14ac:dyDescent="0.3">
      <c r="B406" s="6" t="s">
        <v>2200</v>
      </c>
      <c r="C406" t="s">
        <v>4936</v>
      </c>
    </row>
    <row r="407" spans="2:3" ht="15" customHeight="1" x14ac:dyDescent="0.3">
      <c r="B407" s="6" t="s">
        <v>2205</v>
      </c>
      <c r="C407" t="s">
        <v>4937</v>
      </c>
    </row>
    <row r="408" spans="2:3" ht="15" customHeight="1" x14ac:dyDescent="0.3">
      <c r="B408" s="6" t="s">
        <v>2210</v>
      </c>
      <c r="C408" t="s">
        <v>4938</v>
      </c>
    </row>
    <row r="409" spans="2:3" ht="15" customHeight="1" x14ac:dyDescent="0.3">
      <c r="B409" s="6" t="s">
        <v>2215</v>
      </c>
      <c r="C409" t="s">
        <v>4939</v>
      </c>
    </row>
    <row r="410" spans="2:3" ht="15" customHeight="1" x14ac:dyDescent="0.3">
      <c r="B410" s="6" t="s">
        <v>2219</v>
      </c>
      <c r="C410" t="s">
        <v>4940</v>
      </c>
    </row>
    <row r="411" spans="2:3" ht="15" customHeight="1" x14ac:dyDescent="0.3">
      <c r="B411" s="6" t="s">
        <v>2223</v>
      </c>
      <c r="C411" t="s">
        <v>4941</v>
      </c>
    </row>
    <row r="412" spans="2:3" ht="15" customHeight="1" x14ac:dyDescent="0.3">
      <c r="B412" s="6" t="s">
        <v>2229</v>
      </c>
      <c r="C412" t="s">
        <v>4942</v>
      </c>
    </row>
    <row r="413" spans="2:3" ht="15" customHeight="1" x14ac:dyDescent="0.3">
      <c r="B413" s="6" t="s">
        <v>2234</v>
      </c>
      <c r="C413" t="s">
        <v>4943</v>
      </c>
    </row>
    <row r="414" spans="2:3" ht="15" customHeight="1" x14ac:dyDescent="0.3">
      <c r="B414" s="6" t="s">
        <v>2239</v>
      </c>
      <c r="C414" t="s">
        <v>4944</v>
      </c>
    </row>
    <row r="415" spans="2:3" ht="15" customHeight="1" x14ac:dyDescent="0.3">
      <c r="B415" s="6" t="s">
        <v>2246</v>
      </c>
      <c r="C415" t="s">
        <v>4945</v>
      </c>
    </row>
    <row r="416" spans="2:3" ht="15" customHeight="1" x14ac:dyDescent="0.3">
      <c r="B416" s="6" t="s">
        <v>2251</v>
      </c>
      <c r="C416" t="s">
        <v>4946</v>
      </c>
    </row>
    <row r="417" spans="2:3" ht="15" customHeight="1" x14ac:dyDescent="0.3">
      <c r="B417" s="6" t="s">
        <v>2255</v>
      </c>
      <c r="C417" t="s">
        <v>4947</v>
      </c>
    </row>
    <row r="418" spans="2:3" ht="15" customHeight="1" x14ac:dyDescent="0.3">
      <c r="B418" s="6" t="s">
        <v>2261</v>
      </c>
      <c r="C418" t="s">
        <v>4948</v>
      </c>
    </row>
    <row r="419" spans="2:3" ht="15" customHeight="1" x14ac:dyDescent="0.3">
      <c r="B419" s="6" t="s">
        <v>2263</v>
      </c>
      <c r="C419" t="s">
        <v>4949</v>
      </c>
    </row>
    <row r="420" spans="2:3" ht="15" customHeight="1" x14ac:dyDescent="0.3">
      <c r="B420" s="6" t="s">
        <v>2268</v>
      </c>
      <c r="C420" t="s">
        <v>4950</v>
      </c>
    </row>
    <row r="421" spans="2:3" ht="15" customHeight="1" x14ac:dyDescent="0.3">
      <c r="B421" s="6" t="s">
        <v>2274</v>
      </c>
      <c r="C421" t="s">
        <v>4951</v>
      </c>
    </row>
    <row r="422" spans="2:3" ht="15" customHeight="1" x14ac:dyDescent="0.3">
      <c r="B422" s="6" t="s">
        <v>2279</v>
      </c>
      <c r="C422" t="s">
        <v>4952</v>
      </c>
    </row>
    <row r="423" spans="2:3" ht="15" customHeight="1" x14ac:dyDescent="0.3">
      <c r="B423" s="6" t="s">
        <v>2283</v>
      </c>
      <c r="C423" t="s">
        <v>4953</v>
      </c>
    </row>
    <row r="424" spans="2:3" ht="15" customHeight="1" x14ac:dyDescent="0.3">
      <c r="B424" s="6" t="s">
        <v>2287</v>
      </c>
      <c r="C424" t="s">
        <v>4954</v>
      </c>
    </row>
    <row r="425" spans="2:3" ht="15" customHeight="1" x14ac:dyDescent="0.3">
      <c r="B425" s="6" t="s">
        <v>2291</v>
      </c>
      <c r="C425" t="s">
        <v>4955</v>
      </c>
    </row>
    <row r="426" spans="2:3" ht="15" customHeight="1" x14ac:dyDescent="0.3">
      <c r="B426" s="6" t="s">
        <v>2296</v>
      </c>
      <c r="C426" t="s">
        <v>4956</v>
      </c>
    </row>
    <row r="427" spans="2:3" ht="15" customHeight="1" x14ac:dyDescent="0.3">
      <c r="B427" s="6" t="s">
        <v>2302</v>
      </c>
      <c r="C427" t="s">
        <v>4957</v>
      </c>
    </row>
    <row r="428" spans="2:3" ht="15" customHeight="1" x14ac:dyDescent="0.3">
      <c r="B428" s="6" t="s">
        <v>2306</v>
      </c>
      <c r="C428" t="s">
        <v>4958</v>
      </c>
    </row>
    <row r="429" spans="2:3" ht="15" customHeight="1" x14ac:dyDescent="0.3">
      <c r="B429" s="6" t="s">
        <v>2309</v>
      </c>
      <c r="C429" t="s">
        <v>4959</v>
      </c>
    </row>
    <row r="430" spans="2:3" ht="15" customHeight="1" x14ac:dyDescent="0.3">
      <c r="B430" s="6" t="s">
        <v>2314</v>
      </c>
      <c r="C430" t="s">
        <v>4960</v>
      </c>
    </row>
    <row r="431" spans="2:3" ht="15" customHeight="1" x14ac:dyDescent="0.3">
      <c r="B431" s="6" t="s">
        <v>2318</v>
      </c>
      <c r="C431" t="s">
        <v>4961</v>
      </c>
    </row>
    <row r="432" spans="2:3" ht="15" customHeight="1" x14ac:dyDescent="0.3">
      <c r="B432" s="6" t="s">
        <v>2322</v>
      </c>
      <c r="C432" t="s">
        <v>4962</v>
      </c>
    </row>
    <row r="433" spans="2:3" ht="15" customHeight="1" x14ac:dyDescent="0.3">
      <c r="B433" s="6" t="s">
        <v>2328</v>
      </c>
      <c r="C433" t="s">
        <v>4963</v>
      </c>
    </row>
    <row r="434" spans="2:3" ht="15" customHeight="1" x14ac:dyDescent="0.3">
      <c r="B434" s="6" t="s">
        <v>2333</v>
      </c>
      <c r="C434" t="s">
        <v>4964</v>
      </c>
    </row>
    <row r="435" spans="2:3" ht="15" customHeight="1" x14ac:dyDescent="0.3">
      <c r="B435" s="6" t="s">
        <v>2337</v>
      </c>
      <c r="C435" t="s">
        <v>4965</v>
      </c>
    </row>
    <row r="436" spans="2:3" ht="15" customHeight="1" x14ac:dyDescent="0.3">
      <c r="B436" s="6" t="s">
        <v>2343</v>
      </c>
      <c r="C436" t="s">
        <v>4966</v>
      </c>
    </row>
    <row r="437" spans="2:3" ht="15" customHeight="1" x14ac:dyDescent="0.3">
      <c r="B437" s="6" t="s">
        <v>2347</v>
      </c>
      <c r="C437" t="s">
        <v>4967</v>
      </c>
    </row>
    <row r="438" spans="2:3" ht="15" customHeight="1" x14ac:dyDescent="0.3">
      <c r="B438" s="6" t="s">
        <v>2350</v>
      </c>
      <c r="C438" t="s">
        <v>4968</v>
      </c>
    </row>
    <row r="439" spans="2:3" ht="15" customHeight="1" x14ac:dyDescent="0.3">
      <c r="B439" s="6" t="s">
        <v>2355</v>
      </c>
      <c r="C439" t="s">
        <v>4969</v>
      </c>
    </row>
    <row r="440" spans="2:3" ht="15" customHeight="1" x14ac:dyDescent="0.3">
      <c r="B440" s="6" t="s">
        <v>2360</v>
      </c>
      <c r="C440" t="s">
        <v>4970</v>
      </c>
    </row>
    <row r="441" spans="2:3" ht="15" customHeight="1" x14ac:dyDescent="0.3">
      <c r="B441" s="6" t="s">
        <v>2362</v>
      </c>
      <c r="C441" t="s">
        <v>4971</v>
      </c>
    </row>
    <row r="442" spans="2:3" ht="15" customHeight="1" x14ac:dyDescent="0.3">
      <c r="B442" s="6" t="s">
        <v>2366</v>
      </c>
      <c r="C442" t="s">
        <v>4972</v>
      </c>
    </row>
    <row r="443" spans="2:3" ht="15" customHeight="1" x14ac:dyDescent="0.3">
      <c r="B443" s="6" t="s">
        <v>2371</v>
      </c>
      <c r="C443" t="s">
        <v>4973</v>
      </c>
    </row>
    <row r="444" spans="2:3" ht="15" customHeight="1" x14ac:dyDescent="0.3">
      <c r="B444" s="6" t="s">
        <v>2376</v>
      </c>
      <c r="C444" t="s">
        <v>4974</v>
      </c>
    </row>
    <row r="445" spans="2:3" ht="15" customHeight="1" x14ac:dyDescent="0.3">
      <c r="B445" s="6" t="s">
        <v>2378</v>
      </c>
      <c r="C445" t="s">
        <v>4975</v>
      </c>
    </row>
    <row r="446" spans="2:3" ht="15" customHeight="1" x14ac:dyDescent="0.3">
      <c r="B446" s="6" t="s">
        <v>2382</v>
      </c>
      <c r="C446" t="s">
        <v>4976</v>
      </c>
    </row>
    <row r="447" spans="2:3" ht="15" customHeight="1" x14ac:dyDescent="0.3">
      <c r="B447" s="6" t="s">
        <v>2387</v>
      </c>
      <c r="C447" t="s">
        <v>4977</v>
      </c>
    </row>
    <row r="448" spans="2:3" ht="15" customHeight="1" x14ac:dyDescent="0.3">
      <c r="B448" s="6" t="s">
        <v>2392</v>
      </c>
      <c r="C448" t="s">
        <v>4978</v>
      </c>
    </row>
    <row r="449" spans="2:3" ht="15" customHeight="1" x14ac:dyDescent="0.3">
      <c r="B449" s="6" t="s">
        <v>2395</v>
      </c>
      <c r="C449" t="s">
        <v>4980</v>
      </c>
    </row>
    <row r="450" spans="2:3" ht="15" customHeight="1" x14ac:dyDescent="0.3">
      <c r="B450" s="6" t="s">
        <v>2401</v>
      </c>
      <c r="C450" t="s">
        <v>4979</v>
      </c>
    </row>
    <row r="451" spans="2:3" ht="15" customHeight="1" x14ac:dyDescent="0.3">
      <c r="B451" s="6" t="s">
        <v>2407</v>
      </c>
      <c r="C451" t="s">
        <v>4981</v>
      </c>
    </row>
    <row r="452" spans="2:3" ht="15" customHeight="1" x14ac:dyDescent="0.3">
      <c r="B452" s="6" t="s">
        <v>2411</v>
      </c>
      <c r="C452" t="s">
        <v>4982</v>
      </c>
    </row>
    <row r="453" spans="2:3" ht="15" customHeight="1" x14ac:dyDescent="0.3">
      <c r="B453" s="6" t="s">
        <v>2416</v>
      </c>
      <c r="C453" t="s">
        <v>4983</v>
      </c>
    </row>
    <row r="454" spans="2:3" ht="15" customHeight="1" x14ac:dyDescent="0.3">
      <c r="B454" s="6" t="s">
        <v>2419</v>
      </c>
      <c r="C454" t="s">
        <v>4984</v>
      </c>
    </row>
    <row r="455" spans="2:3" ht="15" customHeight="1" x14ac:dyDescent="0.3">
      <c r="B455" s="6" t="s">
        <v>2422</v>
      </c>
      <c r="C455" t="s">
        <v>4985</v>
      </c>
    </row>
    <row r="456" spans="2:3" ht="15" customHeight="1" x14ac:dyDescent="0.3">
      <c r="B456" s="6" t="s">
        <v>2426</v>
      </c>
      <c r="C456" t="s">
        <v>4986</v>
      </c>
    </row>
    <row r="457" spans="2:3" ht="15" customHeight="1" x14ac:dyDescent="0.3">
      <c r="B457" s="6" t="s">
        <v>2430</v>
      </c>
      <c r="C457" t="s">
        <v>4987</v>
      </c>
    </row>
    <row r="458" spans="2:3" ht="15" customHeight="1" x14ac:dyDescent="0.3">
      <c r="B458" s="6" t="s">
        <v>2433</v>
      </c>
      <c r="C458" t="s">
        <v>4988</v>
      </c>
    </row>
    <row r="459" spans="2:3" ht="15" customHeight="1" x14ac:dyDescent="0.3">
      <c r="B459" s="6" t="s">
        <v>2439</v>
      </c>
      <c r="C459" t="s">
        <v>4989</v>
      </c>
    </row>
    <row r="460" spans="2:3" ht="15" customHeight="1" x14ac:dyDescent="0.3">
      <c r="B460" s="6" t="s">
        <v>2444</v>
      </c>
      <c r="C460" t="s">
        <v>4990</v>
      </c>
    </row>
    <row r="461" spans="2:3" ht="15" customHeight="1" x14ac:dyDescent="0.3">
      <c r="B461" s="6" t="s">
        <v>2448</v>
      </c>
      <c r="C461" t="s">
        <v>4991</v>
      </c>
    </row>
    <row r="462" spans="2:3" ht="15" customHeight="1" x14ac:dyDescent="0.3">
      <c r="B462" s="6" t="s">
        <v>2452</v>
      </c>
      <c r="C462" t="s">
        <v>4992</v>
      </c>
    </row>
    <row r="463" spans="2:3" ht="15" customHeight="1" x14ac:dyDescent="0.3">
      <c r="B463" s="6" t="s">
        <v>2457</v>
      </c>
      <c r="C463" t="s">
        <v>4993</v>
      </c>
    </row>
    <row r="464" spans="2:3" ht="15" customHeight="1" x14ac:dyDescent="0.3">
      <c r="B464" s="6" t="s">
        <v>2462</v>
      </c>
      <c r="C464" t="s">
        <v>4994</v>
      </c>
    </row>
    <row r="465" spans="2:3" ht="15" customHeight="1" x14ac:dyDescent="0.3">
      <c r="B465" s="6" t="s">
        <v>2467</v>
      </c>
      <c r="C465" t="s">
        <v>4995</v>
      </c>
    </row>
    <row r="466" spans="2:3" ht="15" customHeight="1" x14ac:dyDescent="0.3">
      <c r="B466" s="6" t="s">
        <v>2472</v>
      </c>
      <c r="C466" t="s">
        <v>4996</v>
      </c>
    </row>
    <row r="467" spans="2:3" ht="15" customHeight="1" x14ac:dyDescent="0.3">
      <c r="B467" s="6" t="s">
        <v>2476</v>
      </c>
      <c r="C467" t="s">
        <v>4997</v>
      </c>
    </row>
    <row r="468" spans="2:3" ht="15" customHeight="1" x14ac:dyDescent="0.3">
      <c r="B468" s="6" t="s">
        <v>2481</v>
      </c>
      <c r="C468" t="s">
        <v>4998</v>
      </c>
    </row>
    <row r="469" spans="2:3" ht="15" customHeight="1" x14ac:dyDescent="0.3">
      <c r="B469" s="6" t="s">
        <v>2488</v>
      </c>
      <c r="C469" t="s">
        <v>4999</v>
      </c>
    </row>
    <row r="470" spans="2:3" ht="15" customHeight="1" x14ac:dyDescent="0.3">
      <c r="B470" s="6" t="s">
        <v>2493</v>
      </c>
      <c r="C470" t="s">
        <v>5000</v>
      </c>
    </row>
    <row r="471" spans="2:3" ht="15" customHeight="1" x14ac:dyDescent="0.3">
      <c r="B471" s="6" t="s">
        <v>2496</v>
      </c>
      <c r="C471" t="s">
        <v>5001</v>
      </c>
    </row>
    <row r="472" spans="2:3" ht="15" customHeight="1" x14ac:dyDescent="0.3">
      <c r="B472" s="6" t="s">
        <v>2501</v>
      </c>
      <c r="C472" t="s">
        <v>5002</v>
      </c>
    </row>
    <row r="473" spans="2:3" ht="15" customHeight="1" x14ac:dyDescent="0.3">
      <c r="B473" s="6" t="s">
        <v>2506</v>
      </c>
      <c r="C473" t="s">
        <v>5003</v>
      </c>
    </row>
    <row r="474" spans="2:3" ht="15" customHeight="1" x14ac:dyDescent="0.3">
      <c r="B474" s="6" t="s">
        <v>2508</v>
      </c>
      <c r="C474" t="s">
        <v>5004</v>
      </c>
    </row>
    <row r="475" spans="2:3" ht="15" customHeight="1" x14ac:dyDescent="0.3">
      <c r="B475" s="6" t="s">
        <v>2514</v>
      </c>
      <c r="C475" t="s">
        <v>5005</v>
      </c>
    </row>
    <row r="476" spans="2:3" ht="15" customHeight="1" x14ac:dyDescent="0.3">
      <c r="B476" s="6" t="s">
        <v>2519</v>
      </c>
      <c r="C476" t="s">
        <v>5006</v>
      </c>
    </row>
    <row r="477" spans="2:3" ht="15" customHeight="1" x14ac:dyDescent="0.3">
      <c r="B477" s="6" t="s">
        <v>2523</v>
      </c>
      <c r="C477" t="s">
        <v>5007</v>
      </c>
    </row>
    <row r="478" spans="2:3" ht="15" customHeight="1" x14ac:dyDescent="0.3">
      <c r="B478" s="6" t="s">
        <v>2527</v>
      </c>
      <c r="C478" t="s">
        <v>5008</v>
      </c>
    </row>
    <row r="479" spans="2:3" ht="15" customHeight="1" x14ac:dyDescent="0.3">
      <c r="B479" s="6" t="s">
        <v>2531</v>
      </c>
      <c r="C479" t="s">
        <v>5009</v>
      </c>
    </row>
    <row r="480" spans="2:3" ht="15" customHeight="1" x14ac:dyDescent="0.3">
      <c r="B480" s="6" t="s">
        <v>2536</v>
      </c>
      <c r="C480" t="s">
        <v>5010</v>
      </c>
    </row>
    <row r="481" spans="2:3" ht="15" customHeight="1" x14ac:dyDescent="0.3">
      <c r="B481" s="6" t="s">
        <v>2540</v>
      </c>
      <c r="C481" t="s">
        <v>5011</v>
      </c>
    </row>
    <row r="482" spans="2:3" ht="15" customHeight="1" x14ac:dyDescent="0.3">
      <c r="B482" s="6" t="s">
        <v>2545</v>
      </c>
      <c r="C482" t="s">
        <v>5012</v>
      </c>
    </row>
    <row r="483" spans="2:3" ht="15" customHeight="1" x14ac:dyDescent="0.3">
      <c r="B483" s="6" t="s">
        <v>2550</v>
      </c>
      <c r="C483" t="s">
        <v>5013</v>
      </c>
    </row>
    <row r="484" spans="2:3" ht="15" customHeight="1" x14ac:dyDescent="0.3">
      <c r="B484" s="6" t="s">
        <v>2555</v>
      </c>
      <c r="C484" t="s">
        <v>5014</v>
      </c>
    </row>
    <row r="485" spans="2:3" ht="15" customHeight="1" x14ac:dyDescent="0.3">
      <c r="B485" s="6" t="s">
        <v>2562</v>
      </c>
      <c r="C485" t="s">
        <v>5015</v>
      </c>
    </row>
    <row r="486" spans="2:3" ht="15" customHeight="1" x14ac:dyDescent="0.3">
      <c r="B486" s="6" t="s">
        <v>2566</v>
      </c>
      <c r="C486" t="s">
        <v>5016</v>
      </c>
    </row>
    <row r="487" spans="2:3" ht="15" customHeight="1" x14ac:dyDescent="0.3">
      <c r="B487" s="6" t="s">
        <v>2570</v>
      </c>
      <c r="C487" t="s">
        <v>5017</v>
      </c>
    </row>
    <row r="488" spans="2:3" ht="15" customHeight="1" x14ac:dyDescent="0.3">
      <c r="B488" s="6" t="s">
        <v>2576</v>
      </c>
      <c r="C488" t="s">
        <v>5018</v>
      </c>
    </row>
    <row r="489" spans="2:3" ht="15" customHeight="1" x14ac:dyDescent="0.3">
      <c r="B489" s="6" t="s">
        <v>2580</v>
      </c>
      <c r="C489" t="s">
        <v>5019</v>
      </c>
    </row>
    <row r="490" spans="2:3" ht="15" customHeight="1" x14ac:dyDescent="0.3">
      <c r="B490" s="6" t="s">
        <v>2584</v>
      </c>
      <c r="C490" t="s">
        <v>5020</v>
      </c>
    </row>
    <row r="491" spans="2:3" ht="15" customHeight="1" x14ac:dyDescent="0.3">
      <c r="B491" s="6" t="s">
        <v>2589</v>
      </c>
      <c r="C491" t="s">
        <v>5021</v>
      </c>
    </row>
    <row r="492" spans="2:3" ht="15" customHeight="1" x14ac:dyDescent="0.3">
      <c r="B492" s="6" t="s">
        <v>2594</v>
      </c>
      <c r="C492" t="s">
        <v>5022</v>
      </c>
    </row>
    <row r="493" spans="2:3" ht="15" customHeight="1" x14ac:dyDescent="0.3">
      <c r="B493" s="6" t="s">
        <v>2600</v>
      </c>
      <c r="C493" t="s">
        <v>5023</v>
      </c>
    </row>
    <row r="494" spans="2:3" ht="15" customHeight="1" x14ac:dyDescent="0.3">
      <c r="B494" s="6" t="s">
        <v>2606</v>
      </c>
      <c r="C494" t="s">
        <v>5024</v>
      </c>
    </row>
    <row r="495" spans="2:3" ht="15" customHeight="1" x14ac:dyDescent="0.3">
      <c r="B495" s="6" t="s">
        <v>2611</v>
      </c>
      <c r="C495" t="s">
        <v>5025</v>
      </c>
    </row>
    <row r="496" spans="2:3" ht="15" customHeight="1" x14ac:dyDescent="0.3">
      <c r="B496" s="6" t="s">
        <v>2617</v>
      </c>
      <c r="C496" t="s">
        <v>5026</v>
      </c>
    </row>
    <row r="497" spans="2:3" ht="15" customHeight="1" x14ac:dyDescent="0.3">
      <c r="B497" s="6" t="s">
        <v>2622</v>
      </c>
      <c r="C497" t="s">
        <v>5027</v>
      </c>
    </row>
    <row r="498" spans="2:3" ht="15" customHeight="1" x14ac:dyDescent="0.3">
      <c r="B498" s="6" t="s">
        <v>2627</v>
      </c>
      <c r="C498" t="s">
        <v>5028</v>
      </c>
    </row>
    <row r="499" spans="2:3" ht="15" customHeight="1" x14ac:dyDescent="0.3">
      <c r="B499" s="6" t="s">
        <v>2632</v>
      </c>
      <c r="C499" t="s">
        <v>5029</v>
      </c>
    </row>
    <row r="500" spans="2:3" ht="15" customHeight="1" x14ac:dyDescent="0.3">
      <c r="B500" s="6" t="s">
        <v>2636</v>
      </c>
      <c r="C500" t="s">
        <v>5030</v>
      </c>
    </row>
    <row r="501" spans="2:3" ht="15" customHeight="1" x14ac:dyDescent="0.3">
      <c r="B501" s="6" t="s">
        <v>2640</v>
      </c>
      <c r="C501" t="s">
        <v>5031</v>
      </c>
    </row>
    <row r="502" spans="2:3" ht="15" customHeight="1" x14ac:dyDescent="0.3">
      <c r="B502" s="6" t="s">
        <v>2646</v>
      </c>
      <c r="C502" t="s">
        <v>5032</v>
      </c>
    </row>
    <row r="503" spans="2:3" ht="15" customHeight="1" x14ac:dyDescent="0.3">
      <c r="B503" s="6" t="s">
        <v>2650</v>
      </c>
      <c r="C503" t="s">
        <v>5033</v>
      </c>
    </row>
    <row r="504" spans="2:3" ht="15" customHeight="1" x14ac:dyDescent="0.3">
      <c r="B504" s="6" t="s">
        <v>2654</v>
      </c>
      <c r="C504" t="s">
        <v>5034</v>
      </c>
    </row>
    <row r="505" spans="2:3" ht="15" customHeight="1" x14ac:dyDescent="0.3">
      <c r="B505" s="6" t="s">
        <v>2659</v>
      </c>
      <c r="C505" t="s">
        <v>5035</v>
      </c>
    </row>
    <row r="506" spans="2:3" ht="15" customHeight="1" x14ac:dyDescent="0.3">
      <c r="B506" s="6" t="s">
        <v>2664</v>
      </c>
      <c r="C506" t="s">
        <v>5036</v>
      </c>
    </row>
    <row r="507" spans="2:3" ht="15" customHeight="1" x14ac:dyDescent="0.3">
      <c r="B507" s="6" t="s">
        <v>2668</v>
      </c>
      <c r="C507" t="s">
        <v>5037</v>
      </c>
    </row>
    <row r="508" spans="2:3" ht="15" customHeight="1" x14ac:dyDescent="0.3">
      <c r="B508" s="6" t="s">
        <v>2672</v>
      </c>
      <c r="C508" t="s">
        <v>5038</v>
      </c>
    </row>
    <row r="509" spans="2:3" ht="15" customHeight="1" x14ac:dyDescent="0.3">
      <c r="B509" s="6" t="s">
        <v>2676</v>
      </c>
      <c r="C509" t="s">
        <v>5039</v>
      </c>
    </row>
    <row r="510" spans="2:3" ht="15" customHeight="1" x14ac:dyDescent="0.3">
      <c r="B510" s="6" t="s">
        <v>2681</v>
      </c>
      <c r="C510" t="s">
        <v>5040</v>
      </c>
    </row>
    <row r="511" spans="2:3" ht="15" customHeight="1" x14ac:dyDescent="0.3">
      <c r="B511" s="6" t="s">
        <v>2685</v>
      </c>
      <c r="C511" t="s">
        <v>5041</v>
      </c>
    </row>
    <row r="512" spans="2:3" ht="15" customHeight="1" x14ac:dyDescent="0.3">
      <c r="B512" s="6" t="s">
        <v>2690</v>
      </c>
      <c r="C512" t="s">
        <v>5042</v>
      </c>
    </row>
    <row r="513" spans="2:3" ht="15" customHeight="1" x14ac:dyDescent="0.3">
      <c r="B513" s="6" t="s">
        <v>2695</v>
      </c>
      <c r="C513" t="s">
        <v>5043</v>
      </c>
    </row>
    <row r="514" spans="2:3" ht="15" customHeight="1" x14ac:dyDescent="0.3">
      <c r="B514" s="6" t="s">
        <v>2699</v>
      </c>
      <c r="C514" t="s">
        <v>5044</v>
      </c>
    </row>
    <row r="515" spans="2:3" ht="15" customHeight="1" x14ac:dyDescent="0.3">
      <c r="B515" s="6" t="s">
        <v>2706</v>
      </c>
      <c r="C515" t="s">
        <v>5045</v>
      </c>
    </row>
    <row r="516" spans="2:3" ht="15" customHeight="1" x14ac:dyDescent="0.3">
      <c r="B516" s="6" t="s">
        <v>2712</v>
      </c>
      <c r="C516" t="s">
        <v>5046</v>
      </c>
    </row>
    <row r="517" spans="2:3" ht="15" customHeight="1" x14ac:dyDescent="0.3">
      <c r="B517" s="6" t="s">
        <v>2716</v>
      </c>
      <c r="C517" t="s">
        <v>5047</v>
      </c>
    </row>
    <row r="518" spans="2:3" ht="15" customHeight="1" x14ac:dyDescent="0.3">
      <c r="B518" s="6" t="s">
        <v>2721</v>
      </c>
      <c r="C518" t="s">
        <v>5048</v>
      </c>
    </row>
    <row r="519" spans="2:3" ht="15" customHeight="1" x14ac:dyDescent="0.3">
      <c r="B519" s="6" t="s">
        <v>2725</v>
      </c>
      <c r="C519" t="s">
        <v>5049</v>
      </c>
    </row>
    <row r="520" spans="2:3" ht="15" customHeight="1" x14ac:dyDescent="0.3">
      <c r="B520" s="6" t="s">
        <v>2731</v>
      </c>
      <c r="C520" t="s">
        <v>5050</v>
      </c>
    </row>
    <row r="521" spans="2:3" ht="15" customHeight="1" x14ac:dyDescent="0.3">
      <c r="B521" s="6" t="s">
        <v>2735</v>
      </c>
      <c r="C521" t="s">
        <v>5051</v>
      </c>
    </row>
    <row r="522" spans="2:3" ht="15" customHeight="1" x14ac:dyDescent="0.3">
      <c r="B522" s="6" t="s">
        <v>2739</v>
      </c>
      <c r="C522" t="s">
        <v>5052</v>
      </c>
    </row>
    <row r="523" spans="2:3" ht="15" customHeight="1" x14ac:dyDescent="0.3">
      <c r="B523" s="6" t="s">
        <v>2742</v>
      </c>
      <c r="C523" t="s">
        <v>5053</v>
      </c>
    </row>
    <row r="524" spans="2:3" ht="15" customHeight="1" x14ac:dyDescent="0.3">
      <c r="B524" s="6" t="s">
        <v>2748</v>
      </c>
      <c r="C524" t="s">
        <v>5054</v>
      </c>
    </row>
    <row r="525" spans="2:3" ht="15" customHeight="1" x14ac:dyDescent="0.3">
      <c r="B525" s="6" t="s">
        <v>2752</v>
      </c>
      <c r="C525" t="s">
        <v>5055</v>
      </c>
    </row>
    <row r="526" spans="2:3" ht="15" customHeight="1" x14ac:dyDescent="0.3">
      <c r="B526" s="6" t="s">
        <v>2755</v>
      </c>
      <c r="C526" t="s">
        <v>5056</v>
      </c>
    </row>
    <row r="527" spans="2:3" ht="15" customHeight="1" x14ac:dyDescent="0.3">
      <c r="B527" s="6" t="s">
        <v>2758</v>
      </c>
      <c r="C527" t="s">
        <v>5057</v>
      </c>
    </row>
    <row r="528" spans="2:3" ht="15" customHeight="1" x14ac:dyDescent="0.3">
      <c r="B528" s="6" t="s">
        <v>2763</v>
      </c>
      <c r="C528" t="s">
        <v>5058</v>
      </c>
    </row>
    <row r="529" spans="2:3" ht="15" customHeight="1" x14ac:dyDescent="0.3">
      <c r="B529" s="6" t="s">
        <v>2767</v>
      </c>
      <c r="C529" t="s">
        <v>5059</v>
      </c>
    </row>
  </sheetData>
  <autoFilter ref="A1:G1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"/>
  <sheetViews>
    <sheetView zoomScaleNormal="100" workbookViewId="0">
      <pane ySplit="1" topLeftCell="A2" activePane="bottomLeft" state="frozen"/>
      <selection pane="bottomLeft" activeCell="D12" sqref="D12"/>
    </sheetView>
  </sheetViews>
  <sheetFormatPr baseColWidth="10" defaultColWidth="8.6640625" defaultRowHeight="15" customHeight="1" x14ac:dyDescent="0.3"/>
  <cols>
    <col min="1" max="1" width="20" customWidth="1"/>
    <col min="2" max="3" width="14" customWidth="1"/>
    <col min="4" max="4" width="12" customWidth="1"/>
    <col min="5" max="5" width="14" customWidth="1"/>
  </cols>
  <sheetData>
    <row r="1" spans="1:5" ht="27.75" customHeight="1" x14ac:dyDescent="0.3">
      <c r="A1" s="3" t="s">
        <v>5077</v>
      </c>
      <c r="B1" s="3" t="s">
        <v>5078</v>
      </c>
      <c r="C1" s="3" t="s">
        <v>5079</v>
      </c>
      <c r="D1" s="3" t="s">
        <v>4441</v>
      </c>
      <c r="E1" s="3" t="s">
        <v>5080</v>
      </c>
    </row>
  </sheetData>
  <autoFilter ref="A1:E1" xr:uid="{00000000-0009-0000-0000-00000C000000}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08C9D-B632-4B08-962F-07BFF1A1229C}">
  <dimension ref="A1:D8"/>
  <sheetViews>
    <sheetView workbookViewId="0">
      <selection activeCell="B10" sqref="B10"/>
    </sheetView>
  </sheetViews>
  <sheetFormatPr baseColWidth="10" defaultRowHeight="14.4" x14ac:dyDescent="0.3"/>
  <cols>
    <col min="1" max="1" width="20.33203125" customWidth="1"/>
    <col min="2" max="2" width="20.109375" customWidth="1"/>
    <col min="3" max="3" width="27.21875" customWidth="1"/>
    <col min="4" max="4" width="21.109375" customWidth="1"/>
  </cols>
  <sheetData>
    <row r="1" spans="1:4" x14ac:dyDescent="0.3">
      <c r="A1" s="20" t="s">
        <v>5081</v>
      </c>
      <c r="B1" s="20" t="s">
        <v>188</v>
      </c>
      <c r="C1" s="20" t="s">
        <v>5078</v>
      </c>
      <c r="D1" s="20" t="s">
        <v>185</v>
      </c>
    </row>
    <row r="2" spans="1:4" x14ac:dyDescent="0.3">
      <c r="B2" t="s">
        <v>1705</v>
      </c>
      <c r="C2" t="s">
        <v>5082</v>
      </c>
      <c r="D2" t="s">
        <v>5089</v>
      </c>
    </row>
    <row r="3" spans="1:4" x14ac:dyDescent="0.3">
      <c r="B3" t="s">
        <v>5096</v>
      </c>
      <c r="C3" t="s">
        <v>5083</v>
      </c>
      <c r="D3" t="s">
        <v>5090</v>
      </c>
    </row>
    <row r="4" spans="1:4" x14ac:dyDescent="0.3">
      <c r="B4" t="s">
        <v>5097</v>
      </c>
      <c r="C4" t="s">
        <v>5084</v>
      </c>
      <c r="D4" t="s">
        <v>5091</v>
      </c>
    </row>
    <row r="5" spans="1:4" x14ac:dyDescent="0.3">
      <c r="B5" t="s">
        <v>5098</v>
      </c>
      <c r="C5" t="s">
        <v>5085</v>
      </c>
      <c r="D5" t="s">
        <v>5092</v>
      </c>
    </row>
    <row r="6" spans="1:4" x14ac:dyDescent="0.3">
      <c r="B6" t="s">
        <v>5099</v>
      </c>
      <c r="C6" t="s">
        <v>5086</v>
      </c>
      <c r="D6" t="s">
        <v>5093</v>
      </c>
    </row>
    <row r="7" spans="1:4" x14ac:dyDescent="0.3">
      <c r="B7" t="s">
        <v>458</v>
      </c>
      <c r="C7" t="s">
        <v>5087</v>
      </c>
      <c r="D7" t="s">
        <v>5094</v>
      </c>
    </row>
    <row r="8" spans="1:4" x14ac:dyDescent="0.3">
      <c r="B8" t="s">
        <v>5100</v>
      </c>
      <c r="C8" t="s">
        <v>5088</v>
      </c>
      <c r="D8" t="s">
        <v>5095</v>
      </c>
    </row>
  </sheetData>
  <autoFilter ref="A1:D1" xr:uid="{39008C9D-B632-4B08-962F-07BFF1A1229C}"/>
  <phoneticPr fontId="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27C4-CF63-4370-BF17-B8D39DD180E5}">
  <dimension ref="A1:D1"/>
  <sheetViews>
    <sheetView workbookViewId="0">
      <selection sqref="A1:D1"/>
    </sheetView>
  </sheetViews>
  <sheetFormatPr baseColWidth="10" defaultRowHeight="14.4" x14ac:dyDescent="0.3"/>
  <cols>
    <col min="1" max="1" width="17" customWidth="1"/>
    <col min="2" max="2" width="17.33203125" customWidth="1"/>
    <col min="3" max="3" width="16.88671875" customWidth="1"/>
    <col min="4" max="4" width="16.5546875" customWidth="1"/>
  </cols>
  <sheetData>
    <row r="1" spans="1:4" x14ac:dyDescent="0.3">
      <c r="A1" s="20" t="s">
        <v>4414</v>
      </c>
      <c r="B1" s="20" t="s">
        <v>5101</v>
      </c>
      <c r="C1" s="20" t="s">
        <v>159</v>
      </c>
      <c r="D1" s="20" t="s">
        <v>5102</v>
      </c>
    </row>
  </sheetData>
  <autoFilter ref="A1:D1" xr:uid="{03DC27C4-CF63-4370-BF17-B8D39DD180E5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showGridLines="0" zoomScaleNormal="100" workbookViewId="0">
      <selection sqref="A1:H1"/>
    </sheetView>
  </sheetViews>
  <sheetFormatPr baseColWidth="10" defaultColWidth="8.6640625" defaultRowHeight="15" customHeight="1" x14ac:dyDescent="0.3"/>
  <cols>
    <col min="1" max="1" width="28" customWidth="1"/>
    <col min="2" max="2" width="16" customWidth="1"/>
    <col min="3" max="3" width="34" customWidth="1"/>
    <col min="5" max="5" width="20" customWidth="1"/>
    <col min="6" max="6" width="16" customWidth="1"/>
    <col min="7" max="7" width="20" customWidth="1"/>
    <col min="8" max="8" width="18" customWidth="1"/>
  </cols>
  <sheetData>
    <row r="1" spans="1:8" ht="24" customHeight="1" x14ac:dyDescent="0.3">
      <c r="A1" s="23" t="s">
        <v>4446</v>
      </c>
      <c r="B1" s="23"/>
      <c r="C1" s="23"/>
      <c r="D1" s="23"/>
      <c r="E1" s="23"/>
      <c r="F1" s="23"/>
      <c r="G1" s="23"/>
      <c r="H1" s="23"/>
    </row>
    <row r="2" spans="1:8" ht="15" customHeight="1" x14ac:dyDescent="0.3">
      <c r="A2" s="24" t="s">
        <v>4447</v>
      </c>
      <c r="B2" s="24"/>
      <c r="C2" s="24"/>
      <c r="D2" s="24"/>
      <c r="E2" s="24"/>
      <c r="F2" s="24"/>
      <c r="G2" s="24"/>
      <c r="H2" s="24"/>
    </row>
    <row r="3" spans="1:8" ht="27.6" x14ac:dyDescent="0.3">
      <c r="A3" s="3" t="s">
        <v>4448</v>
      </c>
      <c r="B3" s="3" t="s">
        <v>70</v>
      </c>
      <c r="C3" s="3" t="s">
        <v>71</v>
      </c>
      <c r="E3" s="3" t="s">
        <v>4449</v>
      </c>
      <c r="F3" s="3" t="s">
        <v>4450</v>
      </c>
      <c r="G3" s="3" t="s">
        <v>4451</v>
      </c>
      <c r="H3" s="3" t="s">
        <v>4452</v>
      </c>
    </row>
    <row r="4" spans="1:8" ht="14.4" x14ac:dyDescent="0.3">
      <c r="A4" s="16" t="s">
        <v>4453</v>
      </c>
      <c r="B4" s="17">
        <f>COUNTA(LTS_Parc!D:D)-1</f>
        <v>528</v>
      </c>
      <c r="C4" s="1" t="s">
        <v>4454</v>
      </c>
      <c r="E4" t="s">
        <v>4455</v>
      </c>
      <c r="F4">
        <f>COUNTIF(LTS_Parc!A:A,"1")</f>
        <v>180</v>
      </c>
      <c r="G4">
        <f>COUNTIFS(LTS_Parc!A:A,"1",LTS_Parc!O:O,"oui")</f>
        <v>130</v>
      </c>
      <c r="H4">
        <f>COUNTIFS(Contacts_Activation!A:A,"1",Contacts_Activation!S:S,"oui")</f>
        <v>0</v>
      </c>
    </row>
    <row r="5" spans="1:8" ht="14.4" x14ac:dyDescent="0.3">
      <c r="A5" s="16" t="s">
        <v>4456</v>
      </c>
      <c r="B5" s="17">
        <f>SUMPRODUCT((LTS_Parc!C2:C529&lt;&gt;"")/COUNTIF(LTS_Parc!C2:C529,LTS_Parc!C2:C529&amp;""))</f>
        <v>34</v>
      </c>
      <c r="C5" s="1" t="s">
        <v>4457</v>
      </c>
      <c r="E5" t="s">
        <v>4458</v>
      </c>
      <c r="F5">
        <f>COUNTIF(LTS_Parc!A:A,"2")</f>
        <v>95</v>
      </c>
      <c r="G5">
        <f>COUNTIFS(LTS_Parc!A:A,"2",LTS_Parc!O:O,"oui")</f>
        <v>95</v>
      </c>
      <c r="H5">
        <f>COUNTIFS(Contacts_Activation!A:A,"2",Contacts_Activation!S:S,"oui")</f>
        <v>0</v>
      </c>
    </row>
    <row r="6" spans="1:8" ht="28.8" x14ac:dyDescent="0.3">
      <c r="A6" s="16" t="s">
        <v>4451</v>
      </c>
      <c r="B6" s="17">
        <f>COUNTIF(LTS_Parc!O:O,"oui")</f>
        <v>406</v>
      </c>
      <c r="C6" s="1" t="s">
        <v>4459</v>
      </c>
      <c r="E6" t="s">
        <v>4460</v>
      </c>
      <c r="F6">
        <f>COUNTIF(LTS_Parc!A:A,"3")</f>
        <v>130</v>
      </c>
      <c r="G6">
        <f>COUNTIFS(LTS_Parc!A:A,"3",LTS_Parc!O:O,"oui")</f>
        <v>85</v>
      </c>
      <c r="H6">
        <f>COUNTIFS(Contacts_Activation!A:A,"3",Contacts_Activation!S:S,"oui")</f>
        <v>0</v>
      </c>
    </row>
    <row r="7" spans="1:8" ht="28.8" x14ac:dyDescent="0.3">
      <c r="A7" s="16" t="s">
        <v>4461</v>
      </c>
      <c r="B7" s="17">
        <f>COUNTIF(Contacts_Activation!N:N,"oui")</f>
        <v>528</v>
      </c>
      <c r="C7" s="1" t="s">
        <v>4462</v>
      </c>
      <c r="E7" t="s">
        <v>4463</v>
      </c>
      <c r="F7">
        <f>COUNTIF(LTS_Parc!A:A,"4")</f>
        <v>123</v>
      </c>
      <c r="G7">
        <f>COUNTIFS(LTS_Parc!A:A,"4",LTS_Parc!O:O,"oui")</f>
        <v>96</v>
      </c>
      <c r="H7">
        <f>COUNTIFS(Contacts_Activation!A:A,"4",Contacts_Activation!S:S,"oui")</f>
        <v>0</v>
      </c>
    </row>
    <row r="8" spans="1:8" ht="14.4" x14ac:dyDescent="0.3">
      <c r="A8" s="16" t="s">
        <v>4464</v>
      </c>
      <c r="B8" s="17">
        <f>COUNTIF(Contacts_Activation!S:S,"oui")</f>
        <v>0</v>
      </c>
      <c r="C8" s="1" t="s">
        <v>4465</v>
      </c>
    </row>
    <row r="9" spans="1:8" ht="14.4" x14ac:dyDescent="0.3">
      <c r="A9" s="16" t="s">
        <v>4466</v>
      </c>
      <c r="B9" s="17">
        <f>COUNTIF(Gestion_Locative!O:O,"incomplet")</f>
        <v>0</v>
      </c>
      <c r="C9" s="1" t="s">
        <v>4467</v>
      </c>
    </row>
    <row r="10" spans="1:8" ht="14.4" x14ac:dyDescent="0.3">
      <c r="A10" s="16" t="s">
        <v>4468</v>
      </c>
      <c r="B10" s="17">
        <f>COUNTIF(Ventes!AD:AD,"oui")</f>
        <v>528</v>
      </c>
      <c r="C10" s="1" t="s">
        <v>4469</v>
      </c>
    </row>
    <row r="11" spans="1:8" ht="14.4" x14ac:dyDescent="0.3">
      <c r="A11" s="16" t="s">
        <v>4470</v>
      </c>
      <c r="B11" s="17">
        <f>COUNTIF(Travaux!X:X,"en_attente")+COUNTIF(Travaux!X:X,"en_cours")+COUNTIF(Travaux!X:X,"bloque")</f>
        <v>0</v>
      </c>
      <c r="C11" s="1" t="s">
        <v>4471</v>
      </c>
    </row>
    <row r="12" spans="1:8" ht="14.4" x14ac:dyDescent="0.3">
      <c r="A12" s="16" t="s">
        <v>4472</v>
      </c>
      <c r="B12" s="17">
        <f>COUNTIF(Entreprises_Activation!P:P,"oui")</f>
        <v>0</v>
      </c>
      <c r="C12" s="1" t="s">
        <v>4473</v>
      </c>
    </row>
    <row r="15" spans="1:8" ht="14.4" x14ac:dyDescent="0.3">
      <c r="A15" s="25" t="s">
        <v>4474</v>
      </c>
      <c r="B15" s="25"/>
      <c r="C15" s="25"/>
      <c r="D15" s="25"/>
      <c r="E15" s="25"/>
      <c r="F15" s="25"/>
      <c r="G15" s="25"/>
      <c r="H15" s="25"/>
    </row>
    <row r="16" spans="1:8" ht="15" customHeight="1" x14ac:dyDescent="0.3">
      <c r="A16" s="21" t="s">
        <v>4475</v>
      </c>
      <c r="B16" s="21"/>
      <c r="C16" s="21"/>
      <c r="D16" s="21"/>
      <c r="E16" s="21"/>
      <c r="F16" s="21"/>
      <c r="G16" s="21"/>
      <c r="H16" s="21"/>
    </row>
  </sheetData>
  <mergeCells count="4">
    <mergeCell ref="A1:H1"/>
    <mergeCell ref="A2:H2"/>
    <mergeCell ref="A15:H15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2"/>
  <sheetViews>
    <sheetView showGridLines="0" zoomScaleNormal="100" workbookViewId="0"/>
  </sheetViews>
  <sheetFormatPr baseColWidth="10" defaultColWidth="8.6640625" defaultRowHeight="15" customHeight="1" x14ac:dyDescent="0.3"/>
  <cols>
    <col min="1" max="1" width="24" customWidth="1"/>
    <col min="2" max="2" width="90" customWidth="1"/>
  </cols>
  <sheetData>
    <row r="1" spans="1:8" ht="24" customHeight="1" x14ac:dyDescent="0.3">
      <c r="A1" s="23" t="s">
        <v>4476</v>
      </c>
      <c r="B1" s="23"/>
      <c r="C1" s="23"/>
      <c r="D1" s="23"/>
      <c r="E1" s="23"/>
      <c r="F1" s="23"/>
      <c r="G1" s="23"/>
      <c r="H1" s="23"/>
    </row>
    <row r="2" spans="1:8" ht="15" customHeight="1" x14ac:dyDescent="0.3">
      <c r="A2" s="24" t="s">
        <v>4477</v>
      </c>
      <c r="B2" s="24"/>
      <c r="C2" s="24"/>
      <c r="D2" s="24"/>
      <c r="E2" s="24"/>
      <c r="F2" s="24"/>
      <c r="G2" s="24"/>
      <c r="H2" s="24"/>
    </row>
    <row r="3" spans="1:8" ht="14.4" x14ac:dyDescent="0.3">
      <c r="A3" s="3" t="s">
        <v>4478</v>
      </c>
      <c r="B3" s="3" t="s">
        <v>4479</v>
      </c>
    </row>
    <row r="4" spans="1:8" ht="39.75" customHeight="1" x14ac:dyDescent="0.3">
      <c r="A4" s="2" t="s">
        <v>4480</v>
      </c>
      <c r="B4" s="1" t="s">
        <v>4481</v>
      </c>
    </row>
    <row r="5" spans="1:8" ht="39.75" customHeight="1" x14ac:dyDescent="0.3">
      <c r="A5" s="2" t="s">
        <v>4482</v>
      </c>
      <c r="B5" s="1" t="s">
        <v>4483</v>
      </c>
    </row>
    <row r="6" spans="1:8" ht="39.75" customHeight="1" x14ac:dyDescent="0.3">
      <c r="A6" s="2" t="s">
        <v>4484</v>
      </c>
      <c r="B6" s="1" t="s">
        <v>4485</v>
      </c>
    </row>
    <row r="7" spans="1:8" ht="39.75" customHeight="1" x14ac:dyDescent="0.3">
      <c r="A7" s="2" t="s">
        <v>4486</v>
      </c>
      <c r="B7" s="1" t="s">
        <v>4487</v>
      </c>
    </row>
    <row r="8" spans="1:8" ht="39.75" customHeight="1" x14ac:dyDescent="0.3">
      <c r="A8" s="2" t="s">
        <v>4488</v>
      </c>
      <c r="B8" s="1" t="s">
        <v>4489</v>
      </c>
    </row>
    <row r="9" spans="1:8" ht="39.75" customHeight="1" x14ac:dyDescent="0.3">
      <c r="A9" s="2" t="s">
        <v>4490</v>
      </c>
      <c r="B9" s="1" t="s">
        <v>4491</v>
      </c>
    </row>
    <row r="10" spans="1:8" ht="39.75" customHeight="1" x14ac:dyDescent="0.3">
      <c r="A10" s="2" t="s">
        <v>4492</v>
      </c>
      <c r="B10" s="1" t="s">
        <v>4493</v>
      </c>
    </row>
    <row r="11" spans="1:8" ht="39.75" customHeight="1" x14ac:dyDescent="0.3">
      <c r="A11" s="2" t="s">
        <v>4494</v>
      </c>
      <c r="B11" s="1" t="s">
        <v>4495</v>
      </c>
    </row>
    <row r="12" spans="1:8" ht="39.75" customHeight="1" x14ac:dyDescent="0.3">
      <c r="A12" s="2" t="s">
        <v>4496</v>
      </c>
      <c r="B12" s="1" t="s">
        <v>4497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Dossier_Projet</vt:lpstr>
      <vt:lpstr>Architecture_Technique</vt:lpstr>
      <vt:lpstr>Parametres</vt:lpstr>
      <vt:lpstr>Contacts_Activation</vt:lpstr>
      <vt:lpstr>Referentiels</vt:lpstr>
      <vt:lpstr>LTS_Parc</vt:lpstr>
      <vt:lpstr>Logements</vt:lpstr>
      <vt:lpstr>Occupants</vt:lpstr>
      <vt:lpstr>Impayes</vt:lpstr>
      <vt:lpstr>Gestion_Locative</vt:lpstr>
      <vt:lpstr>Diagnostics</vt:lpstr>
      <vt:lpstr>Ventes</vt:lpstr>
      <vt:lpstr>Travaux</vt:lpstr>
      <vt:lpstr>Marches</vt:lpstr>
      <vt:lpstr>Entreprises_Activation</vt:lpstr>
      <vt:lpstr>Notifications</vt:lpstr>
      <vt:lpstr>Historique_Actions</vt:lpstr>
      <vt:lpstr>Utilisateurs</vt:lpstr>
      <vt:lpstr>Lexique_Travaux</vt:lpstr>
      <vt:lpstr>Pilotage</vt:lpstr>
      <vt:lpstr>Mode_emploi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</dc:creator>
  <cp:lastModifiedBy>DOMINIQUE GRIMAUD</cp:lastModifiedBy>
  <dcterms:created xsi:type="dcterms:W3CDTF">2026-03-31T16:32:05Z</dcterms:created>
  <dcterms:modified xsi:type="dcterms:W3CDTF">2026-04-03T14:45:55Z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2026-03-31T04:27:10Z</dcterms:created>
  <dc:creator>openpyxl</dc:creator>
  <dc:description/>
  <dc:language>en-US</dc:language>
  <cp:lastModifiedBy/>
  <dcterms:modified xsi:type="dcterms:W3CDTF">2026-03-31T04:36:17Z</dcterms:modified>
  <cp:revision>0</cp:revision>
  <dc:subject/>
  <dc:title/>
</cp:coreProperties>
</file>